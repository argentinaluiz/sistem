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EstaPasta_de_trabalho" defaultThemeVersion="124226"/>
  <mc:AlternateContent xmlns:mc="http://schemas.openxmlformats.org/markup-compatibility/2006">
    <mc:Choice Requires="x15">
      <x15ac:absPath xmlns:x15ac="http://schemas.microsoft.com/office/spreadsheetml/2010/11/ac" url="E:\03 - Projetos_FNO_16\07_Docs BASA_15\Planilhas FNO\"/>
    </mc:Choice>
  </mc:AlternateContent>
  <bookViews>
    <workbookView showHorizontalScroll="0" showSheetTabs="0" xWindow="0" yWindow="105" windowWidth="19155" windowHeight="10260" tabRatio="772" activeTab="1"/>
  </bookViews>
  <sheets>
    <sheet name="Menu" sheetId="16" r:id="rId1"/>
    <sheet name="Não Rural PJ" sheetId="5" r:id="rId2"/>
    <sheet name="Orientações Não Rural PJ" sheetId="12" r:id="rId3"/>
    <sheet name="PJ Projeto FDA" sheetId="14" r:id="rId4"/>
    <sheet name="Orientações PJ Proj FDA" sheetId="15" r:id="rId5"/>
    <sheet name="Instruções" sheetId="13" r:id="rId6"/>
  </sheets>
  <externalReferences>
    <externalReference r:id="rId7"/>
    <externalReference r:id="rId8"/>
  </externalReferences>
  <definedNames>
    <definedName name="_Dist_Bin" localSheetId="5" hidden="1">#REF!</definedName>
    <definedName name="_Dist_Bin" localSheetId="0" hidden="1">#REF!</definedName>
    <definedName name="_Dist_Bin" hidden="1">#REF!</definedName>
    <definedName name="_Dist_Values" localSheetId="5" hidden="1">#REF!</definedName>
    <definedName name="_Dist_Values" localSheetId="0" hidden="1">#REF!</definedName>
    <definedName name="_Dist_Values" hidden="1">#REF!</definedName>
    <definedName name="_Fill" localSheetId="5" hidden="1">#REF!</definedName>
    <definedName name="_Fill" localSheetId="0" hidden="1">#REF!</definedName>
    <definedName name="_Fill" hidden="1">#REF!</definedName>
    <definedName name="_Key1" localSheetId="5" hidden="1">[1]ORÇAMENTO!#REF!</definedName>
    <definedName name="_Key1" localSheetId="0" hidden="1">[1]ORÇAMENTO!#REF!</definedName>
    <definedName name="_Key1" hidden="1">[2]ORÇAMENTO!#REF!</definedName>
    <definedName name="_Order1" hidden="1">255</definedName>
    <definedName name="_Sort" localSheetId="5" hidden="1">#REF!</definedName>
    <definedName name="_Sort" localSheetId="0" hidden="1">#REF!</definedName>
    <definedName name="_Sort" hidden="1">#REF!</definedName>
    <definedName name="Alvará_de_Construção___da_edificação_objeto_do_pleito" localSheetId="4">'Orientações PJ Proj FDA'!$B$360:$B$365</definedName>
    <definedName name="Alvará_de_Construção___da_edificação_objeto_do_pleito">'Orientações Não Rural PJ'!$B$506:$B$513</definedName>
    <definedName name="Alvará_de_Funcionamento" localSheetId="4">'Orientações PJ Proj FDA'!$B$76:$B$81</definedName>
    <definedName name="Alvará_de_Funcionamento">'Orientações Não Rural PJ'!$B$105:$B$112</definedName>
    <definedName name="Aprovação_do_projeto_arquitetônico_pela_ANVISA" localSheetId="4">'Orientações PJ Proj FDA'!$B$829:$B$834</definedName>
    <definedName name="Aprovação_do_projeto_arquitetônico_pela_ANVISA">'Orientações Não Rural PJ'!$B$1166:$B$1173</definedName>
    <definedName name="Aprovação_do_Projeto_pelo_MAPA_ANVISA_ou_entidades_delegadas_conveniadas">'Orientações PJ Proj FDA'!$B$589:$B$594</definedName>
    <definedName name="_xlnm.Print_Area" localSheetId="1">'Não Rural PJ'!$N$3:$AH$375</definedName>
    <definedName name="_xlnm.Print_Area" localSheetId="4">'Orientações PJ Proj FDA'!$F$1:$T$853</definedName>
    <definedName name="_xlnm.Print_Area" localSheetId="3">'PJ Projeto FDA'!$N$3:$AH$285</definedName>
    <definedName name="ART_da_Execução_da_Obra">'Orientações PJ Proj FDA'!$B$403:$B$408</definedName>
    <definedName name="ART_do_Laudo_de_Avaliação" localSheetId="4">'Orientações PJ Proj FDA'!$B$252:$B$257</definedName>
    <definedName name="ART_do_Laudo_de_Avaliação">'Orientações Não Rural PJ'!$B$361:$B$368</definedName>
    <definedName name="ART_do_Orçamento__Memorial_Descritivo_e_Cronograma_físico_financeiro">'Orientações PJ Proj FDA'!$B$391:$B$396</definedName>
    <definedName name="ART_dos_projetos_de_edificação">'Orientações PJ Proj FDA'!$B$397:$B$402</definedName>
    <definedName name="ART_RRT_da_Execução_da_Obra">'Orientações Não Rural PJ'!$B$564:$B$571</definedName>
    <definedName name="ART_RRT_do_Orçamento__Memorial_Descritivo_e_Cronograma_físico_financeiro">'Orientações Não Rural PJ'!$B$548:$B$555</definedName>
    <definedName name="ART_RRT_dos_projetos_de_edificação">'Orientações Não Rural PJ'!$B$556:$B$563</definedName>
    <definedName name="Ata_da_Assembléia_que_elegeu_a_atual_diretoria_e_conselho_de_administração___Em_caso_de_S.A." localSheetId="4">'Orientações PJ Proj FDA'!$B$70:$B$75</definedName>
    <definedName name="Ata_da_Assembléia_que_elegeu_a_atual_diretoria_e_conselho_de_administração___Em_caso_de_S.A.">'Orientações Não Rural PJ'!$B$97:$B$104</definedName>
    <definedName name="Ato_constitutivo_da_sociedade_e_suas_modificações_das_coligadas">'Orientações PJ Proj FDA'!$B$204:$B$209</definedName>
    <definedName name="Ato_constitutivo_da_sociedade_e_suas_modificações_ou_Requerimento_de_Empresário_Individual" localSheetId="4">'Orientações PJ Proj FDA'!$B$64:$B$69</definedName>
    <definedName name="Ato_constitutivo_da_sociedade_e_suas_modificações_ou_Requerimento_de_Empresário_Individual">'Orientações Não Rural PJ'!$B$73:$B$80</definedName>
    <definedName name="Ato_constitutivo_da_sociedade_e_suas_modificações2">'Orientações Não Rural PJ'!$B$289:$B$296</definedName>
    <definedName name="Autorização_Ambiental_de_Transporte_Interestadual_de_Produtos_Perigosos" localSheetId="4">'Orientações PJ Proj FDA'!$B$811:$B$816</definedName>
    <definedName name="Autorização_Ambiental_de_Transporte_Interestadual_de_Produtos_Perigosos">'Orientações Não Rural PJ'!$B$876:$B$884</definedName>
    <definedName name="Autorização_Ambiental_de_Transporte_Interestadual_de_Produtos_Perigosos3">'Orientações PJ Proj FDA'!$B$619:$B$624</definedName>
    <definedName name="Autorização_da_ANP" localSheetId="4">'Orientações PJ Proj FDA'!$B$817:$B$822</definedName>
    <definedName name="Autorização_da_ANP">'Orientações Não Rural PJ'!$B$1150:$B$1157</definedName>
    <definedName name="Autorização_da_ANTAQ">'Orientações PJ Proj FDA'!$B$613:$B$618</definedName>
    <definedName name="Autorização_da_ANTAQ_ou_órgão_regulador_estadual">'Orientações Não Rural PJ'!$B$868:$B$875</definedName>
    <definedName name="Autorização_da_ANTT" localSheetId="4">'Orientações PJ Proj FDA'!$B$805:$B$810</definedName>
    <definedName name="Autorização_da_ANTT">'Orientações Não Rural PJ'!$B$1133:$B$1140</definedName>
    <definedName name="Autorização_da_ANVISA_ou_entidades_delegada_conveniada" localSheetId="4">'Orientações PJ Proj FDA'!$B$823:$B$828</definedName>
    <definedName name="Autorização_da_ANVISA_ou_entidades_delegada_conveniada">'Orientações Não Rural PJ'!$B$1158:$B$1165</definedName>
    <definedName name="Autorização_de_exploração_florestal___AUTEF" localSheetId="4">'Orientações PJ Proj FDA'!$B$535:$B$540</definedName>
    <definedName name="Autorização_de_exploração_florestal___AUTEF">'Orientações Não Rural PJ'!$B$764:$B$771</definedName>
    <definedName name="Autorização_do_MAPA_ANVISA_ou_entidades_delegadas_conveniadas">'Orientações Não Rural PJ'!$B$844:$B$851</definedName>
    <definedName name="Autorização_do_MAPA_ANVISA_ou_entidades_delegadas_conveniadas___se_em_operação">'Orientações PJ Proj FDA'!$B$595:$B$600</definedName>
    <definedName name="Autorização_para_apresentar_o_projeto_definitivo_ao_Banco">'Orientações PJ Proj FDA'!$B$12:$B$21</definedName>
    <definedName name="Autorização_para_transporte_de_carga_na_navegação_interior_de_percurso_longitudinal_interestadual_internacional" localSheetId="4">'Orientações PJ Proj FDA'!$B$685:$B$690</definedName>
    <definedName name="Autorização_para_transporte_de_carga_na_navegação_interior_de_percurso_longitudinal_interestadual_internacional">'Orientações Não Rural PJ'!$B$965:$B$972</definedName>
    <definedName name="Balanço_Analítico_do_último_exercício_e_Balancete_com_DRE_das_Empresas_coligadas">'Orientações PJ Proj FDA'!$B$198:$B$203</definedName>
    <definedName name="Balanço_com_DRE_do_último_exercício_e_Balancete">'Orientações Não Rural PJ'!$B$81:$B$88</definedName>
    <definedName name="Cadastro_Específico_do_INSS__CEI___referente_à_matrícula_da_obra" localSheetId="4">'Orientações PJ Proj FDA'!$B$366:$B$371</definedName>
    <definedName name="Cadastro_Específico_do_INSS__CEI___referente_à_matrícula_da_obra">'Orientações Não Rural PJ'!$B$514:$B$521</definedName>
    <definedName name="Cadastro_Nacional_de_Empresas_Inidôneas_e_Suspensas__CEIS">'Orientações PJ Proj FDA'!$B$132:$B$137</definedName>
    <definedName name="Catálogos_Folder_s" localSheetId="4">'Orientações PJ Proj FDA'!$B$342:$B$347</definedName>
    <definedName name="Catálogos_Folder_s">'Orientações Não Rural PJ'!$B$482:$B$489</definedName>
    <definedName name="Certidão_de_averbação_das_benfeitorias_existentes" localSheetId="4">'Orientações PJ Proj FDA'!$B$282:$B$287</definedName>
    <definedName name="Certidão_de_averbação_das_benfeitorias_existentes">'Orientações Não Rural PJ'!$B$401:$B$408</definedName>
    <definedName name="Certidão_de_Cadeia_Dominial_ou_Vintenária" localSheetId="4">'Orientações PJ Proj FDA'!$B$276:$B$281</definedName>
    <definedName name="Certidão_de_Cadeia_Dominial_ou_Vintenária">'Orientações Não Rural PJ'!$B$393:$B$400</definedName>
    <definedName name="Certidão_de_inexistência_de_ônus_de_Imposto_Predial_e_Territorial_Urbano___IPTU" localSheetId="4">'Orientações PJ Proj FDA'!$B$300:$B$305</definedName>
    <definedName name="Certidão_de_inexistência_de_ônus_de_Imposto_Predial_e_Territorial_Urbano___IPTU">'Orientações Não Rural PJ'!$B$425:$B$432</definedName>
    <definedName name="Certidão_de_inexistência_de_ônus_ou_certidão_de_inteiro_teor" localSheetId="4">'Orientações PJ Proj FDA'!$B$288:$B$293</definedName>
    <definedName name="Certidão_de_Inexistência_de_Ônus_ou_Certidão_de_Inteiro_Teor">'Orientações Não Rural PJ'!$B$409:$B$416</definedName>
    <definedName name="Certidão_de_inexistência_de_ônus_sobre_máquinas__instalações__etc.___expedida_pelo_CRTD" localSheetId="4">'Orientações PJ Proj FDA'!$B$294:$B$299</definedName>
    <definedName name="Certidão_de_inexistência_de_ônus_sobre_máquinas__instalações__etc.___expedida_pelo_CRTD">'Orientações Não Rural PJ'!$B$417:$B$424</definedName>
    <definedName name="Certidão_de_inexistência_de_ônus_sobre_o_imóvel__se_bens_fixados_oferecidos_em_garantia_e_dele_removíveis">'Orientações Não Rural PJ'!$B$369:$B$376</definedName>
    <definedName name="Certidão_de_inexistência_de_ônus_sobre_o_imóvel_se_bens_oferecidos_em_garantia_fixados_e_dele_removíveis">'Orientações PJ Proj FDA'!$A$258:$A$263</definedName>
    <definedName name="Certidão_de_regularidade_junto_ao_CREA___da_empresa_estaleiro_construtor">'Orientações Não Rural PJ'!$B$1037:$B$1044</definedName>
    <definedName name="Certidão_Negativa_de_Débito_de_ITR" localSheetId="4">'Orientações PJ Proj FDA'!$B$312:$B$317</definedName>
    <definedName name="Certidão_Negativa_de_Débito_de_ITR">'Orientações Não Rural PJ'!$B$441:$B$449</definedName>
    <definedName name="Certidão_Negativa_de_Débitos_Trabalhistas___TST" localSheetId="4">'Orientações PJ Proj FDA'!$B$120:$B$125</definedName>
    <definedName name="Certidão_Negativa_de_Débitos_Trabalhistas___TST">'Orientações Não Rural PJ'!$B$166:$B$174</definedName>
    <definedName name="Certidão_Negativa_de_Embargo_de_área_para_uso_econômico___IBAMA" localSheetId="4">'Orientações PJ Proj FDA'!$B$94:$B$99</definedName>
    <definedName name="Certidão_Negativa_de_Embargo_de_área_para_uso_econômico___IBAMA">'Orientações Não Rural PJ'!$B$129:$B$137</definedName>
    <definedName name="Certidão_Negativa_de_Embargo_de_área_para_uso_econômico___IBAMA3">'Orientações PJ Proj FDA'!$A$94:$A$99</definedName>
    <definedName name="Certidão_negativa_de_ônus__tributário_e_créditos_do_Estado">'Orientações Não Rural PJ'!$B$1117:$B$1124</definedName>
    <definedName name="Certidão_negativa_de_ônus_sobre_a_aeronave" localSheetId="4">'Orientações PJ Proj FDA'!$B$793:$B$798</definedName>
    <definedName name="Certidão_negativa_de_ônus_sobre_a_aeronave">'Orientações Não Rural PJ'!$B$1109:$B$1116</definedName>
    <definedName name="Certidão_negativa_de_ônus_sobre_a_embarcação">'Orientações Não Rural PJ'!$B$917:$B$924</definedName>
    <definedName name="Certidão_negativa_de_ônus_sobre_a_embarcação___fornecida_pelo_Tribunal_Marítimo">'Orientações PJ Proj FDA'!$B$649:$B$654</definedName>
    <definedName name="Certidão_Negativa_de_Terra_Indígena___expedida_pela_FUNAI" localSheetId="4">'Orientações PJ Proj FDA'!$B$324:$B$329</definedName>
    <definedName name="Certidão_Negativa_de_Terra_Indígena___expedida_pela_FUNAI">'Orientações Não Rural PJ'!$B$458:$B$465</definedName>
    <definedName name="Certidão_que_comprove_a_propriedade_ou_Contrato_de_arrendamento_aluguel___do_imóvel_onde_opera" localSheetId="4">'Orientações PJ Proj FDA'!$B$186:$B$191</definedName>
    <definedName name="Certidão_que_comprove_a_propriedade_ou_Contrato_de_arrendamento_aluguel___do_imóvel_onde_opera">'Orientações Não Rural PJ'!$B$256:$B$264</definedName>
    <definedName name="Certificado_de_aeronavegabilidade___expedido_pela_ANAC" localSheetId="4">'Orientações PJ Proj FDA'!$B$781:$B$786</definedName>
    <definedName name="Certificado_de_aeronavegabilidade___expedido_pela_ANAC">'Orientações Não Rural PJ'!$B$1093:$B$1100</definedName>
    <definedName name="Certificado_de_Armador_emitido_pelo_Tribunal_Marítimo" localSheetId="4">'Orientações PJ Proj FDA'!$B$625:$B$630</definedName>
    <definedName name="Certificado_de_Armador_emitido_pelo_Tribunal_Marítimo">'Orientações Não Rural PJ'!$B$885:$B$892</definedName>
    <definedName name="Certificado_de_autorização_de_voo___expedido_pela_ANAC">'Orientações Não Rural PJ'!$B$1101:$B$1108</definedName>
    <definedName name="Certificado_de_autorização_de_vôo___expedido_pela_ANAC">'Orientações PJ Proj FDA'!$B$787:$B$792</definedName>
    <definedName name="Certificado_de_cadastramento_do_Ministério_do_Turismo" localSheetId="4">'Orientações PJ Proj FDA'!$B$835:$B$842</definedName>
    <definedName name="Certificado_de_cadastramento_do_Ministério_do_Turismo">'Orientações Não Rural PJ'!$B$1174:$B$1182</definedName>
    <definedName name="Certificado_de_Cadastro_do_Imóvel_Rural___CCIR" localSheetId="4">'Orientações PJ Proj FDA'!$B$306:$B$311</definedName>
    <definedName name="Certificado_de_Cadastro_do_Imóvel_Rural___CCIR">'Orientações Não Rural PJ'!$B$433:$B$440</definedName>
    <definedName name="Certificado_de_Classificação_de_Casco_e_Estrutura" localSheetId="4">'Orientações PJ Proj FDA'!$B$673:$B$678</definedName>
    <definedName name="Certificado_de_Classificação_de_Casco_e_Estrutura">'Orientações Não Rural PJ'!$B$949:$B$956</definedName>
    <definedName name="Certificado_de_Classificação_de_Máquinas__Equipamentos_e_Eletricidade" localSheetId="4">'Orientações PJ Proj FDA'!$B$679:$B$684</definedName>
    <definedName name="Certificado_de_Classificação_de_Máquinas__Equipamentos_e_Eletricidade">'Orientações Não Rural PJ'!$B$957:$B$964</definedName>
    <definedName name="Certificado_de_Empreendimento_Implantado" localSheetId="4">'Orientações PJ Proj FDA'!$B$156:$B$161</definedName>
    <definedName name="Certificado_de_Empreendimento_Implantado">'Orientações Não Rural PJ'!$B$216:$B$223</definedName>
    <definedName name="Certificado_de_matrícula_e_nacionalidade">'Orientações Não Rural PJ'!$B$1085:$B$1092</definedName>
    <definedName name="Certificado_de_matrícula_e_nacionalidade___expedido_pela_Agência_Nacional_de_Aviação_Civil___ANAC">'Orientações PJ Proj FDA'!$B$775:$B$780</definedName>
    <definedName name="Certificado_de_Regularidade___IBAMA">'Orientações Não Rural PJ'!$B$146:$B$156</definedName>
    <definedName name="Certificado_de_Regularidade___IBAMA___se_atividade_potencialmente_poluidora_ou_utilizadora_de_recursos_ambientais">'Orientações PJ Proj FDA'!$B$106:$B$113</definedName>
    <definedName name="Certificado_de_Segurança_da_Navegação__CSN" localSheetId="4">'Orientações PJ Proj FDA'!$B$655:$B$660</definedName>
    <definedName name="Certificado_de_Segurança_da_Navegação__CSN">'Orientações Não Rural PJ'!$B$925:$B$932</definedName>
    <definedName name="Comprovação_da_capacidade_de_aporte_de_recursos_próprios" localSheetId="4">'Orientações PJ Proj FDA'!$B$82:$B$87</definedName>
    <definedName name="Comprovação_da_capacidade_de_aporte_de_recursos_próprios">'Orientações Não Rural PJ'!$B$113:$B$120</definedName>
    <definedName name="Comprovante_de_benefícios_fiscais" localSheetId="4">'Orientações PJ Proj FDA'!$B$150:$B$155</definedName>
    <definedName name="Comprovante_de_benefícios_fiscais">'Orientações Não Rural PJ'!$B$208:$B$215</definedName>
    <definedName name="Comprovante_de_pagamento_da_Taxa_de_Controle_e_Fiscalização_Ambiental_TCFA___IBAMA" localSheetId="4">'Orientações PJ Proj FDA'!$B$114:$B$119</definedName>
    <definedName name="Comprovante_de_pagamento_da_Taxa_de_Controle_e_Fiscalização_Ambiental_TCFA___IBAMA">'Orientações Não Rural PJ'!$B$157:$B$165</definedName>
    <definedName name="Comprovante_de_quitação_de_anuidade_junto_ao_CREA">'Orientações PJ Proj FDA'!$B$739:$B$744</definedName>
    <definedName name="Consulta_ao_Cadastro_Nacional_de_Empresas_Inidôneas_e_Suspensas__CEIS">'Orientações Não Rural PJ'!$B$183:$B$191</definedName>
    <definedName name="Contrato_de_prestação_de_serviços_entre_proponente_e_assistência_técnica_projetista">'Orientações PJ Proj FDA'!$B$46:$B$51</definedName>
    <definedName name="Contrato_de_prestação_de_serviços_entre_proponente_e_projetista">'Orientações Não Rural PJ'!$B$49:$B$56</definedName>
    <definedName name="Contrato_entre_estaleiro_construtor_e_empresa_Certificadora_das_Normas_da_Autoridade_Marítima">'Orientações PJ Proj FDA'!$B$745:$B$750</definedName>
    <definedName name="Contrato_firmado_com_os_fornecedores" localSheetId="4">'Orientações PJ Proj FDA'!$A$529:$A$534</definedName>
    <definedName name="Contrato_firmado_com_os_fornecedores">'Orientações Não Rural PJ'!$B$756:$B$763</definedName>
    <definedName name="Contrato_ou_proposta_de_construção_da_embarcação_entre_armador_e_a_empresa_construtora_estaleiro" localSheetId="4">'Orientações PJ Proj FDA'!$B$721:$B$726</definedName>
    <definedName name="Contrato_ou_proposta_de_construção_da_embarcação_entre_armador_e_a_empresa_construtora_estaleiro">'Orientações Não Rural PJ'!$B$1013:$B$1020</definedName>
    <definedName name="Cronograma_físico_financeiro___das_construções_civis_a_realizar" localSheetId="4">'Orientações PJ Proj FDA'!$B$385:$B$390</definedName>
    <definedName name="Cronograma_físico_financeiro___das_construções_civis_a_realizar">'Orientações Não Rural PJ'!$B$540:$B$547</definedName>
    <definedName name="Cronograma_físico_financeiro_do_empreendimento" localSheetId="4">'Orientações PJ Proj FDA'!$B$34:$B$39</definedName>
    <definedName name="Cronograma_físico_financeiro_do_empreendimento">'Orientações Não Rural PJ'!$B$17:$B$24</definedName>
    <definedName name="Curriculum_Vitae___dos_dirigentes">'Orientações Não Rural PJ'!$B$329:$B$336</definedName>
    <definedName name="Da_Proponente" localSheetId="4">'Orientações PJ Proj FDA'!$B$52:$B$57</definedName>
    <definedName name="Da_Proponente">'Orientações Não Rural PJ'!$B$57:$B$64</definedName>
    <definedName name="Das_Coligadas" localSheetId="4">'Orientações PJ Proj FDA'!$B$192:$B$197</definedName>
    <definedName name="Das_Coligadas">'Orientações Não Rural PJ'!$B$273:$B$280</definedName>
    <definedName name="Declaração_de_inexistência_de_embargo_vigentes___se_Imóvel_Rural" localSheetId="4">'Orientações PJ Proj FDA'!$A$318:$A$323</definedName>
    <definedName name="Declaração_de_inexistência_de_embargo_vigentes___se_Imóvel_Rural">'Orientações Não Rural PJ'!$B$450:$B$457</definedName>
    <definedName name="Declaração_de_Origem_Florestal___DOF" localSheetId="4">'Orientações PJ Proj FDA'!$B$541:$B$546</definedName>
    <definedName name="Declaração_de_Origem_Florestal___DOF">'Orientações Não Rural PJ'!$B$772:$B$779</definedName>
    <definedName name="Declaração_de_Regularidade_da_Situação_junto_à_Comissão_de_Valores_Mobiliários">'Orientações Não Rural PJ'!$B$240:$B$247</definedName>
    <definedName name="Declaração_de_Regularidade_da_Situação_junto_à_Comissão_de_Valores_Mobiliários___fornecidas_pela_CVM">'Orientações PJ Proj FDA'!$B$168:$B$173</definedName>
    <definedName name="Declaração_de_Regularidade_da_Situação_junto_à_SUDAM">'Orientações Não Rural PJ'!$B$224:$B$231</definedName>
    <definedName name="Declaração_de_Regularidade_da_Situação_junto_a_SUDAM__fornecida_pelo_Banco_da_Amazônia">'Orientações PJ Proj FDA'!$B$162:$B$167</definedName>
    <definedName name="Declaração_do_BNDES" localSheetId="4">'Orientações PJ Proj FDA'!$B$174:$B$179</definedName>
    <definedName name="Declaração_do_BNDES">'Orientações Não Rural PJ'!$B$248:$B$255</definedName>
    <definedName name="Declaração_dos_sócios_administradores_quanto_a_não_se_encontrar_na_condição_de_Servidor_Públ._Federal">'Orientações Não Rural PJ'!$B$337:$B$344</definedName>
    <definedName name="Declaração_dos_sócios_administradores_quanto_a_não_se_encontrar_na_condição_de_servidor_público_federal">'Orientações PJ Proj FDA'!$B$234:$B$239</definedName>
    <definedName name="Declaração_quanto_a_regularidade_para_com_a_CVM_e_Fundos_Constitucionais_de_Financ._Invest." localSheetId="4">'Orientações PJ Proj FDA'!$B$180:$B$185</definedName>
    <definedName name="Declaração_quanto_a_regularidade_para_com_a_CVM_e_Fundos_Constitucionais_de_Financ._Invest.">'Orientações Não Rural PJ'!$B$232:$B$239</definedName>
    <definedName name="Do_Projeto" localSheetId="4">'Orientações PJ Proj FDA'!$B$5:$B$11</definedName>
    <definedName name="Do_Projeto">'Orientações Não Rural PJ'!$B$1:$B$8</definedName>
    <definedName name="Dos_sócios_avalistas_dirigentes" localSheetId="4">'Orientações PJ Proj FDA'!$B$210:$B$215</definedName>
    <definedName name="Dos_sócios_avalistas_dirigentes">'Orientações Não Rural PJ'!$B$297:$B$304</definedName>
    <definedName name="Especificações_quanto_a_administração_do_Shopping__própria__ou_Contrato_com_empresa_administradora" localSheetId="4">'Orientações PJ Proj FDA'!$B$511:$B$516</definedName>
    <definedName name="Especificações_quanto_a_administração_do_Shopping__própria__ou_Contrato_com_empresa_administradora">'Orientações Não Rural PJ'!$B$708:$B$715</definedName>
    <definedName name="Estação_de_Tratamento_de_Esgoto" localSheetId="4">'Orientações PJ Proj FDA'!$B$505:$B$510</definedName>
    <definedName name="Estação_de_Tratamento_de_Esgoto">'Orientações Não Rural PJ'!$B$700:$B$707</definedName>
    <definedName name="Estatuto_Contrato_Social__com_respectivas_alterações">'Orientações Não Rural PJ'!$B$89:$B$96</definedName>
    <definedName name="Estudo_de_Impacto_de_Trânsito" localSheetId="4">'Orientações PJ Proj FDA'!$B$499:$B$504</definedName>
    <definedName name="Estudo_de_Impacto_de_Trânsito">'Orientações Não Rural PJ'!$B$692:$B$699</definedName>
    <definedName name="Estudo_de_Impacto_de_Vizinhança" localSheetId="4">'Orientações PJ Proj FDA'!$B$493:$B$498</definedName>
    <definedName name="Estudo_de_Impacto_de_Vizinhança">'Orientações Não Rural PJ'!$B$684:$B$691</definedName>
    <definedName name="Estudo_de_Mercado" localSheetId="4">'Orientações PJ Proj FDA'!$B$40:$B$45</definedName>
    <definedName name="Estudo_de_Mercado">'Orientações Não Rural PJ'!$B$25:$B$32</definedName>
    <definedName name="Estudos_geológicos_sobre_a_jazida" localSheetId="4">'Orientações PJ Proj FDA'!$B$571:$B$576</definedName>
    <definedName name="Estudos_geológicos_sobre_a_jazida">'Orientações Não Rural PJ'!$B$812:$B$819</definedName>
    <definedName name="Extratos_dos_financiamentos_em_andamento_em_outras_instituições_financeiras" localSheetId="4">'Orientações PJ Proj FDA'!$B$144:$B$149</definedName>
    <definedName name="Extratos_dos_financiamentos_em_andamento_em_outras_instituições_financeiras">'Orientações Não Rural PJ'!$B$200:$B$207</definedName>
    <definedName name="Formação_e_experiência_profissional_dos_sócios_dirigentes" localSheetId="4">'Orientações PJ Proj FDA'!$B$228:$B$233</definedName>
    <definedName name="Formação_e_experiência_profissional_dos_sócios_dirigentes">'Orientações Não Rural PJ'!$B$321:$B$328</definedName>
    <definedName name="Formulário_de_Informações_Sócio_Ambiental___FISA_ou_Questionário_Sócio_Ambiental___QSA">'Orientações PJ Proj FDA'!$B$88:$B$93</definedName>
    <definedName name="Formulário_de_Informações_Socioambiental___FISA_ou_Questionário_Socioambiental___QSA">'Orientações Não Rural PJ'!$B$121:$B$128</definedName>
    <definedName name="ImovGar_F" localSheetId="3">'PJ Projeto FDA'!$A$123</definedName>
    <definedName name="ImovGar_F">'Não Rural PJ'!$A$271</definedName>
    <definedName name="ImovGar_I" localSheetId="3">'PJ Projeto FDA'!$A$102</definedName>
    <definedName name="ImovGar_I">'Não Rural PJ'!$A$250</definedName>
    <definedName name="ImovGar1" localSheetId="3">'PJ Projeto FDA'!$BC$101</definedName>
    <definedName name="ImovGar1">'Não Rural PJ'!$AY$249</definedName>
    <definedName name="ImovGar2" localSheetId="3">'PJ Projeto FDA'!$BC$123</definedName>
    <definedName name="ImovGar2">'Não Rural PJ'!$AY$272</definedName>
    <definedName name="ImovGar4" localSheetId="3">'PJ Projeto FDA'!$BE$101</definedName>
    <definedName name="ImovGar4">'Não Rural PJ'!$BA$249</definedName>
    <definedName name="ImovGar5" localSheetId="3">'PJ Projeto FDA'!$BE$123</definedName>
    <definedName name="ImovGar5">'Não Rural PJ'!$BA$272</definedName>
    <definedName name="ImovGarantia_3" localSheetId="3">'PJ Projeto FDA'!$AE$101</definedName>
    <definedName name="ImovGarantia_3">'Não Rural PJ'!$AE$249</definedName>
    <definedName name="ImovSup_3" localSheetId="3">'PJ Projeto FDA'!$AE$123</definedName>
    <definedName name="ImovSup_3">'Não Rural PJ'!$AE$272</definedName>
    <definedName name="Inscrição_na_Junta_Comercial_que_comprove_a_atividade_de_Shopping_Center">'Orientações Não Rural PJ'!$B$652:$B$659</definedName>
    <definedName name="Instrumento_de_mandato_procurações" localSheetId="4">'Orientações PJ Proj FDA'!$B$216:$B$221</definedName>
    <definedName name="Instrumento_de_mandato_procurações">'Orientações Não Rural PJ'!$B$305:$B$312</definedName>
    <definedName name="Instrumento_de_promessa_de_compra_e_venda_do_imóvel_objeto_do_crédito" localSheetId="4">'Orientações PJ Proj FDA'!$B$475:$B$480</definedName>
    <definedName name="Instrumento_de_promessa_de_compra_e_venda_do_imóvel_objeto_do_crédito">'Orientações Não Rural PJ'!$B$740:$B$747</definedName>
    <definedName name="Instrumentos_contratuais_dos_financiamentos_em_andamento_em_outras_instituições_financeiras" localSheetId="4">'Orientações PJ Proj FDA'!$B$138:$B$143</definedName>
    <definedName name="Instrumentos_contratuais_dos_financiamentos_em_andamento_em_outras_instituições_financeiras">'Orientações Não Rural PJ'!$B$192:$B$199</definedName>
    <definedName name="Int_1">'Não Rural PJ'!$L$24</definedName>
    <definedName name="Int_10">'Não Rural PJ'!$L$127</definedName>
    <definedName name="Int_12">'Não Rural PJ'!$L$84</definedName>
    <definedName name="Int_13">'Não Rural PJ'!$L$87</definedName>
    <definedName name="Int_14">'Não Rural PJ'!$L$102</definedName>
    <definedName name="Int_15">'Não Rural PJ'!$L$107</definedName>
    <definedName name="Int_18">'Não Rural PJ'!$L$130</definedName>
    <definedName name="Int_19">'Não Rural PJ'!$L$135</definedName>
    <definedName name="Int_2">'Não Rural PJ'!$L$25</definedName>
    <definedName name="Int_20">'Não Rural PJ'!$L$138</definedName>
    <definedName name="Int_21">'Não Rural PJ'!$L$147</definedName>
    <definedName name="Int_22">'Não Rural PJ'!$L$150</definedName>
    <definedName name="Int_23">'Não Rural PJ'!$L$155</definedName>
    <definedName name="Int_24">'Não Rural PJ'!$L$158</definedName>
    <definedName name="Int_25">'Não Rural PJ'!$L$163</definedName>
    <definedName name="Int_26">'Não Rural PJ'!$L$166</definedName>
    <definedName name="Int_27">'Não Rural PJ'!$L$187</definedName>
    <definedName name="Int_28">'Não Rural PJ'!$L$190</definedName>
    <definedName name="Int_29">'Não Rural PJ'!$L$205</definedName>
    <definedName name="Int_3">'Não Rural PJ'!$L$38</definedName>
    <definedName name="Int_30">'Não Rural PJ'!$L$208</definedName>
    <definedName name="Int_31">'Não Rural PJ'!$L$219</definedName>
    <definedName name="Int_32">'Não Rural PJ'!$L$222</definedName>
    <definedName name="Int_33">'Não Rural PJ'!$L$225</definedName>
    <definedName name="Int_34">'Não Rural PJ'!$L$236</definedName>
    <definedName name="Int_35">'Não Rural PJ'!$L$239</definedName>
    <definedName name="Int_36">'Não Rural PJ'!$L$242</definedName>
    <definedName name="Int_37">'Não Rural PJ'!$L$247</definedName>
    <definedName name="Int_38">'Não Rural PJ'!$L$250</definedName>
    <definedName name="Int_39">'Não Rural PJ'!$L$269</definedName>
    <definedName name="Int_4">'Não Rural PJ'!$L$43</definedName>
    <definedName name="Int_40">'Não Rural PJ'!$L$110</definedName>
    <definedName name="Int_41">'Não Rural PJ'!$L$234</definedName>
    <definedName name="Int_42">'Não Rural PJ'!$L$34</definedName>
    <definedName name="Int_43">'Não Rural PJ'!$L$37</definedName>
    <definedName name="Int_5">'Não Rural PJ'!$L$96</definedName>
    <definedName name="Int_6">'Não Rural PJ'!$L$97</definedName>
    <definedName name="Int_7">'Não Rural PJ'!$L$297</definedName>
    <definedName name="Int_8">'Não Rural PJ'!$L$376</definedName>
    <definedName name="Int_9">'Não Rural PJ'!$L$108</definedName>
    <definedName name="Justificativa_das_Ações_Trabalhistas_em_julgamento_e_documentos_onde_conste__fase_e_valores_atualizados">'Orientações PJ Proj FDA'!$B$126:$B$131</definedName>
    <definedName name="Justificativa_das_Ações_Trabalhistas_em_julgamento_e_indicação_da_fase_e_valores_atualizados">'Orientações Não Rural PJ'!$B$175:$B$182</definedName>
    <definedName name="Laudo_de_Avaliação___das_garantias" localSheetId="4">'Orientações PJ Proj FDA'!$B$246:$B$251</definedName>
    <definedName name="Laudo_de_Avaliação___das_garantias">'Orientações Não Rural PJ'!$B$353:$B$360</definedName>
    <definedName name="Layout_das_construções_civis" localSheetId="4">'Orientações PJ Proj FDA'!$B$409:$B$414</definedName>
    <definedName name="Layout_das_construções_civis">'Orientações Não Rural PJ'!$B$572:$B$579</definedName>
    <definedName name="Layout_das_máquinas_e_equipamentos" localSheetId="4">'Orientações PJ Proj FDA'!$B$348:$B$353</definedName>
    <definedName name="Layout_das_máquinas_e_equipamentos">'Orientações Não Rural PJ'!$B$490:$B$497</definedName>
    <definedName name="Levantamentos_extra_contábeis_ou_Balanço_com_DRE_do_último_exercício_e_Balancete">'Orientações Não Rural PJ'!$B$65:$B$72</definedName>
    <definedName name="Levantamentos_extra_contábeis_ou_Balanço_com_DRE_do_último_exercício_e_Balancete2">'Orientações Não Rural PJ'!$B$281:$B$288</definedName>
    <definedName name="Levantamentos_extra_contábeis_ou_Balanço_do_último_exercício_e_Balancete_com_DRE">'Orientações PJ Proj FDA'!$B$58:$B$63</definedName>
    <definedName name="Licença_da_Embarcação" localSheetId="4">'Orientações PJ Proj FDA'!$B$637:$B$642</definedName>
    <definedName name="Licença_da_Embarcação">'Orientações Não Rural PJ'!$B$901:$B$908</definedName>
    <definedName name="Licença_de_Operação_vigente_da_empresa_construtora_estaleiro" localSheetId="4">'Orientações PJ Proj FDA'!$B$727:$B$732</definedName>
    <definedName name="Licença_de_Operação_vigente_da_empresa_construtora_estaleiro">'Orientações Não Rural PJ'!$B$1021:$B$1028</definedName>
    <definedName name="Licença_expedida_pela_autoridade_administrativa_do_município_de_localização_da_jazida" localSheetId="4">'Orientações PJ Proj FDA'!$B$565:$B$570</definedName>
    <definedName name="Licença_expedida_pela_autoridade_administrativa_do_município_de_localização_da_jazida">'Orientações Não Rural PJ'!$B$804:$B$811</definedName>
    <definedName name="Licença_Prévia_ou_Licença_de_Instalação_ou_Licença_de_Operação_ou_dispensa_de_licenciamento" localSheetId="4">'Orientações PJ Proj FDA'!$B$100:$B$105</definedName>
    <definedName name="Licença_Prévia_ou_Licença_de_Instalação_ou_Licença_de_Operação_ou_dispensa_de_licenciamento">'Orientações Não Rural PJ'!$B$138:$B$145</definedName>
    <definedName name="Licença_Provisória_de_Construção_de_Embarcação_emitida_pela_empresa_Certificadora">'Orientações Não Rural PJ'!$B$1045:$B$1052</definedName>
    <definedName name="Limite_de_Participação_do_Banco_no_financiamento___Planilha_Percentual_de_Participação">'Orientações Não Rural PJ'!$B$33:$B$40</definedName>
    <definedName name="Memorial_descritivo___das_construções_civis_a_realizar" localSheetId="4">'Orientações PJ Proj FDA'!$B$379:$B$384</definedName>
    <definedName name="Memorial_descritivo___das_construções_civis_a_realizar">'Orientações Não Rural PJ'!$B$532:$B$539</definedName>
    <definedName name="Minuta_do_Contrato_de_Locação_e_Normas_Complementares" localSheetId="4">'Orientações PJ Proj FDA'!$B$487:$B$492</definedName>
    <definedName name="Minuta_do_Contrato_de_Locação_e_Normas_Complementares">'Orientações Não Rural PJ'!$B$676:$B$683</definedName>
    <definedName name="Minuta_do_Estatuto_da_Associação_de_Lojistas" localSheetId="4">'Orientações PJ Proj FDA'!$B$481:$B$486</definedName>
    <definedName name="Minuta_do_Estatuto_da_Associação_de_Lojistas">'Orientações Não Rural PJ'!$B$668:$B$675</definedName>
    <definedName name="Minuta_do_Regimento_Interno">'Orientações Não Rural PJ'!$B$660:$B$667</definedName>
    <definedName name="Minuta_dos_Contratos_de_Lojas_Âncoras_com_o_Shopping" localSheetId="4">'Orientações PJ Proj FDA'!$B$517:$B$522</definedName>
    <definedName name="Minuta_dos_Contratos_de_Lojas_Âncoras_com_o_Shopping">'Orientações Não Rural PJ'!$B$716:$B$723</definedName>
    <definedName name="Orçamento_detalhado___das_construções_civis_a_realizar" localSheetId="4">'Orientações PJ Proj FDA'!$B$372:$B$378</definedName>
    <definedName name="Orçamento_detalhado___das_construções_civis_a_realizar">'Orientações Não Rural PJ'!$B$522:$B$531</definedName>
    <definedName name="Planta_de_localização_situação" localSheetId="4">'Orientações PJ Proj FDA'!$B$415:$B$420</definedName>
    <definedName name="Planta_de_localização_situação">'Orientações Não Rural PJ'!$B$580:$B$587</definedName>
    <definedName name="Portaria_de_Lavra__com_prova_de_respectiva_transcrição_do_DNPM" localSheetId="4">'Orientações PJ Proj FDA'!$B$553:$B$558</definedName>
    <definedName name="Portaria_de_Lavra__com_prova_de_respectiva_transcrição_do_DNPM">'Orientações Não Rural PJ'!$B$788:$B$795</definedName>
    <definedName name="Projeto__Cronograma_físico_financeiro_e_ART_para_embarcação_a_ser_construída_e_objeto_do_financiamento">'Orientações Não Rural PJ'!$B$997:$B$1004</definedName>
    <definedName name="Projeto_aprovado_pelo_DNPM" localSheetId="4">'Orientações PJ Proj FDA'!$B$559:$B$564</definedName>
    <definedName name="Projeto_aprovado_pelo_DNPM">'Orientações Não Rural PJ'!$B$796:$B$803</definedName>
    <definedName name="Projeto_Combate_a_Incêndio">'Orientações PJ Proj FDA'!$B$451:$B$456</definedName>
    <definedName name="Projeto_da_Fundação" localSheetId="4">'Orientações PJ Proj FDA'!$B$427:$B$432</definedName>
    <definedName name="Projeto_da_Fundação">'Orientações Não Rural PJ'!$B$596:$B$603</definedName>
    <definedName name="Projeto_de_Prevenção_e_Combate_a_Incêndio_ou_Comprovação_da_dispensa">'Orientações Não Rural PJ'!$B$628:$B$635</definedName>
    <definedName name="Projeto_do_Sistema_de_Proteção_Contra_Descargas_Atmosféricas">'Orientações PJ Proj FDA'!$B$457:$B$462</definedName>
    <definedName name="Projeto_do_Sistema_de_Proteção_Contra_Descargas_Atmosféricas_ou_Comprovação_da_dispensa">'Orientações Não Rural PJ'!$B$636:$B$643</definedName>
    <definedName name="Projeto_e_ART_para_embarcaçõe_a_ser_construída_e_objeto_do_financiamento">'Orientações PJ Proj FDA'!$B$709:$B$714</definedName>
    <definedName name="Projeto_Econômico_e_Plano_de_Aplicação_Orçamento_detalhado" localSheetId="4">'Orientações PJ Proj FDA'!$B$28:$B$33</definedName>
    <definedName name="Projeto_Econômico_e_Plano_de_Aplicação_Orçamento_detalhado">'Orientações Não Rural PJ'!$B$9:$B$16</definedName>
    <definedName name="Projeto_Elétrico" localSheetId="4">'Orientações PJ Proj FDA'!$B$445:$B$450</definedName>
    <definedName name="Projeto_Elétrico">'Orientações Não Rural PJ'!$G$622</definedName>
    <definedName name="Projeto_Estrutural" localSheetId="4">'Orientações PJ Proj FDA'!$B$433:$B$438</definedName>
    <definedName name="Projeto_Estrutural">'Orientações Não Rural PJ'!$B$604:$B$611</definedName>
    <definedName name="Projeto_Hidrossanitário" localSheetId="4">'Orientações PJ Proj FDA'!$B$439:$B$444</definedName>
    <definedName name="Projeto_Hidrossanitário">'Orientações Não Rural PJ'!$B$612:$B$619</definedName>
    <definedName name="Projetos_arquitetônico_das_construções_civis_a_realizar" localSheetId="4">'Orientações PJ Proj FDA'!$B$421:$B$426</definedName>
    <definedName name="Projetos_arquitetônico_das_construções_civis_a_realizar">'Orientações Não Rural PJ'!$B$588:$B$595</definedName>
    <definedName name="Promessa_de_Compra_e_Venda_da_Embarcação">'Orientações Não Rural PJ'!$B$973:$B$980</definedName>
    <definedName name="Proposta_de_seguro_de_construção_a_ser_contratado_pelo_estaleiro_construtor" localSheetId="4">'Orientações PJ Proj FDA'!$B$751:$B$756</definedName>
    <definedName name="Proposta_de_seguro_de_construção_a_ser_contratado_pelo_estaleiro_construtor">'Orientações Não Rural PJ'!$B$1053:$B$1060</definedName>
    <definedName name="Proposta_de_seguro_do_casco___patrimonial">'Orientações Não Rural PJ'!$B$941:$B$948</definedName>
    <definedName name="Proposta_de_Seguro_do_Casco_da_Aeronave" localSheetId="4">'Orientações PJ Proj FDA'!$B$763:$B$768</definedName>
    <definedName name="Proposta_de_Seguro_do_Casco_da_Aeronave">'Orientações Não Rural PJ'!$B$1069:$B$1076</definedName>
    <definedName name="Proposta_orçamento_de_construção_por_estaleiro" localSheetId="4">'Orientações PJ Proj FDA'!$B$715:$B$720</definedName>
    <definedName name="Proposta_orçamento_de_construção_por_estaleiro">'Orientações Não Rural PJ'!$B$1005:$B$1012</definedName>
    <definedName name="Propostas_de_fornecimento" localSheetId="4">'Orientações PJ Proj FDA'!$B$336:$B$341</definedName>
    <definedName name="Propostas_de_fornecimento">'Orientações Não Rural PJ'!$B$474:$B$481</definedName>
    <definedName name="Quadro_de_endividamento_com_base_no_SCR">'Orientações Não Rural PJ'!$B$41:$B$48</definedName>
    <definedName name="Registro_da_empresa_estaleiro_construtor_no_CREA" localSheetId="4">'Orientações PJ Proj FDA'!$B$733:$B$738</definedName>
    <definedName name="Registro_da_empresa_estaleiro_construtor_no_CREA">'Orientações Não Rural PJ'!$B$1029:$B$1036</definedName>
    <definedName name="Relação_Anual_de_Informações_Sociais___RAIS">'Orientações Não Rural PJ'!$B$265:$B$272</definedName>
    <definedName name="Relação_Patrimonial_com_estimativa_de_valores_e_ou_IRPF" localSheetId="4">'Orientações PJ Proj FDA'!$A$222:$A$227</definedName>
    <definedName name="Relação_Patrimonial_com_estimativa_de_valores_e_ou_IRPF">'Orientações Não Rural PJ'!$B$313:$B$320</definedName>
    <definedName name="Se_Aeronave" localSheetId="4">'Orientações PJ Proj FDA'!$B$757:$B$762</definedName>
    <definedName name="Se_Aeronave">'Orientações Não Rural PJ'!$B$1061:$B$1068</definedName>
    <definedName name="Se_embarcação_a_ser_construídas">'Orientações Não Rural PJ'!$B$989:$B$996</definedName>
    <definedName name="Se_embarcação_existente" localSheetId="4">'Orientações PJ Proj FDA'!$B$631:$B$636</definedName>
    <definedName name="Se_embarcação_existente">'Orientações Não Rural PJ'!$B$893:$B$900</definedName>
    <definedName name="Se_embarcações_a_serem_construídas">'Orientações PJ Proj FDA'!$B$703:$B$708</definedName>
    <definedName name="Se_Empresa_de_Transporte_Terrestre" localSheetId="4">'Orientações PJ Proj FDA'!$B$799:$B$804</definedName>
    <definedName name="Se_Empresa_de_Transporte_Terrestre">'Orientações Não Rural PJ'!$B$1125:$B$1132</definedName>
    <definedName name="Se_Empresa_de_Transportes_Aquaviário" localSheetId="4">'Orientações PJ Proj FDA'!$B$607:$B$612</definedName>
    <definedName name="Se_Empresa_de_Transportes_Aquaviário">'Orientações Não Rural PJ'!$B$860:$B$867</definedName>
    <definedName name="Se_financiamento_para_aquisição_de_imóvel" localSheetId="4">'Orientações PJ Proj FDA'!$B$463:$B$468</definedName>
    <definedName name="Se_financiamento_para_aquisição_de_imóvel">'Orientações Não Rural PJ'!$B$724:$B$731</definedName>
    <definedName name="Se_Imóvel_Objeto_de_Garantia" localSheetId="4">'Orientações PJ Proj FDA'!$B$264:$B$269</definedName>
    <definedName name="Se_Imóvel_Objeto_de_Garantia">'Orientações Não Rural PJ'!$B$377:$B$384</definedName>
    <definedName name="Se_indústria_Alimentícia" localSheetId="4">'Orientações PJ Proj FDA'!$B$583:$B$588</definedName>
    <definedName name="Se_indústria_Alimentícia">'Orientações Não Rural PJ'!$B$828:$B$835</definedName>
    <definedName name="Se_Indústria_de_Beneficiamento_de_Madeira" localSheetId="4">'Orientações PJ Proj FDA'!$B$523:$B$528</definedName>
    <definedName name="Se_Indústria_de_Beneficiamento_de_Madeira">'Orientações Não Rural PJ'!$B$748:$B$755</definedName>
    <definedName name="Se_Indústria_Mineral" localSheetId="4">'Orientações PJ Proj FDA'!$B$547:$B$552</definedName>
    <definedName name="Se_Indústria_Mineral">'Orientações Não Rural PJ'!$B$780:$B$787</definedName>
    <definedName name="Se_oferecido_Garantias_pré_existentes" localSheetId="4">'Orientações PJ Proj FDA'!$B$240:$B$245</definedName>
    <definedName name="Se_oferecido_Garantias_pré_existentes">'Orientações Não Rural PJ'!$B$345:$B$352</definedName>
    <definedName name="Se_proposta_de_financiamento_contemplar_aquisição_de_máquinas_equipamentos_móveis_veículos" localSheetId="4">'Orientações PJ Proj FDA'!$B$330:$B$335</definedName>
    <definedName name="Se_proposta_de_financiamento_contemplar_aquisição_de_máquinas_equipamentos_móveis_veículos">'Orientações Não Rural PJ'!$B$466:$B$473</definedName>
    <definedName name="Se_proposta_de_financiamento_contemplar_edificação" localSheetId="4">'Orientações PJ Proj FDA'!$B$354:$B$359</definedName>
    <definedName name="Se_proposta_de_financiamento_contemplar_edificação">'Orientações Não Rural PJ'!$B$498:$B$505</definedName>
    <definedName name="Seguro_Obrigatório_da_embarcação" localSheetId="4">'Orientações PJ Proj FDA'!$B$667:$B$672</definedName>
    <definedName name="Seguro_obrigatório_da_embarcação">'Orientações Não Rural PJ'!$B$981:$B$988</definedName>
    <definedName name="Seguro_obrigatório_da_embarcação2">'Orientações PJ Proj FDA'!$B$697:$B$702</definedName>
    <definedName name="Shopping_Center">'Orientações Não Rural PJ'!$B$644:$B$651</definedName>
    <definedName name="SIF_ou_SIE_ou_SIM" localSheetId="4">'Orientações PJ Proj FDA'!$B$601:$B$606</definedName>
    <definedName name="SIF_ou_SIE_ou_SIM">'Orientações Não Rural PJ'!$B$852:$B$859</definedName>
    <definedName name="Termo_de_enquadramento_emitido_pela_SUDAM">'Orientações PJ Proj FDA'!$B$22:$B$27</definedName>
    <definedName name="Termo_de_Vistoria_em_Seco_e_Termo_de_Vistoria_Flutuando" localSheetId="4">'Orientações PJ Proj FDA'!$B$661:$B$666</definedName>
    <definedName name="Termo_de_Vistoria_em_Seco_e_Termo_de_Vistoria_Flutuando">'Orientações Não Rural PJ'!$B$933:$B$940</definedName>
    <definedName name="Testes_laboratoriais_sobre_o_mineral" localSheetId="4">'Orientações PJ Proj FDA'!$B$577:$B$582</definedName>
    <definedName name="Testes_laboratoriais_sobre_o_mineral">'Orientações Não Rural PJ'!$B$820:$B$827</definedName>
    <definedName name="Título_de_propriedade___inscrito_no_Registro_Aeronáutico_Brasileiro" localSheetId="4">'Orientações PJ Proj FDA'!$B$769:$B$774</definedName>
    <definedName name="Título_de_propriedade___inscrito_no_Registro_Aeronáutico_Brasileiro">'Orientações Não Rural PJ'!$B$1077:$B$1084</definedName>
    <definedName name="Título_de_propriedade_registrado_no_TM__se_AB_maior_que_100___ou_na_Capitania_dos_Portos" localSheetId="4">'Orientações PJ Proj FDA'!$B$643:$B$648</definedName>
    <definedName name="Título_de_propriedade_registrado_no_TM__se_AB_maior_que_100___ou_na_Capitania_dos_Portos">'Orientações Não Rural PJ'!$B$909:$B$916</definedName>
    <definedName name="Título_translativo_de_propriedade" localSheetId="4">'Orientações PJ Proj FDA'!$B$270:$B$275</definedName>
    <definedName name="Título_Translativo_de_Propriedade">'Orientações Não Rural PJ'!$B$385:$B$392</definedName>
    <definedName name="Título_translativo_de_propriedade_ou_Escritura_Pública" localSheetId="4">'Orientações PJ Proj FDA'!$B$469:$B$474</definedName>
    <definedName name="Título_translativo_de_propriedade_ou_Escritura_Pública">'Orientações Não Rural PJ'!$B$732:$B$739</definedName>
  </definedNames>
  <calcPr calcId="152511"/>
</workbook>
</file>

<file path=xl/calcChain.xml><?xml version="1.0" encoding="utf-8"?>
<calcChain xmlns="http://schemas.openxmlformats.org/spreadsheetml/2006/main">
  <c r="AL207" i="5" l="1"/>
  <c r="AL221" i="5"/>
  <c r="AK340" i="5"/>
  <c r="AK338" i="5"/>
  <c r="AK330" i="5"/>
  <c r="AK318" i="5"/>
  <c r="AK27" i="5"/>
  <c r="AR316" i="5"/>
  <c r="AQ316" i="5"/>
  <c r="M15" i="5"/>
  <c r="O309" i="5"/>
  <c r="AK83" i="5"/>
  <c r="AK81" i="5"/>
  <c r="AK77" i="5"/>
  <c r="AK75" i="5"/>
  <c r="AK73" i="5"/>
  <c r="AK71" i="5"/>
  <c r="AK69" i="5"/>
  <c r="AK67" i="5"/>
  <c r="AK65" i="5"/>
  <c r="AK63" i="5"/>
  <c r="AK59" i="5"/>
  <c r="AK45" i="5"/>
  <c r="AK47" i="5"/>
  <c r="AK51" i="5"/>
  <c r="AK55" i="5"/>
  <c r="AK57" i="5"/>
  <c r="AK43" i="5"/>
  <c r="AL83" i="5"/>
  <c r="AL85" i="5"/>
  <c r="AK91" i="5"/>
  <c r="AK99" i="5"/>
  <c r="AK101" i="5"/>
  <c r="AK107" i="5"/>
  <c r="AK109" i="5"/>
  <c r="AK135" i="5"/>
  <c r="AK131" i="5"/>
  <c r="AK129" i="5"/>
  <c r="AK137" i="5"/>
  <c r="AK155" i="5"/>
  <c r="AK153" i="5"/>
  <c r="AK151" i="5"/>
  <c r="AK149" i="5"/>
  <c r="AK161" i="5"/>
  <c r="AK157" i="5"/>
  <c r="AK179" i="5"/>
  <c r="AK173" i="5"/>
  <c r="AK165" i="5"/>
  <c r="AK183" i="5"/>
  <c r="AK181" i="5"/>
  <c r="AK189" i="5"/>
  <c r="AK207" i="5"/>
  <c r="AK247" i="5"/>
  <c r="AK245" i="5"/>
  <c r="AK243" i="5"/>
  <c r="AK233" i="5"/>
  <c r="AK231" i="5"/>
  <c r="AK229" i="5"/>
  <c r="AK227" i="5"/>
  <c r="AK225" i="5"/>
  <c r="O19" i="14"/>
  <c r="M207" i="5"/>
  <c r="AL81" i="5"/>
  <c r="AN81" i="5" s="1"/>
  <c r="AU81" i="5"/>
  <c r="AR81" i="5"/>
  <c r="AQ81" i="5"/>
  <c r="AW81" i="5" l="1"/>
  <c r="AR318" i="5"/>
  <c r="AR320" i="5"/>
  <c r="AR322" i="5"/>
  <c r="AR324" i="5"/>
  <c r="AR326" i="5"/>
  <c r="AR328" i="5"/>
  <c r="AR330" i="5"/>
  <c r="AR332" i="5"/>
  <c r="AR334" i="5"/>
  <c r="AR336" i="5"/>
  <c r="AR338" i="5"/>
  <c r="AR340" i="5"/>
  <c r="AR342" i="5"/>
  <c r="AR344" i="5"/>
  <c r="AR346" i="5"/>
  <c r="AR348" i="5"/>
  <c r="AR23" i="5"/>
  <c r="AR25" i="5"/>
  <c r="AR27" i="5"/>
  <c r="AR29" i="5"/>
  <c r="AR31" i="5"/>
  <c r="AR35" i="5"/>
  <c r="AR37" i="5"/>
  <c r="AR39" i="5"/>
  <c r="AR41" i="5"/>
  <c r="AR43" i="5"/>
  <c r="AR45" i="5"/>
  <c r="AR47" i="5"/>
  <c r="AR49" i="5"/>
  <c r="AR51" i="5"/>
  <c r="AR53" i="5"/>
  <c r="AR55" i="5"/>
  <c r="AR57" i="5"/>
  <c r="AR59" i="5"/>
  <c r="AR61" i="5"/>
  <c r="AR63" i="5"/>
  <c r="AR65" i="5"/>
  <c r="AR67" i="5"/>
  <c r="AR69" i="5"/>
  <c r="AR71" i="5"/>
  <c r="AR73" i="5"/>
  <c r="AR75" i="5"/>
  <c r="AR77" i="5"/>
  <c r="AR79" i="5"/>
  <c r="AR85" i="5"/>
  <c r="AR87" i="5"/>
  <c r="AR91" i="5"/>
  <c r="AR93" i="5"/>
  <c r="AR95" i="5"/>
  <c r="AR97" i="5"/>
  <c r="AR99" i="5"/>
  <c r="AR103" i="5"/>
  <c r="AR105" i="5"/>
  <c r="AR107" i="5"/>
  <c r="AR111" i="5"/>
  <c r="AR113" i="5"/>
  <c r="AR115" i="5"/>
  <c r="AR117" i="5"/>
  <c r="AR119" i="5"/>
  <c r="AR121" i="5"/>
  <c r="AR123" i="5"/>
  <c r="AR125" i="5"/>
  <c r="AR127" i="5"/>
  <c r="AR131" i="5"/>
  <c r="AR133" i="5"/>
  <c r="AR135" i="5"/>
  <c r="AR139" i="5"/>
  <c r="AR141" i="5"/>
  <c r="AR143" i="5"/>
  <c r="AR145" i="5"/>
  <c r="AR147" i="5"/>
  <c r="AR151" i="5"/>
  <c r="AR153" i="5"/>
  <c r="AR155" i="5"/>
  <c r="AR159" i="5"/>
  <c r="AR161" i="5"/>
  <c r="AR163" i="5"/>
  <c r="AR167" i="5"/>
  <c r="AR169" i="5"/>
  <c r="AR171" i="5"/>
  <c r="AR173" i="5"/>
  <c r="AR175" i="5"/>
  <c r="AR177" i="5"/>
  <c r="AR179" i="5"/>
  <c r="AR181" i="5"/>
  <c r="AR183" i="5"/>
  <c r="AR185" i="5"/>
  <c r="AR187" i="5"/>
  <c r="AR191" i="5"/>
  <c r="AR193" i="5"/>
  <c r="AR195" i="5"/>
  <c r="AR197" i="5"/>
  <c r="AR199" i="5"/>
  <c r="AR201" i="5"/>
  <c r="AR203" i="5"/>
  <c r="AR205" i="5"/>
  <c r="AR209" i="5"/>
  <c r="AR211" i="5"/>
  <c r="AR213" i="5"/>
  <c r="AR215" i="5"/>
  <c r="AR217" i="5"/>
  <c r="AR219" i="5"/>
  <c r="AR223" i="5"/>
  <c r="AR225" i="5"/>
  <c r="AR227" i="5"/>
  <c r="AR229" i="5"/>
  <c r="AR231" i="5"/>
  <c r="AR233" i="5"/>
  <c r="AR237" i="5"/>
  <c r="AR239" i="5"/>
  <c r="AR243" i="5"/>
  <c r="AR245" i="5"/>
  <c r="AR247" i="5"/>
  <c r="AR251" i="5"/>
  <c r="AR253" i="5"/>
  <c r="AR255" i="5"/>
  <c r="AR257" i="5"/>
  <c r="AR259" i="5"/>
  <c r="AR261" i="5"/>
  <c r="AR263" i="5"/>
  <c r="AR265" i="5"/>
  <c r="AR267" i="5"/>
  <c r="AR269" i="5"/>
  <c r="AR21" i="5"/>
  <c r="AQ25" i="5"/>
  <c r="AQ23" i="5"/>
  <c r="BA251" i="5" l="1"/>
  <c r="BC251" i="5" s="1"/>
  <c r="AY251" i="5" s="1"/>
  <c r="AX272" i="5" s="1"/>
  <c r="AQ269" i="5"/>
  <c r="AQ267" i="5"/>
  <c r="AQ265" i="5"/>
  <c r="AQ263" i="5"/>
  <c r="AQ261" i="5"/>
  <c r="AQ259" i="5"/>
  <c r="AQ257" i="5"/>
  <c r="AQ255" i="5"/>
  <c r="AQ253" i="5"/>
  <c r="AQ251" i="5"/>
  <c r="AQ247" i="5"/>
  <c r="AL253" i="5"/>
  <c r="AN253" i="5" s="1"/>
  <c r="AL255" i="5"/>
  <c r="AL257" i="5"/>
  <c r="AW257" i="5" s="1"/>
  <c r="AL259" i="5"/>
  <c r="AW259" i="5" s="1"/>
  <c r="AL261" i="5"/>
  <c r="AN261" i="5" s="1"/>
  <c r="AL263" i="5"/>
  <c r="AN263" i="5" s="1"/>
  <c r="AL265" i="5"/>
  <c r="AN265" i="5" s="1"/>
  <c r="AL267" i="5"/>
  <c r="AW267" i="5" s="1"/>
  <c r="AL269" i="5"/>
  <c r="AN269" i="5" s="1"/>
  <c r="AL109" i="5"/>
  <c r="J101" i="5"/>
  <c r="AL251" i="5"/>
  <c r="AN251" i="5" s="1"/>
  <c r="AN255" i="5" l="1"/>
  <c r="AL249" i="5"/>
  <c r="AN257" i="5"/>
  <c r="AN259" i="5"/>
  <c r="AW253" i="5"/>
  <c r="AN267" i="5"/>
  <c r="AW263" i="5"/>
  <c r="AW255" i="5"/>
  <c r="AW265" i="5"/>
  <c r="AW269" i="5"/>
  <c r="AW261" i="5"/>
  <c r="AW251" i="5"/>
  <c r="AK221" i="5"/>
  <c r="AK235" i="5" l="1"/>
  <c r="AU269" i="5" l="1"/>
  <c r="AU267" i="5"/>
  <c r="AU265" i="5"/>
  <c r="AU263" i="5"/>
  <c r="AU261" i="5"/>
  <c r="AU259" i="5"/>
  <c r="AU257" i="5"/>
  <c r="AU255" i="5"/>
  <c r="AU253" i="5"/>
  <c r="AU251" i="5"/>
  <c r="AL27" i="5"/>
  <c r="J21" i="5"/>
  <c r="M6" i="5"/>
  <c r="AJ35" i="5" l="1"/>
  <c r="H35" i="5"/>
  <c r="H37" i="5"/>
  <c r="AJ37" i="5"/>
  <c r="AL35" i="5"/>
  <c r="AN35" i="5" s="1"/>
  <c r="AL37" i="5"/>
  <c r="AL39" i="5"/>
  <c r="AN39" i="5" s="1"/>
  <c r="AJ39" i="5"/>
  <c r="H39" i="5"/>
  <c r="AL97" i="5"/>
  <c r="AN97" i="5" s="1"/>
  <c r="AJ237" i="5"/>
  <c r="AJ239" i="5"/>
  <c r="AL111" i="5"/>
  <c r="AL113" i="5"/>
  <c r="AL119" i="5"/>
  <c r="AL127" i="5"/>
  <c r="AJ127" i="5"/>
  <c r="AJ119" i="5"/>
  <c r="AJ111" i="5"/>
  <c r="AL25" i="5"/>
  <c r="AL117" i="5"/>
  <c r="AL125" i="5"/>
  <c r="AJ97" i="5"/>
  <c r="AJ121" i="5"/>
  <c r="AJ113" i="5"/>
  <c r="AL41" i="5"/>
  <c r="AJ25" i="5"/>
  <c r="AL115" i="5"/>
  <c r="AL123" i="5"/>
  <c r="AJ123" i="5"/>
  <c r="AJ115" i="5"/>
  <c r="AL43" i="5"/>
  <c r="AJ43" i="5"/>
  <c r="AL121" i="5"/>
  <c r="AJ125" i="5"/>
  <c r="AJ117" i="5"/>
  <c r="AJ41" i="5"/>
  <c r="H41" i="5"/>
  <c r="H43" i="5"/>
  <c r="H25" i="5"/>
  <c r="G109" i="5"/>
  <c r="J129" i="5" s="1"/>
  <c r="H97" i="5"/>
  <c r="G235" i="5"/>
  <c r="H237" i="5"/>
  <c r="H239" i="5"/>
  <c r="AL237" i="5"/>
  <c r="AL239" i="5"/>
  <c r="J37" i="5" l="1"/>
  <c r="J39" i="5"/>
  <c r="J81" i="5"/>
  <c r="O81" i="5" s="1"/>
  <c r="J45" i="5"/>
  <c r="AN25" i="5"/>
  <c r="J41" i="5"/>
  <c r="J265" i="5"/>
  <c r="O265" i="5" s="1"/>
  <c r="J255" i="5"/>
  <c r="O255" i="5" s="1"/>
  <c r="J253" i="5"/>
  <c r="O253" i="5" s="1"/>
  <c r="J251" i="5"/>
  <c r="O251" i="5" s="1"/>
  <c r="J267" i="5"/>
  <c r="O267" i="5" s="1"/>
  <c r="J259" i="5"/>
  <c r="O259" i="5" s="1"/>
  <c r="J257" i="5"/>
  <c r="O257" i="5" s="1"/>
  <c r="J269" i="5"/>
  <c r="O269" i="5" s="1"/>
  <c r="J261" i="5"/>
  <c r="O261" i="5" s="1"/>
  <c r="J263" i="5"/>
  <c r="O263" i="5" s="1"/>
  <c r="AG285" i="14"/>
  <c r="AG296" i="5"/>
  <c r="AG375" i="5" s="1"/>
  <c r="O21" i="5"/>
  <c r="T267" i="14"/>
  <c r="AM260" i="14"/>
  <c r="AW257" i="14"/>
  <c r="AT257" i="14"/>
  <c r="AS257" i="14"/>
  <c r="AN257" i="14"/>
  <c r="AW255" i="14"/>
  <c r="AT255" i="14"/>
  <c r="AS255" i="14"/>
  <c r="AN255" i="14"/>
  <c r="AW253" i="14"/>
  <c r="AT253" i="14"/>
  <c r="AS253" i="14"/>
  <c r="AN253" i="14"/>
  <c r="AW251" i="14"/>
  <c r="AT251" i="14"/>
  <c r="AS251" i="14"/>
  <c r="AN251" i="14"/>
  <c r="AW249" i="14"/>
  <c r="AT249" i="14"/>
  <c r="AS249" i="14"/>
  <c r="AN249" i="14"/>
  <c r="AW247" i="14"/>
  <c r="AT247" i="14"/>
  <c r="AS247" i="14"/>
  <c r="AN247" i="14"/>
  <c r="AN245" i="14"/>
  <c r="AO245" i="14" s="1"/>
  <c r="AW243" i="14"/>
  <c r="AT243" i="14"/>
  <c r="AS243" i="14"/>
  <c r="AN243" i="14"/>
  <c r="AW241" i="14"/>
  <c r="AT241" i="14"/>
  <c r="AS241" i="14"/>
  <c r="AN241" i="14"/>
  <c r="AW239" i="14"/>
  <c r="AT239" i="14"/>
  <c r="AS239" i="14"/>
  <c r="AN239" i="14"/>
  <c r="AW237" i="14"/>
  <c r="AT237" i="14"/>
  <c r="AS237" i="14"/>
  <c r="AN237" i="14"/>
  <c r="AW235" i="14"/>
  <c r="AT235" i="14"/>
  <c r="AS235" i="14"/>
  <c r="AN235" i="14"/>
  <c r="AW233" i="14"/>
  <c r="AT233" i="14"/>
  <c r="AS233" i="14"/>
  <c r="AN233" i="14"/>
  <c r="AW231" i="14"/>
  <c r="AT231" i="14"/>
  <c r="AS231" i="14"/>
  <c r="AN231" i="14"/>
  <c r="AW229" i="14"/>
  <c r="AT229" i="14"/>
  <c r="AS229" i="14"/>
  <c r="AN229" i="14"/>
  <c r="AN227" i="14"/>
  <c r="AO227" i="14" s="1"/>
  <c r="AW225" i="14"/>
  <c r="AT225" i="14"/>
  <c r="AS225" i="14"/>
  <c r="AN225" i="14"/>
  <c r="AO225" i="14" s="1"/>
  <c r="AW223" i="14"/>
  <c r="AT223" i="14"/>
  <c r="AS223" i="14"/>
  <c r="AN223" i="14"/>
  <c r="AW221" i="14"/>
  <c r="AT221" i="14"/>
  <c r="AS221" i="14"/>
  <c r="AN221" i="14"/>
  <c r="AO221" i="14" s="1"/>
  <c r="AW219" i="14"/>
  <c r="AT219" i="14"/>
  <c r="AS219" i="14"/>
  <c r="AN219" i="14"/>
  <c r="AW217" i="14"/>
  <c r="AT217" i="14"/>
  <c r="AS217" i="14"/>
  <c r="AN217" i="14"/>
  <c r="AO217" i="14" s="1"/>
  <c r="AW215" i="14"/>
  <c r="AT215" i="14"/>
  <c r="AS215" i="14"/>
  <c r="AN215" i="14"/>
  <c r="AW213" i="14"/>
  <c r="AT213" i="14"/>
  <c r="AS213" i="14"/>
  <c r="AN213" i="14"/>
  <c r="AO213" i="14" s="1"/>
  <c r="AW211" i="14"/>
  <c r="AT211" i="14"/>
  <c r="AS211" i="14"/>
  <c r="AN211" i="14"/>
  <c r="AW209" i="14"/>
  <c r="AT209" i="14"/>
  <c r="AS209" i="14"/>
  <c r="AN209" i="14"/>
  <c r="AO209" i="14" s="1"/>
  <c r="AW207" i="14"/>
  <c r="AT207" i="14"/>
  <c r="AS207" i="14"/>
  <c r="AN207" i="14"/>
  <c r="AW205" i="14"/>
  <c r="AT205" i="14"/>
  <c r="AS205" i="14"/>
  <c r="AN205" i="14"/>
  <c r="AO205" i="14" s="1"/>
  <c r="AN203" i="14"/>
  <c r="AO203" i="14" s="1"/>
  <c r="AW201" i="14"/>
  <c r="AT201" i="14"/>
  <c r="AS201" i="14"/>
  <c r="AN201" i="14"/>
  <c r="AW199" i="14"/>
  <c r="AT199" i="14"/>
  <c r="AS199" i="14"/>
  <c r="AN199" i="14"/>
  <c r="AW197" i="14"/>
  <c r="AT197" i="14"/>
  <c r="AS197" i="14"/>
  <c r="AN197" i="14"/>
  <c r="AN195" i="14"/>
  <c r="AO195" i="14" s="1"/>
  <c r="AW193" i="14"/>
  <c r="AT193" i="14"/>
  <c r="AS193" i="14"/>
  <c r="AN193" i="14"/>
  <c r="AO193" i="14" s="1"/>
  <c r="AW191" i="14"/>
  <c r="AT191" i="14"/>
  <c r="AS191" i="14"/>
  <c r="AN191" i="14"/>
  <c r="AW189" i="14"/>
  <c r="AT189" i="14"/>
  <c r="AS189" i="14"/>
  <c r="AN189" i="14"/>
  <c r="AO189" i="14" s="1"/>
  <c r="AN187" i="14"/>
  <c r="AO187" i="14" s="1"/>
  <c r="AW185" i="14"/>
  <c r="AT185" i="14"/>
  <c r="AS185" i="14"/>
  <c r="AN185" i="14"/>
  <c r="AW183" i="14"/>
  <c r="AT183" i="14"/>
  <c r="AS183" i="14"/>
  <c r="AN183" i="14"/>
  <c r="AW181" i="14"/>
  <c r="AT181" i="14"/>
  <c r="AS181" i="14"/>
  <c r="AN181" i="14"/>
  <c r="AW179" i="14"/>
  <c r="AT179" i="14"/>
  <c r="AS179" i="14"/>
  <c r="AN179" i="14"/>
  <c r="AW177" i="14"/>
  <c r="AT177" i="14"/>
  <c r="AS177" i="14"/>
  <c r="AN177" i="14"/>
  <c r="AN175" i="14"/>
  <c r="AO175" i="14" s="1"/>
  <c r="AW173" i="14"/>
  <c r="AT173" i="14"/>
  <c r="AS173" i="14"/>
  <c r="AN173" i="14"/>
  <c r="AO173" i="14" s="1"/>
  <c r="AW171" i="14"/>
  <c r="AT171" i="14"/>
  <c r="AS171" i="14"/>
  <c r="AN171" i="14"/>
  <c r="AW169" i="14"/>
  <c r="AT169" i="14"/>
  <c r="AS169" i="14"/>
  <c r="AN169" i="14"/>
  <c r="AO169" i="14" s="1"/>
  <c r="AN167" i="14"/>
  <c r="AO167" i="14" s="1"/>
  <c r="AW165" i="14"/>
  <c r="AT165" i="14"/>
  <c r="AS165" i="14"/>
  <c r="AN165" i="14"/>
  <c r="AW163" i="14"/>
  <c r="AT163" i="14"/>
  <c r="AS163" i="14"/>
  <c r="AN163" i="14"/>
  <c r="AW161" i="14"/>
  <c r="AT161" i="14"/>
  <c r="AS161" i="14"/>
  <c r="AN161" i="14"/>
  <c r="AW159" i="14"/>
  <c r="AT159" i="14"/>
  <c r="AS159" i="14"/>
  <c r="AN159" i="14"/>
  <c r="AW157" i="14"/>
  <c r="AT157" i="14"/>
  <c r="AS157" i="14"/>
  <c r="AN157" i="14"/>
  <c r="AW155" i="14"/>
  <c r="AT155" i="14"/>
  <c r="AS155" i="14"/>
  <c r="AN155" i="14"/>
  <c r="AW153" i="14"/>
  <c r="AT153" i="14"/>
  <c r="AS153" i="14"/>
  <c r="AN153" i="14"/>
  <c r="AW151" i="14"/>
  <c r="AT151" i="14"/>
  <c r="AS151" i="14"/>
  <c r="AN151" i="14"/>
  <c r="AW149" i="14"/>
  <c r="AT149" i="14"/>
  <c r="AS149" i="14"/>
  <c r="AN149" i="14"/>
  <c r="AW147" i="14"/>
  <c r="AT147" i="14"/>
  <c r="AS147" i="14"/>
  <c r="AN147" i="14"/>
  <c r="AW145" i="14"/>
  <c r="AT145" i="14"/>
  <c r="AS145" i="14"/>
  <c r="AN145" i="14"/>
  <c r="AW143" i="14"/>
  <c r="AT143" i="14"/>
  <c r="AS143" i="14"/>
  <c r="AN143" i="14"/>
  <c r="AW141" i="14"/>
  <c r="AT141" i="14"/>
  <c r="AS141" i="14"/>
  <c r="AN141" i="14"/>
  <c r="AW139" i="14"/>
  <c r="AT139" i="14"/>
  <c r="AS139" i="14"/>
  <c r="AN139" i="14"/>
  <c r="AW137" i="14"/>
  <c r="AT137" i="14"/>
  <c r="AS137" i="14"/>
  <c r="AN137" i="14"/>
  <c r="AW135" i="14"/>
  <c r="AT135" i="14"/>
  <c r="AS135" i="14"/>
  <c r="AN135" i="14"/>
  <c r="AW133" i="14"/>
  <c r="AT133" i="14"/>
  <c r="AS133" i="14"/>
  <c r="AN133" i="14"/>
  <c r="AN131" i="14"/>
  <c r="AO131" i="14" s="1"/>
  <c r="AW129" i="14"/>
  <c r="AT129" i="14"/>
  <c r="AS129" i="14"/>
  <c r="AN129" i="14"/>
  <c r="AO129" i="14" s="1"/>
  <c r="AW127" i="14"/>
  <c r="AT127" i="14"/>
  <c r="AS127" i="14"/>
  <c r="AN127" i="14"/>
  <c r="AW125" i="14"/>
  <c r="AT125" i="14"/>
  <c r="AS125" i="14"/>
  <c r="AN125" i="14"/>
  <c r="AO125" i="14" s="1"/>
  <c r="AN123" i="14"/>
  <c r="AO123" i="14" s="1"/>
  <c r="AW121" i="14"/>
  <c r="AT121" i="14"/>
  <c r="AS121" i="14"/>
  <c r="AN121" i="14"/>
  <c r="AP121" i="14" s="1"/>
  <c r="AW119" i="14"/>
  <c r="AT119" i="14"/>
  <c r="AS119" i="14"/>
  <c r="AN119" i="14"/>
  <c r="AO119" i="14" s="1"/>
  <c r="AW117" i="14"/>
  <c r="AT117" i="14"/>
  <c r="AS117" i="14"/>
  <c r="AN117" i="14"/>
  <c r="AP117" i="14" s="1"/>
  <c r="AW115" i="14"/>
  <c r="AT115" i="14"/>
  <c r="AS115" i="14"/>
  <c r="AN115" i="14"/>
  <c r="AW113" i="14"/>
  <c r="AT113" i="14"/>
  <c r="AS113" i="14"/>
  <c r="AN113" i="14"/>
  <c r="AP113" i="14" s="1"/>
  <c r="AW111" i="14"/>
  <c r="AT111" i="14"/>
  <c r="AS111" i="14"/>
  <c r="AN111" i="14"/>
  <c r="AW109" i="14"/>
  <c r="AT109" i="14"/>
  <c r="AS109" i="14"/>
  <c r="AN109" i="14"/>
  <c r="AP109" i="14" s="1"/>
  <c r="AW107" i="14"/>
  <c r="AT107" i="14"/>
  <c r="AS107" i="14"/>
  <c r="AN107" i="14"/>
  <c r="AO107" i="14" s="1"/>
  <c r="AW105" i="14"/>
  <c r="AT105" i="14"/>
  <c r="AS105" i="14"/>
  <c r="AN105" i="14"/>
  <c r="AP105" i="14" s="1"/>
  <c r="BE103" i="14"/>
  <c r="BB123" i="14" s="1"/>
  <c r="AA101" i="14" s="1"/>
  <c r="AW103" i="14"/>
  <c r="AT103" i="14"/>
  <c r="AS103" i="14"/>
  <c r="AN103" i="14"/>
  <c r="AO103" i="14" s="1"/>
  <c r="AN101" i="14"/>
  <c r="AO101" i="14" s="1"/>
  <c r="AW99" i="14"/>
  <c r="AT99" i="14"/>
  <c r="AS99" i="14"/>
  <c r="AN99" i="14"/>
  <c r="AO99" i="14" s="1"/>
  <c r="AW97" i="14"/>
  <c r="AT97" i="14"/>
  <c r="AS97" i="14"/>
  <c r="AN97" i="14"/>
  <c r="AW95" i="14"/>
  <c r="AT95" i="14"/>
  <c r="AS95" i="14"/>
  <c r="AN95" i="14"/>
  <c r="AO95" i="14" s="1"/>
  <c r="AN93" i="14"/>
  <c r="AO93" i="14" s="1"/>
  <c r="AW91" i="14"/>
  <c r="AT91" i="14"/>
  <c r="AS91" i="14"/>
  <c r="AN91" i="14"/>
  <c r="AW89" i="14"/>
  <c r="AT89" i="14"/>
  <c r="AS89" i="14"/>
  <c r="AN89" i="14"/>
  <c r="AW87" i="14"/>
  <c r="AT87" i="14"/>
  <c r="AS87" i="14"/>
  <c r="AN87" i="14"/>
  <c r="AW85" i="14"/>
  <c r="AT85" i="14"/>
  <c r="AS85" i="14"/>
  <c r="AN85" i="14"/>
  <c r="AW81" i="14"/>
  <c r="AT81" i="14"/>
  <c r="AS81" i="14"/>
  <c r="AN81" i="14"/>
  <c r="AW79" i="14"/>
  <c r="AT79" i="14"/>
  <c r="AS79" i="14"/>
  <c r="AN79" i="14"/>
  <c r="AN77" i="14"/>
  <c r="AO77" i="14" s="1"/>
  <c r="AW75" i="14"/>
  <c r="AT75" i="14"/>
  <c r="AS75" i="14"/>
  <c r="AN75" i="14"/>
  <c r="AO75" i="14" s="1"/>
  <c r="AW73" i="14"/>
  <c r="AT73" i="14"/>
  <c r="AS73" i="14"/>
  <c r="AN73" i="14"/>
  <c r="AW71" i="14"/>
  <c r="AT71" i="14"/>
  <c r="AS71" i="14"/>
  <c r="AN71" i="14"/>
  <c r="AO71" i="14" s="1"/>
  <c r="AW69" i="14"/>
  <c r="AT69" i="14"/>
  <c r="AS69" i="14"/>
  <c r="AN69" i="14"/>
  <c r="AW67" i="14"/>
  <c r="AT67" i="14"/>
  <c r="AS67" i="14"/>
  <c r="AN67" i="14"/>
  <c r="AO67" i="14" s="1"/>
  <c r="AW65" i="14"/>
  <c r="AT65" i="14"/>
  <c r="AS65" i="14"/>
  <c r="AN65" i="14"/>
  <c r="AW63" i="14"/>
  <c r="AT63" i="14"/>
  <c r="AS63" i="14"/>
  <c r="AN63" i="14"/>
  <c r="AO63" i="14" s="1"/>
  <c r="AW61" i="14"/>
  <c r="AT61" i="14"/>
  <c r="AS61" i="14"/>
  <c r="AN61" i="14"/>
  <c r="AW59" i="14"/>
  <c r="AT59" i="14"/>
  <c r="AS59" i="14"/>
  <c r="AN59" i="14"/>
  <c r="AO59" i="14" s="1"/>
  <c r="AW57" i="14"/>
  <c r="AT57" i="14"/>
  <c r="AS57" i="14"/>
  <c r="AN57" i="14"/>
  <c r="AW55" i="14"/>
  <c r="AT55" i="14"/>
  <c r="AS55" i="14"/>
  <c r="AN55" i="14"/>
  <c r="AO55" i="14" s="1"/>
  <c r="AW53" i="14"/>
  <c r="AT53" i="14"/>
  <c r="AS53" i="14"/>
  <c r="AN53" i="14"/>
  <c r="AW51" i="14"/>
  <c r="AT51" i="14"/>
  <c r="AS51" i="14"/>
  <c r="AN51" i="14"/>
  <c r="AO51" i="14" s="1"/>
  <c r="AW49" i="14"/>
  <c r="AT49" i="14"/>
  <c r="AS49" i="14"/>
  <c r="AN49" i="14"/>
  <c r="AO49" i="14" s="1"/>
  <c r="AW47" i="14"/>
  <c r="AT47" i="14"/>
  <c r="AS47" i="14"/>
  <c r="AN47" i="14"/>
  <c r="AW45" i="14"/>
  <c r="AT45" i="14"/>
  <c r="AS45" i="14"/>
  <c r="AN45" i="14"/>
  <c r="AO45" i="14" s="1"/>
  <c r="AW43" i="14"/>
  <c r="AT43" i="14"/>
  <c r="AS43" i="14"/>
  <c r="AN43" i="14"/>
  <c r="AW41" i="14"/>
  <c r="AT41" i="14"/>
  <c r="AS41" i="14"/>
  <c r="AN41" i="14"/>
  <c r="AO41" i="14" s="1"/>
  <c r="AW39" i="14"/>
  <c r="AT39" i="14"/>
  <c r="AS39" i="14"/>
  <c r="AN39" i="14"/>
  <c r="AW37" i="14"/>
  <c r="AT37" i="14"/>
  <c r="AS37" i="14"/>
  <c r="AN37" i="14"/>
  <c r="AW35" i="14"/>
  <c r="AT35" i="14"/>
  <c r="AS35" i="14"/>
  <c r="AN35" i="14"/>
  <c r="J33" i="14"/>
  <c r="AW31" i="14"/>
  <c r="AT31" i="14"/>
  <c r="AS31" i="14"/>
  <c r="AN31" i="14"/>
  <c r="AP31" i="14" s="1"/>
  <c r="AW29" i="14"/>
  <c r="AT29" i="14"/>
  <c r="AS29" i="14"/>
  <c r="AN29" i="14"/>
  <c r="AW27" i="14"/>
  <c r="AT27" i="14"/>
  <c r="AS27" i="14"/>
  <c r="AN27" i="14"/>
  <c r="AP27" i="14" s="1"/>
  <c r="AW25" i="14"/>
  <c r="AT25" i="14"/>
  <c r="AS25" i="14"/>
  <c r="AN25" i="14"/>
  <c r="AW23" i="14"/>
  <c r="AT23" i="14"/>
  <c r="AS23" i="14"/>
  <c r="AN23" i="14"/>
  <c r="AP23" i="14" s="1"/>
  <c r="AW21" i="14"/>
  <c r="AN21" i="14"/>
  <c r="J21" i="14"/>
  <c r="AP15" i="14"/>
  <c r="AB9" i="14"/>
  <c r="AA309" i="5"/>
  <c r="X306" i="5"/>
  <c r="R306" i="5"/>
  <c r="O306" i="5"/>
  <c r="V303" i="5"/>
  <c r="O303" i="5"/>
  <c r="O300" i="5"/>
  <c r="J77" i="14" l="1"/>
  <c r="O77" i="14" s="1"/>
  <c r="O33" i="14"/>
  <c r="AY41" i="14"/>
  <c r="BG103" i="14"/>
  <c r="BC103" i="14" s="1"/>
  <c r="J23" i="14"/>
  <c r="J25" i="14" s="1"/>
  <c r="J27" i="14" s="1"/>
  <c r="J29" i="14" s="1"/>
  <c r="J31" i="14" s="1"/>
  <c r="O31" i="14" s="1"/>
  <c r="O21" i="14"/>
  <c r="AY217" i="14"/>
  <c r="AY249" i="14"/>
  <c r="AY253" i="14"/>
  <c r="AY257" i="14"/>
  <c r="AY37" i="14"/>
  <c r="AY63" i="14"/>
  <c r="AY79" i="14"/>
  <c r="AY87" i="14"/>
  <c r="AY91" i="14"/>
  <c r="AY107" i="14"/>
  <c r="AY177" i="14"/>
  <c r="AY181" i="14"/>
  <c r="AY185" i="14"/>
  <c r="AY193" i="14"/>
  <c r="AY197" i="14"/>
  <c r="AY201" i="14"/>
  <c r="AY55" i="14"/>
  <c r="AY129" i="14"/>
  <c r="AY229" i="14"/>
  <c r="AY233" i="14"/>
  <c r="AY237" i="14"/>
  <c r="AY241" i="14"/>
  <c r="AY111" i="14"/>
  <c r="AY115" i="14"/>
  <c r="AY133" i="14"/>
  <c r="AY137" i="14"/>
  <c r="AY141" i="14"/>
  <c r="AY145" i="14"/>
  <c r="AY149" i="14"/>
  <c r="AY153" i="14"/>
  <c r="AY157" i="14"/>
  <c r="AY161" i="14"/>
  <c r="AY165" i="14"/>
  <c r="AY173" i="14"/>
  <c r="AY71" i="14"/>
  <c r="AY119" i="14"/>
  <c r="AY209" i="14"/>
  <c r="AY225" i="14"/>
  <c r="AY49" i="14"/>
  <c r="AY103" i="14"/>
  <c r="AY25" i="14"/>
  <c r="AY35" i="14"/>
  <c r="AY29" i="14"/>
  <c r="AY95" i="14"/>
  <c r="AY125" i="14"/>
  <c r="AY169" i="14"/>
  <c r="AY189" i="14"/>
  <c r="AY205" i="14"/>
  <c r="AY213" i="14"/>
  <c r="AY221" i="14"/>
  <c r="AY45" i="14"/>
  <c r="AY51" i="14"/>
  <c r="AY59" i="14"/>
  <c r="AY67" i="14"/>
  <c r="AY75" i="14"/>
  <c r="AY99" i="14"/>
  <c r="AY23" i="14"/>
  <c r="AP25" i="14"/>
  <c r="AY27" i="14"/>
  <c r="AP29" i="14"/>
  <c r="AY31" i="14"/>
  <c r="AO79" i="14"/>
  <c r="AO87" i="14"/>
  <c r="AO91" i="14"/>
  <c r="AO111" i="14"/>
  <c r="AO115" i="14"/>
  <c r="AO133" i="14"/>
  <c r="AO137" i="14"/>
  <c r="AO141" i="14"/>
  <c r="AO145" i="14"/>
  <c r="AO149" i="14"/>
  <c r="AO153" i="14"/>
  <c r="AO157" i="14"/>
  <c r="AO161" i="14"/>
  <c r="AO165" i="14"/>
  <c r="AO177" i="14"/>
  <c r="AO181" i="14"/>
  <c r="AO185" i="14"/>
  <c r="AO197" i="14"/>
  <c r="AO201" i="14"/>
  <c r="AO229" i="14"/>
  <c r="AO233" i="14"/>
  <c r="AO237" i="14"/>
  <c r="AO241" i="14"/>
  <c r="AO249" i="14"/>
  <c r="AO253" i="14"/>
  <c r="AO257" i="14"/>
  <c r="AY109" i="14"/>
  <c r="AO109" i="14"/>
  <c r="AY117" i="14"/>
  <c r="AO117" i="14"/>
  <c r="AO21" i="14"/>
  <c r="AY21" i="14"/>
  <c r="J35" i="14"/>
  <c r="AP35" i="14"/>
  <c r="AP37" i="14"/>
  <c r="AO39" i="14"/>
  <c r="AY39" i="14"/>
  <c r="AP41" i="14"/>
  <c r="AO43" i="14"/>
  <c r="AY43" i="14"/>
  <c r="AP45" i="14"/>
  <c r="AO47" i="14"/>
  <c r="AY47" i="14"/>
  <c r="AP49" i="14"/>
  <c r="AP51" i="14"/>
  <c r="AO53" i="14"/>
  <c r="AY53" i="14"/>
  <c r="AP55" i="14"/>
  <c r="AO57" i="14"/>
  <c r="AY57" i="14"/>
  <c r="AP59" i="14"/>
  <c r="AO61" i="14"/>
  <c r="AY61" i="14"/>
  <c r="AP63" i="14"/>
  <c r="AO65" i="14"/>
  <c r="AY65" i="14"/>
  <c r="AP67" i="14"/>
  <c r="AO69" i="14"/>
  <c r="AY69" i="14"/>
  <c r="AP71" i="14"/>
  <c r="AO73" i="14"/>
  <c r="AY73" i="14"/>
  <c r="AP75" i="14"/>
  <c r="AP79" i="14"/>
  <c r="AO81" i="14"/>
  <c r="AY81" i="14"/>
  <c r="AO85" i="14"/>
  <c r="AY85" i="14"/>
  <c r="AP87" i="14"/>
  <c r="AO89" i="14"/>
  <c r="AY89" i="14"/>
  <c r="AP91" i="14"/>
  <c r="AP95" i="14"/>
  <c r="AO97" i="14"/>
  <c r="AY97" i="14"/>
  <c r="AP99" i="14"/>
  <c r="AP103" i="14"/>
  <c r="BD103" i="14"/>
  <c r="AY105" i="14"/>
  <c r="AO105" i="14"/>
  <c r="AY113" i="14"/>
  <c r="AO113" i="14"/>
  <c r="AY121" i="14"/>
  <c r="AO121" i="14"/>
  <c r="AP21" i="14"/>
  <c r="AP39" i="14"/>
  <c r="AP43" i="14"/>
  <c r="AP47" i="14"/>
  <c r="AP53" i="14"/>
  <c r="AP57" i="14"/>
  <c r="AP61" i="14"/>
  <c r="AP65" i="14"/>
  <c r="AP69" i="14"/>
  <c r="AP73" i="14"/>
  <c r="AP81" i="14"/>
  <c r="AP85" i="14"/>
  <c r="AP89" i="14"/>
  <c r="AP97" i="14"/>
  <c r="AP107" i="14"/>
  <c r="AP111" i="14"/>
  <c r="AP115" i="14"/>
  <c r="AP119" i="14"/>
  <c r="AP125" i="14"/>
  <c r="AO127" i="14"/>
  <c r="AY127" i="14"/>
  <c r="AP129" i="14"/>
  <c r="AP133" i="14"/>
  <c r="AO135" i="14"/>
  <c r="AY135" i="14"/>
  <c r="AP137" i="14"/>
  <c r="AO139" i="14"/>
  <c r="AY139" i="14"/>
  <c r="AP141" i="14"/>
  <c r="AO143" i="14"/>
  <c r="AY143" i="14"/>
  <c r="AP145" i="14"/>
  <c r="AO147" i="14"/>
  <c r="AY147" i="14"/>
  <c r="AP149" i="14"/>
  <c r="AO151" i="14"/>
  <c r="AY151" i="14"/>
  <c r="AP153" i="14"/>
  <c r="AO155" i="14"/>
  <c r="AY155" i="14"/>
  <c r="AP157" i="14"/>
  <c r="AO159" i="14"/>
  <c r="AY159" i="14"/>
  <c r="AP161" i="14"/>
  <c r="AO163" i="14"/>
  <c r="AY163" i="14"/>
  <c r="AP165" i="14"/>
  <c r="AP169" i="14"/>
  <c r="AO171" i="14"/>
  <c r="AY171" i="14"/>
  <c r="AP173" i="14"/>
  <c r="AP177" i="14"/>
  <c r="AO179" i="14"/>
  <c r="AY179" i="14"/>
  <c r="AP181" i="14"/>
  <c r="AO183" i="14"/>
  <c r="AY183" i="14"/>
  <c r="AP185" i="14"/>
  <c r="AP189" i="14"/>
  <c r="AO191" i="14"/>
  <c r="AY191" i="14"/>
  <c r="AP193" i="14"/>
  <c r="AP197" i="14"/>
  <c r="AO199" i="14"/>
  <c r="AY199" i="14"/>
  <c r="AP201" i="14"/>
  <c r="AP205" i="14"/>
  <c r="AO207" i="14"/>
  <c r="AY207" i="14"/>
  <c r="AP209" i="14"/>
  <c r="AO211" i="14"/>
  <c r="AY211" i="14"/>
  <c r="AP213" i="14"/>
  <c r="AO215" i="14"/>
  <c r="AY215" i="14"/>
  <c r="AP217" i="14"/>
  <c r="AO219" i="14"/>
  <c r="AY219" i="14"/>
  <c r="AP221" i="14"/>
  <c r="AO223" i="14"/>
  <c r="AY223" i="14"/>
  <c r="AP225" i="14"/>
  <c r="AP229" i="14"/>
  <c r="AO231" i="14"/>
  <c r="AY231" i="14"/>
  <c r="AP233" i="14"/>
  <c r="AO235" i="14"/>
  <c r="AY235" i="14"/>
  <c r="AP237" i="14"/>
  <c r="AO239" i="14"/>
  <c r="AY239" i="14"/>
  <c r="AP241" i="14"/>
  <c r="AO243" i="14"/>
  <c r="AY243" i="14"/>
  <c r="AO247" i="14"/>
  <c r="AY247" i="14"/>
  <c r="AP249" i="14"/>
  <c r="AO251" i="14"/>
  <c r="AY251" i="14"/>
  <c r="AP253" i="14"/>
  <c r="AO255" i="14"/>
  <c r="AY255" i="14"/>
  <c r="AP257" i="14"/>
  <c r="AP127" i="14"/>
  <c r="AP135" i="14"/>
  <c r="AP139" i="14"/>
  <c r="AP143" i="14"/>
  <c r="AP147" i="14"/>
  <c r="AP151" i="14"/>
  <c r="AP155" i="14"/>
  <c r="AP159" i="14"/>
  <c r="AP163" i="14"/>
  <c r="AP171" i="14"/>
  <c r="AP179" i="14"/>
  <c r="AP183" i="14"/>
  <c r="AP191" i="14"/>
  <c r="AP199" i="14"/>
  <c r="AP207" i="14"/>
  <c r="AP211" i="14"/>
  <c r="AP215" i="14"/>
  <c r="AP219" i="14"/>
  <c r="AP223" i="14"/>
  <c r="AP231" i="14"/>
  <c r="AP235" i="14"/>
  <c r="AP239" i="14"/>
  <c r="AP243" i="14"/>
  <c r="AP247" i="14"/>
  <c r="AP251" i="14"/>
  <c r="AP255" i="14"/>
  <c r="AL157" i="5"/>
  <c r="AL149" i="5"/>
  <c r="AL137" i="5"/>
  <c r="AL129" i="5"/>
  <c r="AL101" i="5"/>
  <c r="AL165" i="5"/>
  <c r="AL189" i="5"/>
  <c r="AL235" i="5"/>
  <c r="AL241" i="5"/>
  <c r="O357" i="5"/>
  <c r="AN127" i="5"/>
  <c r="AQ318" i="5"/>
  <c r="AU318" i="5"/>
  <c r="AQ320" i="5"/>
  <c r="AU320" i="5"/>
  <c r="AQ322" i="5"/>
  <c r="AU322" i="5"/>
  <c r="AQ324" i="5"/>
  <c r="AU324" i="5"/>
  <c r="AQ326" i="5"/>
  <c r="AU326" i="5"/>
  <c r="AQ328" i="5"/>
  <c r="AU328" i="5"/>
  <c r="AQ330" i="5"/>
  <c r="AU330" i="5"/>
  <c r="AQ332" i="5"/>
  <c r="AU332" i="5"/>
  <c r="AQ334" i="5"/>
  <c r="AU334" i="5"/>
  <c r="AQ336" i="5"/>
  <c r="AU336" i="5"/>
  <c r="AQ338" i="5"/>
  <c r="AU338" i="5"/>
  <c r="AQ340" i="5"/>
  <c r="AU340" i="5"/>
  <c r="AQ342" i="5"/>
  <c r="AU342" i="5"/>
  <c r="AQ344" i="5"/>
  <c r="AU344" i="5"/>
  <c r="AQ346" i="5"/>
  <c r="AU346" i="5"/>
  <c r="AQ348" i="5"/>
  <c r="AU348" i="5"/>
  <c r="AU316" i="5"/>
  <c r="AU25" i="5"/>
  <c r="AQ27" i="5"/>
  <c r="AU27" i="5"/>
  <c r="AQ29" i="5"/>
  <c r="AU29" i="5"/>
  <c r="AQ31" i="5"/>
  <c r="AU31" i="5"/>
  <c r="AQ35" i="5"/>
  <c r="AU35" i="5"/>
  <c r="AQ37" i="5"/>
  <c r="AU37" i="5"/>
  <c r="AQ39" i="5"/>
  <c r="AU39" i="5"/>
  <c r="AQ41" i="5"/>
  <c r="AU41" i="5"/>
  <c r="AQ43" i="5"/>
  <c r="AU43" i="5"/>
  <c r="AQ45" i="5"/>
  <c r="AU45" i="5"/>
  <c r="AQ47" i="5"/>
  <c r="AU47" i="5"/>
  <c r="AQ49" i="5"/>
  <c r="AU49" i="5"/>
  <c r="AQ51" i="5"/>
  <c r="AU51" i="5"/>
  <c r="AQ53" i="5"/>
  <c r="AU53" i="5"/>
  <c r="AQ55" i="5"/>
  <c r="AU55" i="5"/>
  <c r="AQ57" i="5"/>
  <c r="AU57" i="5"/>
  <c r="AQ59" i="5"/>
  <c r="AU59" i="5"/>
  <c r="AQ61" i="5"/>
  <c r="AU61" i="5"/>
  <c r="AQ63" i="5"/>
  <c r="AU63" i="5"/>
  <c r="AQ65" i="5"/>
  <c r="AU65" i="5"/>
  <c r="AQ67" i="5"/>
  <c r="AU67" i="5"/>
  <c r="AQ69" i="5"/>
  <c r="AU69" i="5"/>
  <c r="AQ71" i="5"/>
  <c r="AU71" i="5"/>
  <c r="AQ73" i="5"/>
  <c r="AU73" i="5"/>
  <c r="AQ75" i="5"/>
  <c r="AU75" i="5"/>
  <c r="AQ77" i="5"/>
  <c r="AU77" i="5"/>
  <c r="AQ79" i="5"/>
  <c r="AU79" i="5"/>
  <c r="AQ85" i="5"/>
  <c r="AU85" i="5"/>
  <c r="AQ87" i="5"/>
  <c r="AU87" i="5"/>
  <c r="AQ91" i="5"/>
  <c r="AU91" i="5"/>
  <c r="AQ93" i="5"/>
  <c r="AU93" i="5"/>
  <c r="AQ95" i="5"/>
  <c r="AU95" i="5"/>
  <c r="AQ97" i="5"/>
  <c r="AU97" i="5"/>
  <c r="AQ99" i="5"/>
  <c r="AU99" i="5"/>
  <c r="AQ103" i="5"/>
  <c r="AU103" i="5"/>
  <c r="AQ105" i="5"/>
  <c r="AU105" i="5"/>
  <c r="AQ107" i="5"/>
  <c r="AU107" i="5"/>
  <c r="AQ111" i="5"/>
  <c r="AU111" i="5"/>
  <c r="AQ113" i="5"/>
  <c r="AU113" i="5"/>
  <c r="AN115" i="5"/>
  <c r="AQ115" i="5"/>
  <c r="AU115" i="5"/>
  <c r="AQ117" i="5"/>
  <c r="AU117" i="5"/>
  <c r="AQ119" i="5"/>
  <c r="AU119" i="5"/>
  <c r="AQ121" i="5"/>
  <c r="AU121" i="5"/>
  <c r="AQ123" i="5"/>
  <c r="AU123" i="5"/>
  <c r="AQ125" i="5"/>
  <c r="AU125" i="5"/>
  <c r="AQ127" i="5"/>
  <c r="AU127" i="5"/>
  <c r="AQ131" i="5"/>
  <c r="AU131" i="5"/>
  <c r="AQ133" i="5"/>
  <c r="AU133" i="5"/>
  <c r="AQ135" i="5"/>
  <c r="AU135" i="5"/>
  <c r="AQ139" i="5"/>
  <c r="AU139" i="5"/>
  <c r="AQ141" i="5"/>
  <c r="AU141" i="5"/>
  <c r="AQ143" i="5"/>
  <c r="AU143" i="5"/>
  <c r="AQ145" i="5"/>
  <c r="AU145" i="5"/>
  <c r="AQ147" i="5"/>
  <c r="AU147" i="5"/>
  <c r="AQ151" i="5"/>
  <c r="AU151" i="5"/>
  <c r="AQ153" i="5"/>
  <c r="AU153" i="5"/>
  <c r="AQ155" i="5"/>
  <c r="AU155" i="5"/>
  <c r="AQ159" i="5"/>
  <c r="AU159" i="5"/>
  <c r="AQ161" i="5"/>
  <c r="AU161" i="5"/>
  <c r="AQ163" i="5"/>
  <c r="AU163" i="5"/>
  <c r="AQ167" i="5"/>
  <c r="AU167" i="5"/>
  <c r="AQ169" i="5"/>
  <c r="AU169" i="5"/>
  <c r="AQ171" i="5"/>
  <c r="AU171" i="5"/>
  <c r="AQ173" i="5"/>
  <c r="AU173" i="5"/>
  <c r="AQ175" i="5"/>
  <c r="AU175" i="5"/>
  <c r="AQ177" i="5"/>
  <c r="AU177" i="5"/>
  <c r="AQ179" i="5"/>
  <c r="AU179" i="5"/>
  <c r="AQ181" i="5"/>
  <c r="AU181" i="5"/>
  <c r="AQ183" i="5"/>
  <c r="AU183" i="5"/>
  <c r="AQ185" i="5"/>
  <c r="AU185" i="5"/>
  <c r="AQ187" i="5"/>
  <c r="AU187" i="5"/>
  <c r="AQ191" i="5"/>
  <c r="AU191" i="5"/>
  <c r="AQ193" i="5"/>
  <c r="AU193" i="5"/>
  <c r="AQ195" i="5"/>
  <c r="AU195" i="5"/>
  <c r="AQ197" i="5"/>
  <c r="AU197" i="5"/>
  <c r="AQ199" i="5"/>
  <c r="AU199" i="5"/>
  <c r="AQ201" i="5"/>
  <c r="AU201" i="5"/>
  <c r="AQ203" i="5"/>
  <c r="AU203" i="5"/>
  <c r="AQ205" i="5"/>
  <c r="AU205" i="5"/>
  <c r="AQ209" i="5"/>
  <c r="AU209" i="5"/>
  <c r="AQ211" i="5"/>
  <c r="AU211" i="5"/>
  <c r="AQ213" i="5"/>
  <c r="AU213" i="5"/>
  <c r="AQ215" i="5"/>
  <c r="AU215" i="5"/>
  <c r="AQ217" i="5"/>
  <c r="AU217" i="5"/>
  <c r="AQ219" i="5"/>
  <c r="AU219" i="5"/>
  <c r="AQ223" i="5"/>
  <c r="AU223" i="5"/>
  <c r="AQ225" i="5"/>
  <c r="AU225" i="5"/>
  <c r="AQ227" i="5"/>
  <c r="AU227" i="5"/>
  <c r="AQ229" i="5"/>
  <c r="AU229" i="5"/>
  <c r="AQ231" i="5"/>
  <c r="AU231" i="5"/>
  <c r="AQ233" i="5"/>
  <c r="AU233" i="5"/>
  <c r="AQ237" i="5"/>
  <c r="AU237" i="5"/>
  <c r="AQ239" i="5"/>
  <c r="AU239" i="5"/>
  <c r="AQ243" i="5"/>
  <c r="AU243" i="5"/>
  <c r="AQ245" i="5"/>
  <c r="AU245" i="5"/>
  <c r="AU247" i="5"/>
  <c r="AU23" i="5"/>
  <c r="J83" i="14" l="1"/>
  <c r="O83" i="14" s="1"/>
  <c r="J79" i="14"/>
  <c r="J81" i="14" s="1"/>
  <c r="O81" i="14" s="1"/>
  <c r="AN125" i="5"/>
  <c r="AW125" i="5"/>
  <c r="AN117" i="5"/>
  <c r="AW117" i="5"/>
  <c r="AW25" i="5"/>
  <c r="AW127" i="5"/>
  <c r="AN119" i="5"/>
  <c r="AW119" i="5"/>
  <c r="AW35" i="5"/>
  <c r="AN111" i="5"/>
  <c r="AW111" i="5"/>
  <c r="AN121" i="5"/>
  <c r="AW121" i="5"/>
  <c r="AN113" i="5"/>
  <c r="AW113" i="5"/>
  <c r="AN123" i="5"/>
  <c r="AW123" i="5"/>
  <c r="AW115" i="5"/>
  <c r="AW109" i="5"/>
  <c r="AV109" i="5"/>
  <c r="O29" i="14"/>
  <c r="O25" i="14"/>
  <c r="O23" i="14"/>
  <c r="O27" i="14"/>
  <c r="J37" i="14"/>
  <c r="O35" i="14"/>
  <c r="J93" i="14"/>
  <c r="O93" i="14" s="1"/>
  <c r="AQ257" i="14"/>
  <c r="AR257" i="14" s="1"/>
  <c r="AX257" i="14" s="1"/>
  <c r="AQ253" i="14"/>
  <c r="AR253" i="14" s="1"/>
  <c r="AX253" i="14" s="1"/>
  <c r="AQ249" i="14"/>
  <c r="AR249" i="14" s="1"/>
  <c r="AX249" i="14" s="1"/>
  <c r="AQ241" i="14"/>
  <c r="AR241" i="14" s="1"/>
  <c r="AX241" i="14" s="1"/>
  <c r="AQ237" i="14"/>
  <c r="AR237" i="14" s="1"/>
  <c r="AX237" i="14" s="1"/>
  <c r="AQ233" i="14"/>
  <c r="AR233" i="14" s="1"/>
  <c r="AX233" i="14" s="1"/>
  <c r="AQ229" i="14"/>
  <c r="AR229" i="14" s="1"/>
  <c r="AX229" i="14" s="1"/>
  <c r="AQ225" i="14"/>
  <c r="AR225" i="14" s="1"/>
  <c r="AX225" i="14" s="1"/>
  <c r="AQ221" i="14"/>
  <c r="AR221" i="14" s="1"/>
  <c r="AX221" i="14" s="1"/>
  <c r="AQ217" i="14"/>
  <c r="AR217" i="14" s="1"/>
  <c r="AX217" i="14" s="1"/>
  <c r="AQ213" i="14"/>
  <c r="AR213" i="14" s="1"/>
  <c r="AX213" i="14" s="1"/>
  <c r="AQ209" i="14"/>
  <c r="AR209" i="14" s="1"/>
  <c r="AX209" i="14" s="1"/>
  <c r="AQ205" i="14"/>
  <c r="AR205" i="14" s="1"/>
  <c r="AX205" i="14" s="1"/>
  <c r="AQ201" i="14"/>
  <c r="AR201" i="14" s="1"/>
  <c r="AX201" i="14" s="1"/>
  <c r="AQ197" i="14"/>
  <c r="AR197" i="14" s="1"/>
  <c r="AX197" i="14" s="1"/>
  <c r="AQ193" i="14"/>
  <c r="AR193" i="14" s="1"/>
  <c r="AX193" i="14" s="1"/>
  <c r="AQ189" i="14"/>
  <c r="AR189" i="14" s="1"/>
  <c r="AX189" i="14" s="1"/>
  <c r="AQ185" i="14"/>
  <c r="AR185" i="14" s="1"/>
  <c r="AX185" i="14" s="1"/>
  <c r="AQ181" i="14"/>
  <c r="AR181" i="14" s="1"/>
  <c r="AX181" i="14" s="1"/>
  <c r="AQ177" i="14"/>
  <c r="AR177" i="14" s="1"/>
  <c r="AX177" i="14" s="1"/>
  <c r="AQ173" i="14"/>
  <c r="AR173" i="14" s="1"/>
  <c r="AX173" i="14" s="1"/>
  <c r="AQ169" i="14"/>
  <c r="AR169" i="14" s="1"/>
  <c r="AX169" i="14" s="1"/>
  <c r="AQ165" i="14"/>
  <c r="AR165" i="14" s="1"/>
  <c r="AX165" i="14" s="1"/>
  <c r="AQ161" i="14"/>
  <c r="AR161" i="14" s="1"/>
  <c r="AX161" i="14" s="1"/>
  <c r="AQ157" i="14"/>
  <c r="AR157" i="14" s="1"/>
  <c r="AX157" i="14" s="1"/>
  <c r="AQ153" i="14"/>
  <c r="AR153" i="14" s="1"/>
  <c r="AX153" i="14" s="1"/>
  <c r="AQ149" i="14"/>
  <c r="AR149" i="14" s="1"/>
  <c r="AX149" i="14" s="1"/>
  <c r="AQ145" i="14"/>
  <c r="AR145" i="14" s="1"/>
  <c r="AX145" i="14" s="1"/>
  <c r="AQ141" i="14"/>
  <c r="AR141" i="14" s="1"/>
  <c r="AX141" i="14" s="1"/>
  <c r="AQ137" i="14"/>
  <c r="AR137" i="14" s="1"/>
  <c r="AX137" i="14" s="1"/>
  <c r="AQ133" i="14"/>
  <c r="AR133" i="14" s="1"/>
  <c r="AX133" i="14" s="1"/>
  <c r="AQ129" i="14"/>
  <c r="AR129" i="14" s="1"/>
  <c r="AX129" i="14" s="1"/>
  <c r="AQ125" i="14"/>
  <c r="AR125" i="14" s="1"/>
  <c r="AX125" i="14" s="1"/>
  <c r="AP260" i="14"/>
  <c r="AQ255" i="14"/>
  <c r="AR255" i="14" s="1"/>
  <c r="AX255" i="14" s="1"/>
  <c r="AQ251" i="14"/>
  <c r="AR251" i="14" s="1"/>
  <c r="AX251" i="14" s="1"/>
  <c r="AQ247" i="14"/>
  <c r="AR247" i="14" s="1"/>
  <c r="AX247" i="14" s="1"/>
  <c r="AQ243" i="14"/>
  <c r="AR243" i="14" s="1"/>
  <c r="AX243" i="14" s="1"/>
  <c r="AQ239" i="14"/>
  <c r="AR239" i="14" s="1"/>
  <c r="AX239" i="14" s="1"/>
  <c r="AQ235" i="14"/>
  <c r="AR235" i="14" s="1"/>
  <c r="AX235" i="14" s="1"/>
  <c r="AQ231" i="14"/>
  <c r="AR231" i="14" s="1"/>
  <c r="AX231" i="14" s="1"/>
  <c r="AQ223" i="14"/>
  <c r="AR223" i="14" s="1"/>
  <c r="AX223" i="14" s="1"/>
  <c r="AQ219" i="14"/>
  <c r="AR219" i="14" s="1"/>
  <c r="AX219" i="14" s="1"/>
  <c r="AQ215" i="14"/>
  <c r="AR215" i="14" s="1"/>
  <c r="AX215" i="14" s="1"/>
  <c r="AQ211" i="14"/>
  <c r="AR211" i="14" s="1"/>
  <c r="AX211" i="14" s="1"/>
  <c r="AQ207" i="14"/>
  <c r="AR207" i="14" s="1"/>
  <c r="AX207" i="14" s="1"/>
  <c r="AQ199" i="14"/>
  <c r="AR199" i="14" s="1"/>
  <c r="AX199" i="14" s="1"/>
  <c r="AQ191" i="14"/>
  <c r="AR191" i="14" s="1"/>
  <c r="AX191" i="14" s="1"/>
  <c r="AQ183" i="14"/>
  <c r="AR183" i="14" s="1"/>
  <c r="AX183" i="14" s="1"/>
  <c r="AQ179" i="14"/>
  <c r="AR179" i="14" s="1"/>
  <c r="AX179" i="14" s="1"/>
  <c r="AQ171" i="14"/>
  <c r="AR171" i="14" s="1"/>
  <c r="AX171" i="14" s="1"/>
  <c r="AQ163" i="14"/>
  <c r="AR163" i="14" s="1"/>
  <c r="AX163" i="14" s="1"/>
  <c r="AQ159" i="14"/>
  <c r="AR159" i="14" s="1"/>
  <c r="AX159" i="14" s="1"/>
  <c r="AQ155" i="14"/>
  <c r="AR155" i="14" s="1"/>
  <c r="AX155" i="14" s="1"/>
  <c r="AQ151" i="14"/>
  <c r="AR151" i="14" s="1"/>
  <c r="AX151" i="14" s="1"/>
  <c r="AQ147" i="14"/>
  <c r="AR147" i="14" s="1"/>
  <c r="AX147" i="14" s="1"/>
  <c r="AQ143" i="14"/>
  <c r="AR143" i="14" s="1"/>
  <c r="AX143" i="14" s="1"/>
  <c r="AQ139" i="14"/>
  <c r="AR139" i="14" s="1"/>
  <c r="AX139" i="14" s="1"/>
  <c r="AQ135" i="14"/>
  <c r="AR135" i="14" s="1"/>
  <c r="AX135" i="14" s="1"/>
  <c r="AQ127" i="14"/>
  <c r="AR127" i="14" s="1"/>
  <c r="AX127" i="14" s="1"/>
  <c r="AQ121" i="14"/>
  <c r="AR121" i="14" s="1"/>
  <c r="AX121" i="14" s="1"/>
  <c r="AQ117" i="14"/>
  <c r="AR117" i="14" s="1"/>
  <c r="AX117" i="14" s="1"/>
  <c r="AQ113" i="14"/>
  <c r="AR113" i="14" s="1"/>
  <c r="AX113" i="14" s="1"/>
  <c r="AQ109" i="14"/>
  <c r="AR109" i="14" s="1"/>
  <c r="AX109" i="14" s="1"/>
  <c r="AQ105" i="14"/>
  <c r="AR105" i="14" s="1"/>
  <c r="AX105" i="14" s="1"/>
  <c r="AQ115" i="14"/>
  <c r="AR115" i="14" s="1"/>
  <c r="AX115" i="14" s="1"/>
  <c r="AQ107" i="14"/>
  <c r="AR107" i="14" s="1"/>
  <c r="AX107" i="14" s="1"/>
  <c r="AQ103" i="14"/>
  <c r="AR103" i="14" s="1"/>
  <c r="AX103" i="14" s="1"/>
  <c r="AQ99" i="14"/>
  <c r="AR99" i="14" s="1"/>
  <c r="AX99" i="14" s="1"/>
  <c r="AQ95" i="14"/>
  <c r="AR95" i="14" s="1"/>
  <c r="AX95" i="14" s="1"/>
  <c r="AQ91" i="14"/>
  <c r="AR91" i="14" s="1"/>
  <c r="AX91" i="14" s="1"/>
  <c r="AQ87" i="14"/>
  <c r="AR87" i="14" s="1"/>
  <c r="AX87" i="14" s="1"/>
  <c r="AQ79" i="14"/>
  <c r="AR79" i="14" s="1"/>
  <c r="AX79" i="14" s="1"/>
  <c r="AQ75" i="14"/>
  <c r="AR75" i="14" s="1"/>
  <c r="AX75" i="14" s="1"/>
  <c r="AQ71" i="14"/>
  <c r="AR71" i="14" s="1"/>
  <c r="AX71" i="14" s="1"/>
  <c r="AQ67" i="14"/>
  <c r="AR67" i="14" s="1"/>
  <c r="AX67" i="14" s="1"/>
  <c r="AQ63" i="14"/>
  <c r="AR63" i="14" s="1"/>
  <c r="AX63" i="14" s="1"/>
  <c r="AQ59" i="14"/>
  <c r="AR59" i="14" s="1"/>
  <c r="AX59" i="14" s="1"/>
  <c r="AQ55" i="14"/>
  <c r="AR55" i="14" s="1"/>
  <c r="AX55" i="14" s="1"/>
  <c r="AQ51" i="14"/>
  <c r="AR51" i="14" s="1"/>
  <c r="AX51" i="14" s="1"/>
  <c r="AQ49" i="14"/>
  <c r="AR49" i="14" s="1"/>
  <c r="AX49" i="14" s="1"/>
  <c r="AQ45" i="14"/>
  <c r="AR45" i="14" s="1"/>
  <c r="AX45" i="14" s="1"/>
  <c r="AQ41" i="14"/>
  <c r="AR41" i="14" s="1"/>
  <c r="AX41" i="14" s="1"/>
  <c r="AQ37" i="14"/>
  <c r="AR37" i="14" s="1"/>
  <c r="AX37" i="14" s="1"/>
  <c r="AQ35" i="14"/>
  <c r="AR35" i="14" s="1"/>
  <c r="AX35" i="14" s="1"/>
  <c r="AQ119" i="14"/>
  <c r="AR119" i="14" s="1"/>
  <c r="AX119" i="14" s="1"/>
  <c r="AQ111" i="14"/>
  <c r="AR111" i="14" s="1"/>
  <c r="AX111" i="14" s="1"/>
  <c r="AQ97" i="14"/>
  <c r="AR97" i="14" s="1"/>
  <c r="AX97" i="14" s="1"/>
  <c r="AQ89" i="14"/>
  <c r="AR89" i="14" s="1"/>
  <c r="AX89" i="14" s="1"/>
  <c r="AQ85" i="14"/>
  <c r="AR85" i="14" s="1"/>
  <c r="AX85" i="14" s="1"/>
  <c r="AQ81" i="14"/>
  <c r="AR81" i="14" s="1"/>
  <c r="AX81" i="14" s="1"/>
  <c r="AQ73" i="14"/>
  <c r="AR73" i="14" s="1"/>
  <c r="AX73" i="14" s="1"/>
  <c r="AQ69" i="14"/>
  <c r="AR69" i="14" s="1"/>
  <c r="AX69" i="14" s="1"/>
  <c r="AQ65" i="14"/>
  <c r="AR65" i="14" s="1"/>
  <c r="AX65" i="14" s="1"/>
  <c r="AQ61" i="14"/>
  <c r="AR61" i="14" s="1"/>
  <c r="AX61" i="14" s="1"/>
  <c r="AQ57" i="14"/>
  <c r="AR57" i="14" s="1"/>
  <c r="AX57" i="14" s="1"/>
  <c r="AQ53" i="14"/>
  <c r="AR53" i="14" s="1"/>
  <c r="AX53" i="14" s="1"/>
  <c r="AQ47" i="14"/>
  <c r="AR47" i="14" s="1"/>
  <c r="AX47" i="14" s="1"/>
  <c r="AQ43" i="14"/>
  <c r="AR43" i="14" s="1"/>
  <c r="AX43" i="14" s="1"/>
  <c r="AQ39" i="14"/>
  <c r="AR39" i="14" s="1"/>
  <c r="AX39" i="14" s="1"/>
  <c r="AQ31" i="14"/>
  <c r="AR31" i="14" s="1"/>
  <c r="AX31" i="14" s="1"/>
  <c r="AQ29" i="14"/>
  <c r="AR29" i="14" s="1"/>
  <c r="AX29" i="14" s="1"/>
  <c r="AQ27" i="14"/>
  <c r="AR27" i="14" s="1"/>
  <c r="AX27" i="14" s="1"/>
  <c r="AQ25" i="14"/>
  <c r="AR25" i="14" s="1"/>
  <c r="AX25" i="14" s="1"/>
  <c r="AQ23" i="14"/>
  <c r="AR23" i="14" s="1"/>
  <c r="AX23" i="14" s="1"/>
  <c r="AQ21" i="14"/>
  <c r="AR21" i="14" s="1"/>
  <c r="AX21" i="14" s="1"/>
  <c r="AN237" i="5"/>
  <c r="AL223" i="5"/>
  <c r="AL233" i="5"/>
  <c r="J239" i="5"/>
  <c r="O239" i="5" s="1"/>
  <c r="J237" i="5"/>
  <c r="O237" i="5" s="1"/>
  <c r="M235" i="5"/>
  <c r="J235" i="5"/>
  <c r="O235" i="5" s="1"/>
  <c r="J249" i="5"/>
  <c r="O249" i="5" s="1"/>
  <c r="M221" i="5"/>
  <c r="M189" i="5"/>
  <c r="M165" i="5"/>
  <c r="M157" i="5"/>
  <c r="M149" i="5"/>
  <c r="M137" i="5"/>
  <c r="M129" i="5"/>
  <c r="M109" i="5"/>
  <c r="M101" i="5"/>
  <c r="M249" i="5"/>
  <c r="M241" i="5"/>
  <c r="M89" i="5"/>
  <c r="M83" i="5"/>
  <c r="J85" i="14" l="1"/>
  <c r="O85" i="14" s="1"/>
  <c r="O79" i="14"/>
  <c r="AW237" i="5"/>
  <c r="AW233" i="5"/>
  <c r="AW239" i="5"/>
  <c r="AW223" i="5"/>
  <c r="J39" i="14"/>
  <c r="O37" i="14"/>
  <c r="J95" i="14"/>
  <c r="J101" i="14"/>
  <c r="O101" i="14" s="1"/>
  <c r="AN267" i="14"/>
  <c r="AN268" i="14" s="1"/>
  <c r="AN271" i="14" s="1"/>
  <c r="N261" i="14" s="1"/>
  <c r="N260" i="14" s="1"/>
  <c r="Q3" i="14" s="1"/>
  <c r="AN266" i="14"/>
  <c r="AN223" i="5"/>
  <c r="AN239" i="5"/>
  <c r="AN233" i="5"/>
  <c r="J27" i="5"/>
  <c r="J318" i="5"/>
  <c r="O318" i="5" s="1"/>
  <c r="J320" i="5"/>
  <c r="O320" i="5" s="1"/>
  <c r="J322" i="5"/>
  <c r="O322" i="5" s="1"/>
  <c r="J324" i="5"/>
  <c r="O324" i="5" s="1"/>
  <c r="J326" i="5"/>
  <c r="O326" i="5" s="1"/>
  <c r="J328" i="5"/>
  <c r="O328" i="5" s="1"/>
  <c r="J330" i="5"/>
  <c r="O330" i="5" s="1"/>
  <c r="J332" i="5"/>
  <c r="O332" i="5" s="1"/>
  <c r="J334" i="5"/>
  <c r="O334" i="5" s="1"/>
  <c r="J336" i="5"/>
  <c r="O336" i="5" s="1"/>
  <c r="J338" i="5"/>
  <c r="O338" i="5" s="1"/>
  <c r="J340" i="5"/>
  <c r="O340" i="5" s="1"/>
  <c r="J342" i="5"/>
  <c r="O342" i="5" s="1"/>
  <c r="J344" i="5"/>
  <c r="O344" i="5" s="1"/>
  <c r="J346" i="5"/>
  <c r="O346" i="5" s="1"/>
  <c r="J348" i="5"/>
  <c r="O348" i="5" s="1"/>
  <c r="J316" i="5"/>
  <c r="O316" i="5" s="1"/>
  <c r="T357" i="5"/>
  <c r="AW350" i="5"/>
  <c r="J314" i="5"/>
  <c r="O314" i="5" s="1"/>
  <c r="AB303" i="5"/>
  <c r="J87" i="14" l="1"/>
  <c r="O87" i="14" s="1"/>
  <c r="J41" i="14"/>
  <c r="O39" i="14"/>
  <c r="J97" i="14"/>
  <c r="O95" i="14"/>
  <c r="J123" i="14"/>
  <c r="O123" i="14" s="1"/>
  <c r="J115" i="14"/>
  <c r="O115" i="14" s="1"/>
  <c r="J107" i="14"/>
  <c r="O107" i="14" s="1"/>
  <c r="J117" i="14"/>
  <c r="O117" i="14" s="1"/>
  <c r="J109" i="14"/>
  <c r="O109" i="14" s="1"/>
  <c r="J111" i="14"/>
  <c r="O111" i="14" s="1"/>
  <c r="J103" i="14"/>
  <c r="O103" i="14" s="1"/>
  <c r="J121" i="14"/>
  <c r="O121" i="14" s="1"/>
  <c r="J113" i="14"/>
  <c r="O113" i="14" s="1"/>
  <c r="J105" i="14"/>
  <c r="O105" i="14" s="1"/>
  <c r="J119" i="14"/>
  <c r="O119" i="14" s="1"/>
  <c r="AL346" i="5"/>
  <c r="AL342" i="5"/>
  <c r="AL338" i="5"/>
  <c r="AL334" i="5"/>
  <c r="AL330" i="5"/>
  <c r="AL326" i="5"/>
  <c r="AL322" i="5"/>
  <c r="AL318" i="5"/>
  <c r="AJ348" i="5"/>
  <c r="AJ344" i="5"/>
  <c r="AJ340" i="5"/>
  <c r="AJ336" i="5"/>
  <c r="AJ332" i="5"/>
  <c r="AJ328" i="5"/>
  <c r="AJ324" i="5"/>
  <c r="AJ320" i="5"/>
  <c r="AL316" i="5"/>
  <c r="AL348" i="5"/>
  <c r="AL344" i="5"/>
  <c r="AL340" i="5"/>
  <c r="AL336" i="5"/>
  <c r="AL332" i="5"/>
  <c r="AL328" i="5"/>
  <c r="AL324" i="5"/>
  <c r="AL320" i="5"/>
  <c r="AJ316" i="5"/>
  <c r="AJ346" i="5"/>
  <c r="AJ342" i="5"/>
  <c r="AJ338" i="5"/>
  <c r="AJ334" i="5"/>
  <c r="AJ330" i="5"/>
  <c r="AJ326" i="5"/>
  <c r="AJ322" i="5"/>
  <c r="AJ318" i="5"/>
  <c r="AU351" i="5"/>
  <c r="J89" i="14" l="1"/>
  <c r="O89" i="14" s="1"/>
  <c r="J43" i="14"/>
  <c r="O41" i="14"/>
  <c r="J99" i="14"/>
  <c r="O99" i="14" s="1"/>
  <c r="O97" i="14"/>
  <c r="J131" i="14"/>
  <c r="O131" i="14" s="1"/>
  <c r="J125" i="14"/>
  <c r="AN320" i="5"/>
  <c r="AW320" i="5"/>
  <c r="AN328" i="5"/>
  <c r="AW328" i="5"/>
  <c r="AN336" i="5"/>
  <c r="AW336" i="5"/>
  <c r="AN344" i="5"/>
  <c r="AW344" i="5"/>
  <c r="AW316" i="5"/>
  <c r="AN316" i="5"/>
  <c r="AN322" i="5"/>
  <c r="AW322" i="5"/>
  <c r="AN330" i="5"/>
  <c r="AW330" i="5"/>
  <c r="AN338" i="5"/>
  <c r="AW338" i="5"/>
  <c r="AN346" i="5"/>
  <c r="AW346" i="5"/>
  <c r="AN324" i="5"/>
  <c r="AW324" i="5"/>
  <c r="AN332" i="5"/>
  <c r="AW332" i="5"/>
  <c r="AN340" i="5"/>
  <c r="AW340" i="5"/>
  <c r="AN348" i="5"/>
  <c r="AW348" i="5"/>
  <c r="AN318" i="5"/>
  <c r="AW318" i="5"/>
  <c r="AN326" i="5"/>
  <c r="AW326" i="5"/>
  <c r="AN334" i="5"/>
  <c r="AW334" i="5"/>
  <c r="AN342" i="5"/>
  <c r="AW342" i="5"/>
  <c r="J91" i="14" l="1"/>
  <c r="O91" i="14" s="1"/>
  <c r="J45" i="14"/>
  <c r="O43" i="14"/>
  <c r="J127" i="14"/>
  <c r="O125" i="14"/>
  <c r="J133" i="14"/>
  <c r="J167" i="14"/>
  <c r="O167" i="14" s="1"/>
  <c r="J225" i="5"/>
  <c r="J223" i="5"/>
  <c r="J211" i="5"/>
  <c r="J213" i="5"/>
  <c r="J215" i="5"/>
  <c r="J217" i="5"/>
  <c r="J219" i="5"/>
  <c r="J209" i="5"/>
  <c r="J193" i="5"/>
  <c r="J195" i="5"/>
  <c r="J197" i="5"/>
  <c r="J199" i="5"/>
  <c r="J201" i="5"/>
  <c r="J203" i="5"/>
  <c r="J205" i="5"/>
  <c r="J191" i="5"/>
  <c r="J169" i="5"/>
  <c r="J171" i="5"/>
  <c r="J173" i="5"/>
  <c r="J175" i="5"/>
  <c r="J177" i="5"/>
  <c r="J179" i="5"/>
  <c r="J181" i="5"/>
  <c r="J183" i="5"/>
  <c r="J185" i="5"/>
  <c r="J187" i="5"/>
  <c r="J167" i="5"/>
  <c r="J161" i="5"/>
  <c r="J163" i="5"/>
  <c r="J159" i="5"/>
  <c r="J153" i="5"/>
  <c r="J155" i="5"/>
  <c r="J151" i="5"/>
  <c r="J141" i="5"/>
  <c r="J143" i="5"/>
  <c r="J145" i="5"/>
  <c r="J147" i="5"/>
  <c r="J139" i="5"/>
  <c r="J133" i="5"/>
  <c r="J135" i="5"/>
  <c r="J131" i="5"/>
  <c r="J113" i="5"/>
  <c r="J115" i="5"/>
  <c r="J117" i="5"/>
  <c r="J119" i="5"/>
  <c r="J121" i="5"/>
  <c r="J123" i="5"/>
  <c r="J125" i="5"/>
  <c r="J127" i="5"/>
  <c r="O127" i="5" s="1"/>
  <c r="J111" i="5"/>
  <c r="J105" i="5"/>
  <c r="J107" i="5"/>
  <c r="J103" i="5"/>
  <c r="J243" i="5"/>
  <c r="J99" i="5"/>
  <c r="J245" i="5"/>
  <c r="J247" i="5"/>
  <c r="J97" i="5"/>
  <c r="O97" i="5" s="1"/>
  <c r="J93" i="5"/>
  <c r="J95" i="5"/>
  <c r="J91" i="5"/>
  <c r="J87" i="5"/>
  <c r="J85" i="5"/>
  <c r="O39" i="5"/>
  <c r="O41" i="5"/>
  <c r="J43" i="5"/>
  <c r="O43" i="5" s="1"/>
  <c r="J47" i="5"/>
  <c r="J49" i="5"/>
  <c r="J51" i="5"/>
  <c r="J53" i="5"/>
  <c r="J55" i="5"/>
  <c r="J57" i="5"/>
  <c r="J59" i="5"/>
  <c r="J61" i="5"/>
  <c r="J63" i="5"/>
  <c r="J65" i="5"/>
  <c r="J67" i="5"/>
  <c r="J69" i="5"/>
  <c r="J71" i="5"/>
  <c r="J73" i="5"/>
  <c r="J75" i="5"/>
  <c r="J77" i="5"/>
  <c r="J79" i="5"/>
  <c r="J35" i="5"/>
  <c r="J23" i="5"/>
  <c r="J25" i="5"/>
  <c r="O25" i="5" s="1"/>
  <c r="J29" i="5"/>
  <c r="J31" i="5"/>
  <c r="J19" i="5"/>
  <c r="O19" i="5" s="1"/>
  <c r="J233" i="5"/>
  <c r="J231" i="5"/>
  <c r="J229" i="5"/>
  <c r="J227" i="5"/>
  <c r="J221" i="5"/>
  <c r="J207" i="5"/>
  <c r="J189" i="5"/>
  <c r="J165" i="5"/>
  <c r="J157" i="5"/>
  <c r="J149" i="5"/>
  <c r="J137" i="5"/>
  <c r="O129" i="5"/>
  <c r="J109" i="5"/>
  <c r="O109" i="5" s="1"/>
  <c r="O101" i="5"/>
  <c r="J241" i="5"/>
  <c r="O241" i="5" s="1"/>
  <c r="J89" i="5"/>
  <c r="O89" i="5" s="1"/>
  <c r="J83" i="5"/>
  <c r="O83" i="5" s="1"/>
  <c r="J33" i="5"/>
  <c r="O33" i="5" s="1"/>
  <c r="AW27" i="5" l="1"/>
  <c r="AW39" i="5"/>
  <c r="AW97" i="5"/>
  <c r="AW43" i="5"/>
  <c r="AW41" i="5"/>
  <c r="J47" i="14"/>
  <c r="O45" i="14"/>
  <c r="J135" i="14"/>
  <c r="O133" i="14"/>
  <c r="J129" i="14"/>
  <c r="O129" i="14" s="1"/>
  <c r="O127" i="14"/>
  <c r="J169" i="14"/>
  <c r="J175" i="14"/>
  <c r="O175" i="14" s="1"/>
  <c r="AN41" i="5"/>
  <c r="AN27" i="5"/>
  <c r="AN43" i="5"/>
  <c r="O113" i="5"/>
  <c r="O121" i="5"/>
  <c r="O115" i="5"/>
  <c r="O123" i="5"/>
  <c r="O117" i="5"/>
  <c r="O125" i="5"/>
  <c r="O111" i="5"/>
  <c r="O119" i="5"/>
  <c r="J49" i="14" l="1"/>
  <c r="J51" i="14" s="1"/>
  <c r="O47" i="14"/>
  <c r="J137" i="14"/>
  <c r="O135" i="14"/>
  <c r="J171" i="14"/>
  <c r="O169" i="14"/>
  <c r="J177" i="14"/>
  <c r="J187" i="14"/>
  <c r="O187" i="14" s="1"/>
  <c r="O49" i="14" l="1"/>
  <c r="J173" i="14"/>
  <c r="O173" i="14" s="1"/>
  <c r="O171" i="14"/>
  <c r="J139" i="14"/>
  <c r="O137" i="14"/>
  <c r="J179" i="14"/>
  <c r="O177" i="14"/>
  <c r="J189" i="14"/>
  <c r="J195" i="14"/>
  <c r="O195" i="14" s="1"/>
  <c r="AL29" i="5"/>
  <c r="AW29" i="5" l="1"/>
  <c r="J141" i="14"/>
  <c r="O139" i="14"/>
  <c r="J53" i="14"/>
  <c r="O51" i="14"/>
  <c r="J191" i="14"/>
  <c r="O189" i="14"/>
  <c r="J181" i="14"/>
  <c r="O179" i="14"/>
  <c r="J197" i="14"/>
  <c r="J203" i="14"/>
  <c r="O203" i="14" s="1"/>
  <c r="AN29" i="5"/>
  <c r="AL187" i="5"/>
  <c r="AL163" i="5"/>
  <c r="AW163" i="5" l="1"/>
  <c r="AW187" i="5"/>
  <c r="J143" i="14"/>
  <c r="O141" i="14"/>
  <c r="J199" i="14"/>
  <c r="O197" i="14"/>
  <c r="J183" i="14"/>
  <c r="O181" i="14"/>
  <c r="J55" i="14"/>
  <c r="O53" i="14"/>
  <c r="J193" i="14"/>
  <c r="O193" i="14" s="1"/>
  <c r="O191" i="14"/>
  <c r="J205" i="14"/>
  <c r="J227" i="14"/>
  <c r="O227" i="14" s="1"/>
  <c r="AN187" i="5"/>
  <c r="AN163" i="5"/>
  <c r="J185" i="14" l="1"/>
  <c r="O185" i="14" s="1"/>
  <c r="O183" i="14"/>
  <c r="J145" i="14"/>
  <c r="O143" i="14"/>
  <c r="J201" i="14"/>
  <c r="O201" i="14" s="1"/>
  <c r="O199" i="14"/>
  <c r="J207" i="14"/>
  <c r="O205" i="14"/>
  <c r="J57" i="14"/>
  <c r="O55" i="14"/>
  <c r="J245" i="14"/>
  <c r="O245" i="14" s="1"/>
  <c r="J229" i="14"/>
  <c r="J209" i="14" l="1"/>
  <c r="O207" i="14"/>
  <c r="J147" i="14"/>
  <c r="O145" i="14"/>
  <c r="J59" i="14"/>
  <c r="O57" i="14"/>
  <c r="J231" i="14"/>
  <c r="O229" i="14"/>
  <c r="J251" i="14"/>
  <c r="J247" i="14"/>
  <c r="AP21" i="5"/>
  <c r="J211" i="14" l="1"/>
  <c r="O209" i="14"/>
  <c r="J249" i="14"/>
  <c r="O249" i="14" s="1"/>
  <c r="O247" i="14"/>
  <c r="J253" i="14"/>
  <c r="O251" i="14"/>
  <c r="J61" i="14"/>
  <c r="O59" i="14"/>
  <c r="J149" i="14"/>
  <c r="O147" i="14"/>
  <c r="J233" i="14"/>
  <c r="O231" i="14"/>
  <c r="T278" i="5"/>
  <c r="AL51" i="5"/>
  <c r="AW51" i="5" l="1"/>
  <c r="J213" i="14"/>
  <c r="O211" i="14"/>
  <c r="J151" i="14"/>
  <c r="O149" i="14"/>
  <c r="J255" i="14"/>
  <c r="O253" i="14"/>
  <c r="J235" i="14"/>
  <c r="O233" i="14"/>
  <c r="J63" i="14"/>
  <c r="O61" i="14"/>
  <c r="AN51" i="5"/>
  <c r="O27" i="5"/>
  <c r="O23" i="5"/>
  <c r="J215" i="14" l="1"/>
  <c r="O213" i="14"/>
  <c r="J65" i="14"/>
  <c r="O63" i="14"/>
  <c r="J257" i="14"/>
  <c r="O257" i="14" s="1"/>
  <c r="O255" i="14"/>
  <c r="J153" i="14"/>
  <c r="O151" i="14"/>
  <c r="J237" i="14"/>
  <c r="O235" i="14"/>
  <c r="J217" i="14" l="1"/>
  <c r="O215" i="14"/>
  <c r="J239" i="14"/>
  <c r="O237" i="14"/>
  <c r="J155" i="14"/>
  <c r="O153" i="14"/>
  <c r="J67" i="14"/>
  <c r="O65" i="14"/>
  <c r="O31" i="5"/>
  <c r="O29" i="5"/>
  <c r="J219" i="14" l="1"/>
  <c r="O217" i="14"/>
  <c r="J241" i="14"/>
  <c r="O239" i="14"/>
  <c r="J157" i="14"/>
  <c r="O155" i="14"/>
  <c r="J69" i="14"/>
  <c r="O67" i="14"/>
  <c r="AL61" i="5"/>
  <c r="AK61" i="5"/>
  <c r="AW61" i="5" l="1"/>
  <c r="J221" i="14"/>
  <c r="O219" i="14"/>
  <c r="J243" i="14"/>
  <c r="O243" i="14" s="1"/>
  <c r="O241" i="14"/>
  <c r="J159" i="14"/>
  <c r="O157" i="14"/>
  <c r="J71" i="14"/>
  <c r="O69" i="14"/>
  <c r="AN61" i="5"/>
  <c r="J223" i="14" l="1"/>
  <c r="O221" i="14"/>
  <c r="J161" i="14"/>
  <c r="O159" i="14"/>
  <c r="J73" i="14"/>
  <c r="O71" i="14"/>
  <c r="AL57" i="5"/>
  <c r="AW57" i="5" l="1"/>
  <c r="J225" i="14"/>
  <c r="O225" i="14" s="1"/>
  <c r="O223" i="14"/>
  <c r="J163" i="14"/>
  <c r="O161" i="14"/>
  <c r="J75" i="14"/>
  <c r="O75" i="14" s="1"/>
  <c r="O73" i="14"/>
  <c r="AN57" i="5"/>
  <c r="AK241" i="5"/>
  <c r="AL247" i="5"/>
  <c r="AN247" i="5" s="1"/>
  <c r="AL245" i="5"/>
  <c r="AL59" i="5"/>
  <c r="AL45" i="5"/>
  <c r="AP15" i="5"/>
  <c r="AW247" i="5" l="1"/>
  <c r="AW45" i="5"/>
  <c r="AW245" i="5"/>
  <c r="AW59" i="5"/>
  <c r="J165" i="14"/>
  <c r="O165" i="14" s="1"/>
  <c r="O163" i="14"/>
  <c r="AN45" i="5"/>
  <c r="AN59" i="5"/>
  <c r="AN245" i="5"/>
  <c r="AL67" i="5" l="1"/>
  <c r="AL55" i="5"/>
  <c r="AL229" i="5"/>
  <c r="AU21" i="5"/>
  <c r="AU19" i="5"/>
  <c r="AL231" i="5"/>
  <c r="AL227" i="5"/>
  <c r="AL225" i="5"/>
  <c r="AL219" i="5"/>
  <c r="AL217" i="5"/>
  <c r="AL215" i="5"/>
  <c r="AL213" i="5"/>
  <c r="AL211" i="5"/>
  <c r="AL209" i="5"/>
  <c r="AL205" i="5"/>
  <c r="AL203" i="5"/>
  <c r="AL201" i="5"/>
  <c r="AL199" i="5"/>
  <c r="AL197" i="5"/>
  <c r="AL195" i="5"/>
  <c r="AL193" i="5"/>
  <c r="AL191" i="5"/>
  <c r="AL169" i="5"/>
  <c r="AL171" i="5"/>
  <c r="AL173" i="5"/>
  <c r="AL175" i="5"/>
  <c r="AL177" i="5"/>
  <c r="AL179" i="5"/>
  <c r="AL181" i="5"/>
  <c r="AL183" i="5"/>
  <c r="AL185" i="5"/>
  <c r="AL167" i="5"/>
  <c r="AL161" i="5"/>
  <c r="AL159" i="5"/>
  <c r="AL155" i="5"/>
  <c r="AL153" i="5"/>
  <c r="AL151" i="5"/>
  <c r="AL147" i="5"/>
  <c r="AL145" i="5"/>
  <c r="AL143" i="5"/>
  <c r="AL141" i="5"/>
  <c r="AL139" i="5"/>
  <c r="AL135" i="5"/>
  <c r="AL133" i="5"/>
  <c r="AL131" i="5"/>
  <c r="AL107" i="5"/>
  <c r="AL105" i="5"/>
  <c r="AL103" i="5"/>
  <c r="AL243" i="5"/>
  <c r="AL99" i="5"/>
  <c r="AL95" i="5"/>
  <c r="AN95" i="5" s="1"/>
  <c r="AL93" i="5"/>
  <c r="AL87" i="5"/>
  <c r="AL47" i="5"/>
  <c r="AL49" i="5"/>
  <c r="AL53" i="5"/>
  <c r="AL63" i="5"/>
  <c r="AL65" i="5"/>
  <c r="AL69" i="5"/>
  <c r="AL71" i="5"/>
  <c r="AL77" i="5"/>
  <c r="AL73" i="5"/>
  <c r="AL75" i="5"/>
  <c r="AL79" i="5"/>
  <c r="AL21" i="5"/>
  <c r="AL23" i="5"/>
  <c r="AL31" i="5"/>
  <c r="AN21" i="5"/>
  <c r="AO23" i="5" l="1"/>
  <c r="AP23" i="5" s="1"/>
  <c r="AW75" i="5"/>
  <c r="AW243" i="5"/>
  <c r="AW37" i="5"/>
  <c r="AW79" i="5"/>
  <c r="AW71" i="5"/>
  <c r="AW87" i="5"/>
  <c r="AW99" i="5"/>
  <c r="AW107" i="5"/>
  <c r="AW139" i="5"/>
  <c r="AW147" i="5"/>
  <c r="AW159" i="5"/>
  <c r="AW183" i="5"/>
  <c r="AW175" i="5"/>
  <c r="AW191" i="5"/>
  <c r="AW199" i="5"/>
  <c r="AW209" i="5"/>
  <c r="AW217" i="5"/>
  <c r="AW231" i="5"/>
  <c r="AW229" i="5"/>
  <c r="AW67" i="5"/>
  <c r="AW69" i="5"/>
  <c r="AW77" i="5"/>
  <c r="AW63" i="5"/>
  <c r="AW47" i="5"/>
  <c r="AW95" i="5"/>
  <c r="AW105" i="5"/>
  <c r="AW135" i="5"/>
  <c r="AW145" i="5"/>
  <c r="AW155" i="5"/>
  <c r="AW185" i="5"/>
  <c r="AW177" i="5"/>
  <c r="AW169" i="5"/>
  <c r="AW197" i="5"/>
  <c r="AW205" i="5"/>
  <c r="AW215" i="5"/>
  <c r="AW227" i="5"/>
  <c r="AW31" i="5"/>
  <c r="AW85" i="5"/>
  <c r="AW73" i="5"/>
  <c r="AW65" i="5"/>
  <c r="AW49" i="5"/>
  <c r="AW93" i="5"/>
  <c r="AW103" i="5"/>
  <c r="AW133" i="5"/>
  <c r="AW143" i="5"/>
  <c r="AW153" i="5"/>
  <c r="AW167" i="5"/>
  <c r="AW179" i="5"/>
  <c r="AW171" i="5"/>
  <c r="AW195" i="5"/>
  <c r="AW203" i="5"/>
  <c r="AW213" i="5"/>
  <c r="AW225" i="5"/>
  <c r="AW55" i="5"/>
  <c r="AW53" i="5"/>
  <c r="AW131" i="5"/>
  <c r="AW141" i="5"/>
  <c r="AW151" i="5"/>
  <c r="AW161" i="5"/>
  <c r="AW181" i="5"/>
  <c r="AW173" i="5"/>
  <c r="AW193" i="5"/>
  <c r="AW201" i="5"/>
  <c r="AW211" i="5"/>
  <c r="AW219" i="5"/>
  <c r="AV21" i="5"/>
  <c r="AW23" i="5"/>
  <c r="AN23" i="5"/>
  <c r="AN79" i="5"/>
  <c r="AN73" i="5"/>
  <c r="AN71" i="5"/>
  <c r="AN65" i="5"/>
  <c r="AN49" i="5"/>
  <c r="AN87" i="5"/>
  <c r="AN93" i="5"/>
  <c r="AN99" i="5"/>
  <c r="AN103" i="5"/>
  <c r="AN107" i="5"/>
  <c r="AN133" i="5"/>
  <c r="AN139" i="5"/>
  <c r="AN143" i="5"/>
  <c r="AN147" i="5"/>
  <c r="AN153" i="5"/>
  <c r="AN159" i="5"/>
  <c r="AN167" i="5"/>
  <c r="AN183" i="5"/>
  <c r="AN179" i="5"/>
  <c r="AN175" i="5"/>
  <c r="AN171" i="5"/>
  <c r="AN191" i="5"/>
  <c r="AN195" i="5"/>
  <c r="AN199" i="5"/>
  <c r="AN203" i="5"/>
  <c r="AN209" i="5"/>
  <c r="AN213" i="5"/>
  <c r="AN217" i="5"/>
  <c r="AN225" i="5"/>
  <c r="AN231" i="5"/>
  <c r="AN229" i="5"/>
  <c r="AN55" i="5"/>
  <c r="AN67" i="5"/>
  <c r="AN37" i="5"/>
  <c r="AN31" i="5"/>
  <c r="AN75" i="5"/>
  <c r="AN77" i="5"/>
  <c r="AN69" i="5"/>
  <c r="AN63" i="5"/>
  <c r="AN53" i="5"/>
  <c r="AN47" i="5"/>
  <c r="AN85" i="5"/>
  <c r="AN105" i="5"/>
  <c r="AN131" i="5"/>
  <c r="AN135" i="5"/>
  <c r="AN141" i="5"/>
  <c r="AN145" i="5"/>
  <c r="AN151" i="5"/>
  <c r="AN155" i="5"/>
  <c r="AN161" i="5"/>
  <c r="AN185" i="5"/>
  <c r="AN181" i="5"/>
  <c r="AN177" i="5"/>
  <c r="AN173" i="5"/>
  <c r="AN169" i="5"/>
  <c r="AN193" i="5"/>
  <c r="AN197" i="5"/>
  <c r="AN201" i="5"/>
  <c r="AN205" i="5"/>
  <c r="AN211" i="5"/>
  <c r="AN215" i="5"/>
  <c r="AN219" i="5"/>
  <c r="AN227" i="5"/>
  <c r="AN243" i="5"/>
  <c r="AW21" i="5"/>
  <c r="AK87" i="5"/>
  <c r="AK85" i="5"/>
  <c r="AO81" i="5" l="1"/>
  <c r="AP81" i="5" s="1"/>
  <c r="AV81" i="5" s="1"/>
  <c r="AV23" i="5"/>
  <c r="AO31" i="5"/>
  <c r="AP31" i="5" s="1"/>
  <c r="AV31" i="5" s="1"/>
  <c r="AO25" i="5"/>
  <c r="AP25" i="5" s="1"/>
  <c r="AV25" i="5" s="1"/>
  <c r="AO91" i="5"/>
  <c r="AP91" i="5" s="1"/>
  <c r="AO57" i="5"/>
  <c r="AP57" i="5" s="1"/>
  <c r="AV57" i="5" s="1"/>
  <c r="AO67" i="5"/>
  <c r="AP67" i="5" s="1"/>
  <c r="AV67" i="5" s="1"/>
  <c r="AO87" i="5"/>
  <c r="AP87" i="5" s="1"/>
  <c r="AV87" i="5" s="1"/>
  <c r="AO53" i="5"/>
  <c r="AP53" i="5" s="1"/>
  <c r="AV53" i="5" s="1"/>
  <c r="AO59" i="5"/>
  <c r="AP59" i="5" s="1"/>
  <c r="AV59" i="5" s="1"/>
  <c r="AO63" i="5"/>
  <c r="AP63" i="5" s="1"/>
  <c r="AV63" i="5" s="1"/>
  <c r="AO65" i="5"/>
  <c r="AP65" i="5" s="1"/>
  <c r="AV65" i="5" s="1"/>
  <c r="AO33" i="5"/>
  <c r="AO85" i="5"/>
  <c r="AP85" i="5" s="1"/>
  <c r="AV85" i="5" s="1"/>
  <c r="AO61" i="5"/>
  <c r="AP61" i="5" s="1"/>
  <c r="AV61" i="5" s="1"/>
  <c r="AO29" i="5"/>
  <c r="AP29" i="5" s="1"/>
  <c r="AV29" i="5" s="1"/>
  <c r="AO75" i="5"/>
  <c r="AP75" i="5" s="1"/>
  <c r="AV75" i="5" s="1"/>
  <c r="AO71" i="5"/>
  <c r="AP71" i="5" s="1"/>
  <c r="AV71" i="5" s="1"/>
  <c r="AO39" i="5"/>
  <c r="AP39" i="5" s="1"/>
  <c r="AV39" i="5" s="1"/>
  <c r="AO73" i="5"/>
  <c r="AP73" i="5" s="1"/>
  <c r="AV73" i="5" s="1"/>
  <c r="AO41" i="5"/>
  <c r="AP41" i="5" s="1"/>
  <c r="AV41" i="5" s="1"/>
  <c r="AO69" i="5"/>
  <c r="AP69" i="5" s="1"/>
  <c r="AV69" i="5" s="1"/>
  <c r="AO37" i="5"/>
  <c r="AP37" i="5" s="1"/>
  <c r="AV37" i="5" s="1"/>
  <c r="AO35" i="5"/>
  <c r="AP35" i="5" s="1"/>
  <c r="AV35" i="5" s="1"/>
  <c r="AO79" i="5"/>
  <c r="AP79" i="5" s="1"/>
  <c r="AV79" i="5" s="1"/>
  <c r="AO47" i="5"/>
  <c r="AP47" i="5" s="1"/>
  <c r="AV47" i="5" s="1"/>
  <c r="AO83" i="5"/>
  <c r="AO49" i="5"/>
  <c r="AP49" i="5" s="1"/>
  <c r="AV49" i="5" s="1"/>
  <c r="AO27" i="5"/>
  <c r="AP27" i="5" s="1"/>
  <c r="AV27" i="5" s="1"/>
  <c r="AO43" i="5"/>
  <c r="AP43" i="5" s="1"/>
  <c r="AV43" i="5" s="1"/>
  <c r="AO77" i="5"/>
  <c r="AP77" i="5" s="1"/>
  <c r="AV77" i="5" s="1"/>
  <c r="AO45" i="5"/>
  <c r="AP45" i="5" s="1"/>
  <c r="AV45" i="5" s="1"/>
  <c r="AO51" i="5"/>
  <c r="AP51" i="5" s="1"/>
  <c r="AV51" i="5" s="1"/>
  <c r="AO89" i="5"/>
  <c r="AO55" i="5"/>
  <c r="AP55" i="5" s="1"/>
  <c r="AV55" i="5" s="1"/>
  <c r="AQ21" i="5"/>
  <c r="AL91" i="5"/>
  <c r="AW91" i="5" l="1"/>
  <c r="AV91" i="5"/>
  <c r="AN91" i="5"/>
  <c r="AO253" i="5" l="1"/>
  <c r="AP253" i="5" s="1"/>
  <c r="AV253" i="5" s="1"/>
  <c r="AO263" i="5"/>
  <c r="AP263" i="5" s="1"/>
  <c r="AV263" i="5" s="1"/>
  <c r="AO269" i="5"/>
  <c r="AP269" i="5" s="1"/>
  <c r="AV269" i="5" s="1"/>
  <c r="AO251" i="5"/>
  <c r="AP251" i="5" s="1"/>
  <c r="AV251" i="5" s="1"/>
  <c r="AO265" i="5"/>
  <c r="AP265" i="5" s="1"/>
  <c r="AV265" i="5" s="1"/>
  <c r="AO261" i="5"/>
  <c r="AP261" i="5" s="1"/>
  <c r="AV261" i="5" s="1"/>
  <c r="AO259" i="5"/>
  <c r="AP259" i="5" s="1"/>
  <c r="AV259" i="5" s="1"/>
  <c r="AO255" i="5"/>
  <c r="AP255" i="5" s="1"/>
  <c r="AV255" i="5" s="1"/>
  <c r="AO267" i="5"/>
  <c r="AP267" i="5" s="1"/>
  <c r="AV267" i="5" s="1"/>
  <c r="AO257" i="5"/>
  <c r="AP257" i="5" s="1"/>
  <c r="AV257" i="5" s="1"/>
  <c r="AO247" i="5"/>
  <c r="AP247" i="5" s="1"/>
  <c r="AN351" i="5"/>
  <c r="AO348" i="5"/>
  <c r="AO316" i="5"/>
  <c r="AO344" i="5"/>
  <c r="AO330" i="5"/>
  <c r="AO346" i="5"/>
  <c r="AO318" i="5"/>
  <c r="AO326" i="5"/>
  <c r="AO334" i="5"/>
  <c r="AO342" i="5"/>
  <c r="AO338" i="5"/>
  <c r="AO336" i="5"/>
  <c r="AO324" i="5"/>
  <c r="AO332" i="5"/>
  <c r="AO340" i="5"/>
  <c r="AO322" i="5"/>
  <c r="AO320" i="5"/>
  <c r="AO328" i="5"/>
  <c r="AO123" i="5"/>
  <c r="AP123" i="5" s="1"/>
  <c r="AV123" i="5" s="1"/>
  <c r="AO157" i="5"/>
  <c r="AO119" i="5"/>
  <c r="AP119" i="5" s="1"/>
  <c r="AV119" i="5" s="1"/>
  <c r="AO197" i="5"/>
  <c r="AO225" i="5"/>
  <c r="AO97" i="5"/>
  <c r="AP97" i="5" s="1"/>
  <c r="AV97" i="5" s="1"/>
  <c r="AO131" i="5"/>
  <c r="AP131" i="5" s="1"/>
  <c r="AV131" i="5" s="1"/>
  <c r="AO213" i="5"/>
  <c r="AO127" i="5"/>
  <c r="AP127" i="5" s="1"/>
  <c r="AV127" i="5" s="1"/>
  <c r="AO221" i="5"/>
  <c r="AO233" i="5"/>
  <c r="AO105" i="5"/>
  <c r="AP105" i="5" s="1"/>
  <c r="AV105" i="5" s="1"/>
  <c r="AO203" i="5"/>
  <c r="AO173" i="5"/>
  <c r="AO199" i="5"/>
  <c r="AO93" i="5"/>
  <c r="AP93" i="5" s="1"/>
  <c r="AV93" i="5" s="1"/>
  <c r="AO177" i="5"/>
  <c r="AO147" i="5"/>
  <c r="AP147" i="5" s="1"/>
  <c r="AV147" i="5" s="1"/>
  <c r="AO143" i="5"/>
  <c r="AP143" i="5" s="1"/>
  <c r="AV143" i="5" s="1"/>
  <c r="AO121" i="5"/>
  <c r="AP121" i="5" s="1"/>
  <c r="AV121" i="5" s="1"/>
  <c r="AO155" i="5"/>
  <c r="AP155" i="5" s="1"/>
  <c r="AV155" i="5" s="1"/>
  <c r="AO151" i="5"/>
  <c r="AP151" i="5" s="1"/>
  <c r="AV151" i="5" s="1"/>
  <c r="AO129" i="5"/>
  <c r="AO163" i="5"/>
  <c r="AO159" i="5"/>
  <c r="AO137" i="5"/>
  <c r="AO235" i="5"/>
  <c r="AO107" i="5"/>
  <c r="AP107" i="5" s="1"/>
  <c r="AV107" i="5" s="1"/>
  <c r="AO231" i="5"/>
  <c r="AO103" i="5"/>
  <c r="AP103" i="5" s="1"/>
  <c r="AV103" i="5" s="1"/>
  <c r="AO165" i="5"/>
  <c r="AO209" i="5"/>
  <c r="AP209" i="5" s="1"/>
  <c r="AV209" i="5" s="1"/>
  <c r="AO179" i="5"/>
  <c r="AO117" i="5"/>
  <c r="AP117" i="5" s="1"/>
  <c r="AV117" i="5" s="1"/>
  <c r="AO175" i="5"/>
  <c r="AO153" i="5"/>
  <c r="AP153" i="5" s="1"/>
  <c r="AV153" i="5" s="1"/>
  <c r="AO187" i="5"/>
  <c r="AO133" i="5"/>
  <c r="AP133" i="5" s="1"/>
  <c r="AV133" i="5" s="1"/>
  <c r="AO183" i="5"/>
  <c r="AO161" i="5"/>
  <c r="AO195" i="5"/>
  <c r="AO149" i="5"/>
  <c r="AO191" i="5"/>
  <c r="AO169" i="5"/>
  <c r="AO139" i="5"/>
  <c r="AP139" i="5" s="1"/>
  <c r="AV139" i="5" s="1"/>
  <c r="AO237" i="5"/>
  <c r="AO135" i="5"/>
  <c r="AP135" i="5" s="1"/>
  <c r="AV135" i="5" s="1"/>
  <c r="AO245" i="5"/>
  <c r="AO241" i="5"/>
  <c r="AO113" i="5"/>
  <c r="AP113" i="5" s="1"/>
  <c r="AV113" i="5" s="1"/>
  <c r="AO211" i="5"/>
  <c r="AO189" i="5"/>
  <c r="AO207" i="5"/>
  <c r="AO109" i="5"/>
  <c r="AO185" i="5"/>
  <c r="AO219" i="5"/>
  <c r="AO205" i="5"/>
  <c r="AO215" i="5"/>
  <c r="AO125" i="5"/>
  <c r="AP125" i="5" s="1"/>
  <c r="AV125" i="5" s="1"/>
  <c r="AO193" i="5"/>
  <c r="AO227" i="5"/>
  <c r="AO99" i="5"/>
  <c r="AO229" i="5"/>
  <c r="AO223" i="5"/>
  <c r="AO95" i="5"/>
  <c r="AP95" i="5" s="1"/>
  <c r="AV95" i="5" s="1"/>
  <c r="AO141" i="5"/>
  <c r="AP141" i="5" s="1"/>
  <c r="AV141" i="5" s="1"/>
  <c r="AO201" i="5"/>
  <c r="AO171" i="5"/>
  <c r="AO101" i="5"/>
  <c r="AO167" i="5"/>
  <c r="AO145" i="5"/>
  <c r="AP145" i="5" s="1"/>
  <c r="AV145" i="5" s="1"/>
  <c r="AO243" i="5"/>
  <c r="AO115" i="5"/>
  <c r="AP115" i="5" s="1"/>
  <c r="AV115" i="5" s="1"/>
  <c r="AO239" i="5"/>
  <c r="AO111" i="5"/>
  <c r="AP111" i="5" s="1"/>
  <c r="AV111" i="5" s="1"/>
  <c r="AO181" i="5"/>
  <c r="AO217" i="5"/>
  <c r="AP99" i="5"/>
  <c r="AV99" i="5" s="1"/>
  <c r="AP348" i="5" l="1"/>
  <c r="AV348" i="5" s="1"/>
  <c r="AP328" i="5"/>
  <c r="AV328" i="5" s="1"/>
  <c r="AP197" i="5"/>
  <c r="AV197" i="5" s="1"/>
  <c r="AP171" i="5"/>
  <c r="AV171" i="5" s="1"/>
  <c r="AP233" i="5"/>
  <c r="AV233" i="5" s="1"/>
  <c r="AP175" i="5"/>
  <c r="AV175" i="5" s="1"/>
  <c r="AP159" i="5"/>
  <c r="AV159" i="5" s="1"/>
  <c r="AP231" i="5"/>
  <c r="AV231" i="5" s="1"/>
  <c r="AP324" i="5"/>
  <c r="AV324" i="5" s="1"/>
  <c r="AP245" i="5"/>
  <c r="AV245" i="5" s="1"/>
  <c r="AP334" i="5"/>
  <c r="AV334" i="5" s="1"/>
  <c r="AV247" i="5"/>
  <c r="AP340" i="5"/>
  <c r="AV340" i="5" s="1"/>
  <c r="AP316" i="5"/>
  <c r="AV316" i="5" s="1"/>
  <c r="AP330" i="5"/>
  <c r="AV330" i="5" s="1"/>
  <c r="AP344" i="5"/>
  <c r="AV344" i="5" s="1"/>
  <c r="AP161" i="5"/>
  <c r="AV161" i="5" s="1"/>
  <c r="AP227" i="5"/>
  <c r="AV227" i="5" s="1"/>
  <c r="AP183" i="5"/>
  <c r="AV183" i="5" s="1"/>
  <c r="AP163" i="5"/>
  <c r="AV163" i="5" s="1"/>
  <c r="AP239" i="5"/>
  <c r="AV239" i="5" s="1"/>
  <c r="AP179" i="5"/>
  <c r="AV179" i="5" s="1"/>
  <c r="AP217" i="5"/>
  <c r="AV217" i="5" s="1"/>
  <c r="AP225" i="5"/>
  <c r="AV225" i="5" s="1"/>
  <c r="AP191" i="5"/>
  <c r="AV191" i="5" s="1"/>
  <c r="AP193" i="5"/>
  <c r="AV193" i="5" s="1"/>
  <c r="AP169" i="5"/>
  <c r="AV169" i="5" s="1"/>
  <c r="AP243" i="5"/>
  <c r="AV243" i="5" s="1"/>
  <c r="AP322" i="5"/>
  <c r="AV322" i="5" s="1"/>
  <c r="AP336" i="5"/>
  <c r="AV336" i="5" s="1"/>
  <c r="AP320" i="5"/>
  <c r="AV320" i="5" s="1"/>
  <c r="AP338" i="5"/>
  <c r="AV338" i="5" s="1"/>
  <c r="AP318" i="5"/>
  <c r="AV318" i="5" s="1"/>
  <c r="AP332" i="5"/>
  <c r="AV332" i="5" s="1"/>
  <c r="AP342" i="5"/>
  <c r="AV342" i="5" s="1"/>
  <c r="AP223" i="5"/>
  <c r="AV223" i="5" s="1"/>
  <c r="AP229" i="5"/>
  <c r="AV229" i="5" s="1"/>
  <c r="AP199" i="5"/>
  <c r="AV199" i="5" s="1"/>
  <c r="AP211" i="5"/>
  <c r="AV211" i="5" s="1"/>
  <c r="AP177" i="5"/>
  <c r="AV177" i="5" s="1"/>
  <c r="AP205" i="5"/>
  <c r="AV205" i="5" s="1"/>
  <c r="AP167" i="5"/>
  <c r="AV167" i="5" s="1"/>
  <c r="AP203" i="5"/>
  <c r="AV203" i="5" s="1"/>
  <c r="AP346" i="5"/>
  <c r="AV346" i="5" s="1"/>
  <c r="AP326" i="5"/>
  <c r="AV326" i="5" s="1"/>
  <c r="AP187" i="5"/>
  <c r="AV187" i="5" s="1"/>
  <c r="AP215" i="5"/>
  <c r="AV215" i="5" s="1"/>
  <c r="AP181" i="5"/>
  <c r="AV181" i="5" s="1"/>
  <c r="AP195" i="5"/>
  <c r="AV195" i="5" s="1"/>
  <c r="AP213" i="5"/>
  <c r="AV213" i="5" s="1"/>
  <c r="AP237" i="5"/>
  <c r="AV237" i="5" s="1"/>
  <c r="AP201" i="5"/>
  <c r="AV201" i="5" s="1"/>
  <c r="AP173" i="5"/>
  <c r="AV173" i="5" s="1"/>
  <c r="AP219" i="5"/>
  <c r="AV219" i="5" s="1"/>
  <c r="AP185" i="5"/>
  <c r="AV185" i="5" s="1"/>
  <c r="AB9" i="5"/>
  <c r="AO21" i="5" l="1"/>
  <c r="O35" i="5" l="1"/>
  <c r="O37" i="5" l="1"/>
  <c r="O87" i="5"/>
  <c r="O85" i="5"/>
  <c r="O91" i="5" l="1"/>
  <c r="O45" i="5"/>
  <c r="O93" i="5" l="1"/>
  <c r="O47" i="5"/>
  <c r="O243" i="5"/>
  <c r="O247" i="5" l="1"/>
  <c r="O245" i="5"/>
  <c r="O49" i="5"/>
  <c r="O99" i="5"/>
  <c r="O95" i="5"/>
  <c r="O51" i="5" l="1"/>
  <c r="O53" i="5" l="1"/>
  <c r="O55" i="5" l="1"/>
  <c r="O57" i="5" l="1"/>
  <c r="O59" i="5" l="1"/>
  <c r="O61" i="5" l="1"/>
  <c r="O63" i="5" l="1"/>
  <c r="O65" i="5" l="1"/>
  <c r="O67" i="5" l="1"/>
  <c r="O69" i="5" l="1"/>
  <c r="O71" i="5" l="1"/>
  <c r="O73" i="5" l="1"/>
  <c r="O75" i="5" l="1"/>
  <c r="O79" i="5" l="1"/>
  <c r="O77" i="5"/>
  <c r="O105" i="5" l="1"/>
  <c r="O107" i="5"/>
  <c r="O103" i="5"/>
  <c r="O133" i="5" l="1"/>
  <c r="O131" i="5"/>
  <c r="O135" i="5"/>
  <c r="O137" i="5"/>
  <c r="O147" i="5" l="1"/>
  <c r="O145" i="5"/>
  <c r="O141" i="5"/>
  <c r="O143" i="5"/>
  <c r="O139" i="5"/>
  <c r="O149" i="5"/>
  <c r="O155" i="5" l="1"/>
  <c r="O153" i="5"/>
  <c r="O151" i="5"/>
  <c r="O157" i="5"/>
  <c r="O173" i="5" l="1"/>
  <c r="O163" i="5"/>
  <c r="O159" i="5"/>
  <c r="O161" i="5"/>
  <c r="O187" i="5" l="1"/>
  <c r="O165" i="5"/>
  <c r="O171" i="5"/>
  <c r="O183" i="5"/>
  <c r="O179" i="5"/>
  <c r="O169" i="5"/>
  <c r="O185" i="5"/>
  <c r="O167" i="5"/>
  <c r="O175" i="5"/>
  <c r="O181" i="5"/>
  <c r="O177" i="5"/>
  <c r="O201" i="5" l="1"/>
  <c r="O189" i="5"/>
  <c r="O191" i="5"/>
  <c r="O197" i="5"/>
  <c r="O205" i="5"/>
  <c r="O193" i="5"/>
  <c r="O199" i="5"/>
  <c r="O203" i="5"/>
  <c r="O195" i="5"/>
  <c r="O215" i="5" l="1"/>
  <c r="O207" i="5"/>
  <c r="O211" i="5"/>
  <c r="O227" i="5"/>
  <c r="O209" i="5"/>
  <c r="O219" i="5"/>
  <c r="O213" i="5"/>
  <c r="O217" i="5"/>
  <c r="O223" i="5" l="1"/>
  <c r="O221" i="5"/>
  <c r="O225" i="5"/>
  <c r="O229" i="5" l="1"/>
  <c r="AA249" i="5" l="1"/>
  <c r="AK269" i="5" s="1"/>
  <c r="O233" i="5"/>
  <c r="O231" i="5"/>
  <c r="AJ251" i="5" l="1"/>
  <c r="AJ261" i="5"/>
  <c r="AJ259" i="5"/>
  <c r="AJ257" i="5"/>
  <c r="AJ263" i="5"/>
  <c r="AJ255" i="5"/>
  <c r="AZ251" i="5"/>
  <c r="AK259" i="5"/>
  <c r="AJ253" i="5"/>
  <c r="AJ269" i="5"/>
  <c r="AK261" i="5"/>
  <c r="AK265" i="5"/>
  <c r="AJ267" i="5"/>
  <c r="AJ265" i="5"/>
  <c r="AK255" i="5"/>
  <c r="AK267" i="5"/>
  <c r="AK263" i="5"/>
  <c r="AV350" i="5"/>
  <c r="AJ351" i="5" l="1"/>
  <c r="AN356" i="5"/>
  <c r="AN357" i="5"/>
  <c r="AN358" i="5" l="1"/>
  <c r="AN361" i="5" s="1"/>
  <c r="O352" i="5" s="1"/>
  <c r="O351" i="5" s="1"/>
  <c r="O310" i="5" s="1"/>
  <c r="O273" i="5" l="1"/>
  <c r="O272" i="5" s="1"/>
  <c r="O16" i="5" s="1"/>
  <c r="AK249" i="5"/>
</calcChain>
</file>

<file path=xl/sharedStrings.xml><?xml version="1.0" encoding="utf-8"?>
<sst xmlns="http://schemas.openxmlformats.org/spreadsheetml/2006/main" count="1498" uniqueCount="593">
  <si>
    <t>Dos sócios/avalistas/dirigentes</t>
  </si>
  <si>
    <t>Comprovação da capacidade de aporte de recursos próprios</t>
  </si>
  <si>
    <t>http://www.tst.jus.br/certidao/</t>
  </si>
  <si>
    <t>P</t>
  </si>
  <si>
    <t>Lista de Documentos</t>
  </si>
  <si>
    <t>Data</t>
  </si>
  <si>
    <t>Elaborador da Proposta</t>
  </si>
  <si>
    <t xml:space="preserve">Agência </t>
  </si>
  <si>
    <t>Programa/Modalidade</t>
  </si>
  <si>
    <t>Documentos</t>
  </si>
  <si>
    <t>Prej</t>
  </si>
  <si>
    <t>Pág</t>
  </si>
  <si>
    <t>Cronograma físico-financeiro do empreendimento;</t>
  </si>
  <si>
    <t xml:space="preserve">Comprovação da capacidade de aporte de recursos próprios; </t>
  </si>
  <si>
    <t>Alvará de Funcionamento; (se empresa em atividade)</t>
  </si>
  <si>
    <t>Ato constitutivo da sociedade e suas modificações ou Requerimento de Empresário Individual;</t>
  </si>
  <si>
    <t>Formação e experiência profissional dos sócios dirigentes</t>
  </si>
  <si>
    <t>Se financiamento para aquisição de imóvel:</t>
  </si>
  <si>
    <t>Projeto Estrutural;</t>
  </si>
  <si>
    <t>Projeto Elétrico;</t>
  </si>
  <si>
    <t>Se oferecido Garantias pré-existentes:</t>
  </si>
  <si>
    <t>Licença Prévia (LP) ou Licença de Instalação (LI) ou Licença de Operação (LO) ou dispensa de licenciamento;</t>
  </si>
  <si>
    <t>Se Indústria de Beneficiamento de Madeira:</t>
  </si>
  <si>
    <t>Se Indústria Mineral:</t>
  </si>
  <si>
    <t>Portaria de Lavra, com prova de respectiva transcrição do DNPM;</t>
  </si>
  <si>
    <t>Estudos geológicos sobre a jazida;</t>
  </si>
  <si>
    <t>Autorização da ANP; (se postos de combustíveis e derivados)</t>
  </si>
  <si>
    <t>Agência</t>
  </si>
  <si>
    <t xml:space="preserve">Responsável pela conferência dos documentos:  </t>
  </si>
  <si>
    <t xml:space="preserve">Gerente Geral:  </t>
  </si>
  <si>
    <t xml:space="preserve">Supervisor de Análise:  </t>
  </si>
  <si>
    <t>Instância Decisória</t>
  </si>
  <si>
    <t>Certidão Negativa de Débitos Trabalhistas - TST;</t>
  </si>
  <si>
    <t>Certidão de Cadeia Dominial ou Vintenária;</t>
  </si>
  <si>
    <t>Cadastro Específico do INSS (CEI), referente à matrícula da obra; (se obras em andamento)</t>
  </si>
  <si>
    <t>Se proposta de financiamento contemplar aquisição de máquinas, equipamentos, móveis e/ou veículos:</t>
  </si>
  <si>
    <t>Proposta de Seguro do Casco da Aeronave</t>
  </si>
  <si>
    <t>Termo de Vistoria em Seco e Termo de Vistoria Flutuando</t>
  </si>
  <si>
    <t>Título translativo de propriedade ou Escritura Pública;</t>
  </si>
  <si>
    <t>Licença de Operação vigente da empresa construtora/estaleiro;</t>
  </si>
  <si>
    <t>Autorização da ANTT;</t>
  </si>
  <si>
    <t>Proposta/orçamento de construção por estaleiro;</t>
  </si>
  <si>
    <t>Contrato ou proposta de construção da embarcação entre armador e a empresa construtora/estaleiro;</t>
  </si>
  <si>
    <t>Registro da empresa estaleiro/construtor no CREA;</t>
  </si>
  <si>
    <t>Termo de Vistoria em Seco e Termo de Vistoria Flutuando;</t>
  </si>
  <si>
    <t>Certificado de Segurança da Navegação (CSN);</t>
  </si>
  <si>
    <t>Contrato firmado com os fornecedores; (se utilizar madeira explorada por terceiros)</t>
  </si>
  <si>
    <t>Certidão negativa de ônus sobre a aeronave;</t>
  </si>
  <si>
    <t>Projeto aprovado pelo DNPM;</t>
  </si>
  <si>
    <t>Autorização de exploração florestal - AUTEF;</t>
  </si>
  <si>
    <t>ART do Laudo de Avaliação;</t>
  </si>
  <si>
    <t>Se Empresa de Transporte Terrestre:</t>
  </si>
  <si>
    <t>Título de propriedade - inscrito no Registro Aeronáutico Brasileiro;</t>
  </si>
  <si>
    <t>Se Imóvel Objeto de Garantia:</t>
  </si>
  <si>
    <t>Instrumentos contratuais dos financiamentos em andamento em outras instituições financeiras;</t>
  </si>
  <si>
    <t>Se proposta de financiamento contemplar edificação:</t>
  </si>
  <si>
    <t>Do Projeto:</t>
  </si>
  <si>
    <t>Da Proponente:</t>
  </si>
  <si>
    <t>Relação Patrimonial com estimativa de valores e/ou IRPF; (dos Avalistas)</t>
  </si>
  <si>
    <t>Proposta de Financiamento › Não Rural › Micro e Pequena Empresa</t>
  </si>
  <si>
    <t>Cronograma físico-financeiro do empreendimento</t>
  </si>
  <si>
    <t>Ato constitutivo da sociedade e suas modificações ou Requerimento de Empresário Individual</t>
  </si>
  <si>
    <t>Certidão Negativa de Embargo de área para uso econômico - IBAMA</t>
  </si>
  <si>
    <t>Certidão Negativa de Débitos Trabalhistas - TST</t>
  </si>
  <si>
    <t>Se oferecido Garantias pré-existentes</t>
  </si>
  <si>
    <t>Laudo de Avaliação - das garantias</t>
  </si>
  <si>
    <t>ART do Laudo de Avaliação</t>
  </si>
  <si>
    <t>Se Imóvel Objeto de Garantia</t>
  </si>
  <si>
    <t>Certidão de Cadeia Dominial ou Vintenária</t>
  </si>
  <si>
    <t>Propostas de fornecimento</t>
  </si>
  <si>
    <t>Se proposta de financiamento contemplar edificação</t>
  </si>
  <si>
    <t>Projetos arquitetônico das construções civis a realizar</t>
  </si>
  <si>
    <t>Projeto da Fundação</t>
  </si>
  <si>
    <t>Projeto Estrutural</t>
  </si>
  <si>
    <t>Projeto Elétrico</t>
  </si>
  <si>
    <t>Planta de localização/situação</t>
  </si>
  <si>
    <t>Memorial descritivo - das construções civis a realizar</t>
  </si>
  <si>
    <t>Cronograma físico-financeiro - das construções civis a realizar</t>
  </si>
  <si>
    <t>Se financiamento para aquisição de imóvel</t>
  </si>
  <si>
    <t>Título translativo de propriedade ou Escritura Pública</t>
  </si>
  <si>
    <t>Se Indústria de Beneficiamento de Madeira</t>
  </si>
  <si>
    <t>Autorização de exploração florestal - AUTEF</t>
  </si>
  <si>
    <t>Se Indústria Mineral</t>
  </si>
  <si>
    <t>Portaria de Lavra, com prova de respectiva transcrição do DNPM</t>
  </si>
  <si>
    <t>Projeto aprovado pelo DNPM</t>
  </si>
  <si>
    <t>Estudos geológicos sobre a jazida</t>
  </si>
  <si>
    <t>Testes laboratoriais sobre o mineral</t>
  </si>
  <si>
    <t>Se indústria Alimentícia</t>
  </si>
  <si>
    <t>Se Empresa de Transportes Aquaviário</t>
  </si>
  <si>
    <t>Autorização Ambiental de Transporte Interestadual de Produtos Perigosos</t>
  </si>
  <si>
    <t>Licença da Embarcação</t>
  </si>
  <si>
    <t>Certificado de Segurança da Navegação (CSN)</t>
  </si>
  <si>
    <t>Certificado de Armador emitido pelo Tribunal Marítimo</t>
  </si>
  <si>
    <t>Proposta/orçamento de construção por estaleiro</t>
  </si>
  <si>
    <t>Licença de Operação vigente da empresa construtora/estaleiro</t>
  </si>
  <si>
    <t>Registro da empresa estaleiro/construtor no CREA</t>
  </si>
  <si>
    <t>Proposta de seguro de construção a ser contratado pelo estaleiro construtor</t>
  </si>
  <si>
    <t>Se Aeronave</t>
  </si>
  <si>
    <t>Título de propriedade - inscrito no Registro Aeronáutico Brasileiro</t>
  </si>
  <si>
    <t>Certidão negativa de ônus sobre a aeronave</t>
  </si>
  <si>
    <t>Se Empresa de Transporte Terrestre</t>
  </si>
  <si>
    <t>Autorização da ANTT</t>
  </si>
  <si>
    <t>Do Projeto</t>
  </si>
  <si>
    <t>Da Proponente</t>
  </si>
  <si>
    <t>J</t>
  </si>
  <si>
    <t>https://servicos.ibama.gov.br/ctf/publico/certificado_regularidade.php</t>
  </si>
  <si>
    <t>https://servicos.ibama.gov.br/ctf/publico/areasembargadas/ConsultaPublicaAreasEmbargadas.php</t>
  </si>
  <si>
    <t>https://servicos.ibama.gov.br/index.php/anuencia-e-autorizacoes/autorizacao-para-transporte-maritimo-e-interestadual-de-produtos-perigosos</t>
  </si>
  <si>
    <t>www.cadastur.turismo.gov.br</t>
  </si>
  <si>
    <t>Memorial descritivo;</t>
  </si>
  <si>
    <t>Cronograma físico-financeiro;</t>
  </si>
  <si>
    <t>Planta de Localização/Situação;</t>
  </si>
  <si>
    <t>Catálogos/Folder's; (do fabricante)</t>
  </si>
  <si>
    <t xml:space="preserve">Alvará de Construção; </t>
  </si>
  <si>
    <t>Certificado de cadastramento do Ministério do Turismo</t>
  </si>
  <si>
    <t>Aprovação do projeto arquitetônico pela ANVISA</t>
  </si>
  <si>
    <t>Autorização da ANP</t>
  </si>
  <si>
    <t>Autorização Ambiental de Transporte Interestadual de Produtos Perigosos - expedida pelo IBAMA;</t>
  </si>
  <si>
    <t>Autorização Ambiental de Transporte Interestadual de Produtos Perigosos  - expedida pelo IBAMA;</t>
  </si>
  <si>
    <t>•  Marcar Prejudicado, se proponente não for empresa de transporte terrestre.</t>
  </si>
  <si>
    <t>Certificado de aeronavegabilidade -  expedido pela ANAC;</t>
  </si>
  <si>
    <t>Proposta de seguro do casco da Aeronave;</t>
  </si>
  <si>
    <t>Certificado de matrícula e nacionalidade -  expedido ANAC;</t>
  </si>
  <si>
    <t>Certificado de aeronavegabilidade - expedido pela ANAC</t>
  </si>
  <si>
    <t>Alvará de Funcionamento</t>
  </si>
  <si>
    <t>•  Marcar Prejudicado, se empresa ainda em implantação.</t>
  </si>
  <si>
    <t>Extratos dos financiamentos em andamento em outras instituições financeiras</t>
  </si>
  <si>
    <t>Certificado de Empreendimento Implantado</t>
  </si>
  <si>
    <t>Alvará de Construção - da edificação objeto do pleito</t>
  </si>
  <si>
    <t>Cadastro Específico do INSS (CEI), referente à matrícula da obra</t>
  </si>
  <si>
    <t>Instrumento de promessa de compra e venda do imóvel objeto do crédito</t>
  </si>
  <si>
    <t>•  Marcar Prejudicado, se não for proposta de financiamento para aquisição de imóvel.</t>
  </si>
  <si>
    <t>•  Marcar Prejudicado, se empresa proponente não for indústria de Beneficiamento de Madeira.</t>
  </si>
  <si>
    <t>Contrato firmado com os fornecedores</t>
  </si>
  <si>
    <t>Declaração de Origem Florestal - DOF</t>
  </si>
  <si>
    <t>•  Marcar Prejudicado, se empresa proponente não for indústria mineral.</t>
  </si>
  <si>
    <t>Licença expedida pela autoridade administrativa do município de localização da jazida</t>
  </si>
  <si>
    <t>SIF ou SIE ou SIM</t>
  </si>
  <si>
    <t>•  Marcar Prejudicado, se proponente ao financiamento não for empresa de transportes aquaviário.</t>
  </si>
  <si>
    <t>Certificado de Classificação de Máquinas, Equipamentos e Eletricidade</t>
  </si>
  <si>
    <t>Certificado de Classificação de Casco e Estrutura</t>
  </si>
  <si>
    <t>Catálogos/Folder's</t>
  </si>
  <si>
    <t>Certidão de inexistência de ônus sobre máquinas, instalações, etc. - expedida pelo CRTD</t>
  </si>
  <si>
    <t>Certidão de averbação das benfeitorias existentes</t>
  </si>
  <si>
    <t>Relação Patrimonial com estimativa de valores e/ou IRPF</t>
  </si>
  <si>
    <t>•  Apresentar uma relação para cada Avalista;
•  Não se aplica para dirigentes que não sejam sócios.</t>
  </si>
  <si>
    <t>Certidão Negativa de Débito de ITR</t>
  </si>
  <si>
    <t>Se proposta de financiamento contemplar aquisição de máquinas/equipamentos/móveis/veículos</t>
  </si>
  <si>
    <t>Orçamento detalhado - das construções civis a realizar</t>
  </si>
  <si>
    <t>Instrumento de mandato/procurações</t>
  </si>
  <si>
    <t>•  Especificar Local e período de cada atividade.</t>
  </si>
  <si>
    <t>•  Marcar Prejudicado, se não houver financiamentos em andamento em outras instituições financeiras.</t>
  </si>
  <si>
    <t>R</t>
  </si>
  <si>
    <t>Projeto Hidrossanitário;</t>
  </si>
  <si>
    <t>Se Empresa de Transporte Aquaviário:</t>
  </si>
  <si>
    <t>Layout das construções civis;</t>
  </si>
  <si>
    <t>Layout das máquinas e equipamentos</t>
  </si>
  <si>
    <t>Layout das construções civis</t>
  </si>
  <si>
    <t>Projeto Hidrossanitário</t>
  </si>
  <si>
    <t>Se embarcação existente</t>
  </si>
  <si>
    <t>Certificado de Cadastro de Imóvel Rural - CCIR; (se Imóvel Rural)</t>
  </si>
  <si>
    <t>Certificado de Cadastro do Imóvel Rural - CCIR</t>
  </si>
  <si>
    <t>Endereço para consulta:</t>
  </si>
  <si>
    <t>Certidão negativa de ônus, tributário e créditos do Estado</t>
  </si>
  <si>
    <t>•  Somente se prestador de serviços turísticos - meios de hospedagens de turismo; agências de turismo; transportadoras turísticas; prestadores de serviços de organização de congressos, convenções e eventos congêneres; prestadores de serviços de organização de feiras, exposições e eventos congêneres; e, parques temáticos;
Endereço para consulta:</t>
  </si>
  <si>
    <t>Contrato ou proposta de construção da embarcação entre armador e a empresa construtora/estaleiro</t>
  </si>
  <si>
    <t>Certificado de Classificação de Máquinas, Equipamentos e Eletricidade; (se Arqueação Bruta = ou &gt; 500)</t>
  </si>
  <si>
    <t>Certificado de Classificação de Casco e Estrutura;  (se Arqueação Bruta = ou &gt; 500)</t>
  </si>
  <si>
    <t>Certificado de Empreendimento Implantado; (se houver operação contratada pela SUDAM/SUFRAMA)</t>
  </si>
  <si>
    <t>Layout das máquinas e equipamentos. (somente para Indústria e Agroindústrias)</t>
  </si>
  <si>
    <t>Instrumento de promessa de compra e venda do imóvel objeto do crédito com cláusula de irrevogabilidade.</t>
  </si>
  <si>
    <t>Testes laboratoriais sobre o mineral.</t>
  </si>
  <si>
    <t>SIF ou SIE ou SIM. (se em operação)</t>
  </si>
  <si>
    <t>Proposta de seguro de construção a ser contratado pelo estaleiro construtor.</t>
  </si>
  <si>
    <t>Certificado de cadastramento do Ministério do Turismo. (se prestador de serviços turísticos)</t>
  </si>
  <si>
    <t>Das Coligadas:</t>
  </si>
  <si>
    <t>Formação e experiência profissional dos sócios dirigentes;</t>
  </si>
  <si>
    <t>Declaração do BNDES;</t>
  </si>
  <si>
    <t>Qtd. de imóveis:</t>
  </si>
  <si>
    <t>Proponente</t>
  </si>
  <si>
    <t>CNPJ</t>
  </si>
  <si>
    <t>Projetista</t>
  </si>
  <si>
    <t>__________________________________________</t>
  </si>
  <si>
    <t>Data:  _____/_____/________</t>
  </si>
  <si>
    <t>___________________________</t>
  </si>
  <si>
    <t>V.B.</t>
  </si>
  <si>
    <t>Projeto Econômico e Plano de Aplicação/Orçamento detalhado; (impresso e eletrônico grav. em CD ROM)</t>
  </si>
  <si>
    <t>Propostas de fornecimento; (com código FINAME-CFI se rec. do BNDES)</t>
  </si>
  <si>
    <t>Aprovação do projeto arquitetônico pela ANVISA; (se empresa da área de saúde em implantação)</t>
  </si>
  <si>
    <t>Autorização da ANVISA ou entidades delegada/conveniada; (se empresa da área de saúde já implantada)</t>
  </si>
  <si>
    <t>Declaração quanto a regularidade para com a CVM e Fundos Constitucionais de Financ./Invest.;</t>
  </si>
  <si>
    <t>Declaração de Regularidade da Situação junto à Comissão de Valores Mobiliários - fornecidas pela CVM;</t>
  </si>
  <si>
    <t>Justificativa das Ações Trabalhistas em julgamento e indicação da fase e valores atualizados;</t>
  </si>
  <si>
    <t>Projeto Econômico e Plano de Aplicação/Orçamento detalhado</t>
  </si>
  <si>
    <t>Certidão Negativa de Terra Indígena - expedida pela FUNAI; (se áreas próximas a reservas indígenas)</t>
  </si>
  <si>
    <t>Certidão Negativa de Embargo de área para uso econômico - IBAMA; (se Imóvel Rural)</t>
  </si>
  <si>
    <t>Comprovante de pagamento da Taxa de Controle e Fiscalização Ambiental-TCFA - IBAMA;</t>
  </si>
  <si>
    <t>Comprovante de benefícios fiscais;</t>
  </si>
  <si>
    <t>Comprovante de benefícios fiscais</t>
  </si>
  <si>
    <t xml:space="preserve">•  Marcar Prejudicado se proponente não for contemplada com benefícios fiscais.
</t>
  </si>
  <si>
    <t>Autorização do MAPA/ANVISA ou entidades delegadas/conveniadas; (se em operação)</t>
  </si>
  <si>
    <t>Aprovação do Projeto pelo MAPA/ANVISA ou entidades delegadas/conveniadas; (se em implant./ampli.)</t>
  </si>
  <si>
    <t>•  Marcar Prejudicado, se proponente ao financiamento não for empresa já implantada da área de saúde.</t>
  </si>
  <si>
    <t>Autorização da ANVISA ou entidades delegada/conveniada</t>
  </si>
  <si>
    <t>Se embarcação a ser construídas</t>
  </si>
  <si>
    <t>Autorização para transporte de carga na navegação interior de percurso longitudinal; interestadual/internacional; (da ANTAQ)</t>
  </si>
  <si>
    <t>Certidão Negativa de Terra Indígena - expedida pela FUNAI</t>
  </si>
  <si>
    <t>Das Coligadas</t>
  </si>
  <si>
    <t>Comprovante de pagamento da Taxa de Controle e Fiscalização Ambiental-TCFA - IBAMA</t>
  </si>
  <si>
    <t>Declaração do BNDES</t>
  </si>
  <si>
    <t>Se Indústria Alimentícia:</t>
  </si>
  <si>
    <t>Se Embarcação a Ser Construída</t>
  </si>
  <si>
    <t>Dos Sócios/avalistas/dirigentes:</t>
  </si>
  <si>
    <t>Certificado de Regularidade - IBAMA</t>
  </si>
  <si>
    <t>Autorização do MAPA/ANVISA ou entidades delegadas/conveniadas</t>
  </si>
  <si>
    <t>Se Embarcação Existente:</t>
  </si>
  <si>
    <t>ART/RRT do Orçamento, Memorial Descritivo e Cronograma físico-financeiro;</t>
  </si>
  <si>
    <t>ART/RRT do Orçamento, Memorial Descritivo e Cronograma físico-financeiro</t>
  </si>
  <si>
    <t>ART/RRT dos projetos de edificação</t>
  </si>
  <si>
    <t>ART/RRT da Execução da Obra</t>
  </si>
  <si>
    <t>Declaração de Regularidade da Situação junto à Comissão de Valores Mobiliários</t>
  </si>
  <si>
    <t>•  Marcar Prejudicado, se empresa proponente não for indústria alimentícia.</t>
  </si>
  <si>
    <t>Contrato de prestação de serviços entre proponente e projetista;</t>
  </si>
  <si>
    <t>1) Caso o investimento resulte em incremento na produção ou modernização que ultrapasse os limites de produção e de emissão de poluentes definidos na LO vigente, deverão ser apresentadas, também, as respectivas LP, LI e LO referentes à modificação prevista;
2) Desde que não implique incremento da produção ou da emissão de poluentes e respeitadas as normas específicas de cada Estado, a substituição ou aquisição isolada de máquinas, equipamentos ou veículo, não prevista na LO vigente, poderá ser realizada mediante a apresentação de declaração, conforme modelo do Banco.</t>
  </si>
  <si>
    <t>• Marcar prejudicado, quando projeto não envolver recursos do FNO.</t>
  </si>
  <si>
    <t>Instrumento de mandato/procurações; (quando proponente/sócios/avalistas forem representados)</t>
  </si>
  <si>
    <t>Declaração de inexistência de embargo vigentes; (se Imóvel Rural)</t>
  </si>
  <si>
    <t>Certidão de inexistência de ônus - Cartório de Registro de Imóveis; (se máquinas/equipamentos/etc.)</t>
  </si>
  <si>
    <t>Licença da própria embarcação;</t>
  </si>
  <si>
    <t>Certidão de regularidade junto ao CREA; (da empresa estaleiro/construtor)</t>
  </si>
  <si>
    <t>Proposta de seguro do casco; (patrimonial)</t>
  </si>
  <si>
    <t>Licença expedida pela autoridade administrativa do município de localização da jazida - regist. no DNPM;</t>
  </si>
  <si>
    <t>Declaração de Origem Florestal - DOF; (se também realizar transporte de madeira)</t>
  </si>
  <si>
    <t>http://www.ibama.gov.br/phocadownload/Qualidade_Ambiental/in_06_cadastro.pdf</t>
  </si>
  <si>
    <t>•  Deve ser elaborado de acordo com roteiro específico, assinado em todas as páginas, por técnico/escritório com cadastro aprovado pelo Banco, com indicação do número de registro do profissional no respectivo Conselho;
•  Apresentar também em formato eletrônico. Os arquivos devem ser editáveis.</t>
  </si>
  <si>
    <t>Contrato de prestação de serviços entre proponente e projetista</t>
  </si>
  <si>
    <t>Certidão que comprove a propriedade ou Contrato de arrendamento/aluguel - do imóvel onde opera;</t>
  </si>
  <si>
    <t>Formulário de Informações Socioambiental - FISA ou Questionário Socioambiental - QSA</t>
  </si>
  <si>
    <t>Declaração de Regularidade da Situação junto à SUDAM</t>
  </si>
  <si>
    <t>•  Marcar Prejudicado, se proposta não solicitar financiamento de máquinas, equipamentos, móveis e/ou veículos.</t>
  </si>
  <si>
    <t>•  Se a fonte de recursos for BNDES, a proposta deverá vir com os códigos FINAME - CFI;
•  Marcar Prejudicado, se proposta não solicitar financiamento de máquinas, equipamentos, móveis e/ou veículos.</t>
  </si>
  <si>
    <t>•  Documento com as especificações técnicas, confeccionado pelo fabricante das máquinas, equipamentos, móveis e/ou veículos;
•  Marcar Prejudicado, se proposta não solicitar financiamento de máquinas, equipamentos, móveis e/ou veículos.</t>
  </si>
  <si>
    <t>•  Marcar Prejudicado, se proposta não solicitar financiamento de máquinas, equipamentos;
•  Marcar Prejudicado, se proposta não solicitar financiamento de máquinas para Indústria e Agroindústrias.</t>
  </si>
  <si>
    <t>•  Somente se obras em andamento;
•  Marcar prejudicado, se a obra não estiver em andamento.</t>
  </si>
  <si>
    <t>•  Apresentar Anotação de Responsabilidade Técnica datada e assinada, identificando o responsável técnico;
•  Deve conter a indicação de quitação no documento ou apresentar comprovante de pagamento.</t>
  </si>
  <si>
    <t>•  Deve ser registrado no Cartório de Registro de Imóveis;
•  Se Escritura, deve ser lavrada em Cartório de Notas.</t>
  </si>
  <si>
    <t>•  Documento deve conter cláusula de irrevogabilidade.</t>
  </si>
  <si>
    <t>•  Basta somente a Licença e seu registro junto ao DNPM, no caso de substâncias minerais da Classe II do Código de Mineração, quais sejam: ARDÓSIAS, AREIAS, CASCALHOS, GNAISSES, GRANITOS, QUARTZITOS E SAIBROS, quando utilizados "in natura" para preparo  de  agregados, pedra de talhe, ou argamassa, e não se destinem como matéria-prima à indústria de transformação; e de ARGILAS empregadas no fabrico de cerâmica vermelha, assim como o CALCÁRIO DOLOMÍTICO, empregado como corretivo de solos na agricultura.</t>
  </si>
  <si>
    <t>•  Documento deve estar em nome da indústria de beneficiamento/pleiteante, expedida por órgão oficial competente, caso a área explorada seja da proponente.</t>
  </si>
  <si>
    <t>•  A licença deve estar registrada no DNPM;
•  Basta somente a Licença e seu registro junto ao DNPM, no caso de substâncias minerais da Classe II do Código de Mineração, quais sejam: ARDÓSIAS, AREIAS, CASCALHOS, GNAISSES, GRANITOS, QUARTZITOS E SAIBROS, quando utilizados "in natura" para preparo  de  agregados, pedra de talhe, ou argamassa, e não se destinem como matéria-prima à indústria de transformação; e de ARGILAS empregadas no fabrico de cerâmica vermelha, assim como o CALCÁRIO DOLOMÍTICO, empregado como corretivo de solos na agricultura.</t>
  </si>
  <si>
    <t>•  Basta somente a Licença e seu registro junto ao DNPM, no caso de substâncias minerais da Classe II do Código de Mineração, quais sejam: ARDÓSIAS, AREIAS, CASCALHOS, GNAISSES, GRANITOS, QUARTZITOS E SAIBROS, quando utilizados "in natura" para preparo  de  agregados, pedra de talhe, ou argamassa, e não se destinem como matéria-prima à indústria de transformação; e de ARGILAS empregadas no fabrico de cerâmica vermelha, assim como o CALCÁRIO DOLOMÍTICO, empregado como corretivo de solos na agricultura;
•  Documento/Laudo indicando a Cubagem, Tempo de vida útil e Data de início da exploração da jazida.</t>
  </si>
  <si>
    <t>•  Marcar Prejudicado, se a proposta não comtemplar financiamento a embarcação existente.</t>
  </si>
  <si>
    <t>•  Apresentar licença da embarcação emitida pelo Órgão competente.</t>
  </si>
  <si>
    <t>•  Apresentar Título de propriedade, registrado no Tribunal Marítimo (TM) , quando a sua Arqueação Bruta (AB) exceder a 100, ou nas Capitanias dos Portos, Delegacias ou Agências, para as embarcações com AB menor que 100. Tendo casos da apresentação da Provisão de Registro da Propriedade Marítima do Tribunal Marítimo (TM).</t>
  </si>
  <si>
    <t>Certidão negativa de ônus sobre a embarcação</t>
  </si>
  <si>
    <t>•  Apresentar Proposta de Seguro do Casco.</t>
  </si>
  <si>
    <t>•  Se embarcação com Arqueação Bruta (AB) igual ou superior a 500;
•  Marcar Prejudicado, se a AB for inferior a 500.</t>
  </si>
  <si>
    <t>•  Autorização para prestação de serviço de transporte de carga na navegação interior de percurso longitudinal interestadual e internacional da Agência Nacional de Transportes Aquaviários – ANTAQ, para empresa proponente;
•  Marcar Prejudicado, se não prestar o serviço acima.</t>
  </si>
  <si>
    <t>•  Marcar Prejudicado, se proponente ao financiamento não for empresa da área de saúde em implantação.</t>
  </si>
  <si>
    <t>Formulário de Informações Socioambiental - FISA ou Questionário Socioambiental - QSA;</t>
  </si>
  <si>
    <t>Declaração de Regularidade da Situação junto à SUDAM, fornecida pelo Banco da Amazônia;</t>
  </si>
  <si>
    <t>Ato constitutivo da sociedade e suas modificações;</t>
  </si>
  <si>
    <t>Ato constitutivo da sociedade e suas modificações</t>
  </si>
  <si>
    <t>•  Modelo fornecido pelo Banco;
•  Marcar prejudicado quando não se tratar de recursos do FNO.</t>
  </si>
  <si>
    <t>Certidão de Averbação das benfeitorias existentes; (se Imóvel Urbano)</t>
  </si>
  <si>
    <t>Certidão de Inexistência de Ônus ou Certidão de Inteiro Teor;</t>
  </si>
  <si>
    <t>Projeto, Cronograma físico-financeiro e ART para embarcação a ser construída e objeto do financiamento;</t>
  </si>
  <si>
    <t>Obs: Quanto às exigências ambientais deverá ser apresentado o que cabe a legislação do Estado e seus órgãos competentes conforme o porte do empreendimento.
•  Marcar Prejudicado, se proponente ao financiamento não for empresa não for prestador de serviços turísticos.</t>
  </si>
  <si>
    <t xml:space="preserve">Certidão de Inexistência de Ônus - Cartório de Títulos e Documentos; </t>
  </si>
  <si>
    <t>Declaração de Inexistência de Embargo vigentes; (se Imóvel Rural)</t>
  </si>
  <si>
    <t>Extratos dos financiamentos em andamento em outras inst. financeiras, ou planilha com detalhamento;</t>
  </si>
  <si>
    <t>Certidão de regularidade junto ao CREA - da empresa estaleiro/construtor</t>
  </si>
  <si>
    <t>•  Marcar Prejudicado, se proposta não oferecer garantias pré-existentes.</t>
  </si>
  <si>
    <t>•  Marcar Prejudicado, se proposta não oferecer garantias pré-existentes, ou quando o Laudo for feito por técnico do Banco.</t>
  </si>
  <si>
    <t>•  Em valor suficiente para atender às margens mínimas de garantia do financiamento; 
•  Deve ser elaborado por técnico do Banco da Amazônia ou profissional/empresa cadastrada;
•  Elaboração deve seguir as Normas da ABNT;
•  Os documentos referentes às garantias deverão estar junto ao Laudo de Avaliação;
•  Marcar Prejudicado, se proposta não oferecer garantias pré-existentes, ou quando o Laudo for feito por técnico do Banco.</t>
  </si>
  <si>
    <t>•  Marcar Prejudicado, se imóvel não for próxima à terra indígena.</t>
  </si>
  <si>
    <t>Certificado de autorização de voo - expedido pela ANAC</t>
  </si>
  <si>
    <t>Certificado de autorização de voo -  expedido pela ANAC;</t>
  </si>
  <si>
    <t>Levantamentos extra contábeis ou Balanço com DRE do último exercício e Balancete</t>
  </si>
  <si>
    <t>•  Os Levantamentos extra contábeis devem ter até 90 dias desde a sua apuração; Devem ser validados pela Agência;
•  Se a proponente possuir escrita contábil, apresentar Balanço Analítico com DRE do último exercício e Balancete de até 90 dias, em substituição aos levantamentos extra contábeis.</t>
  </si>
  <si>
    <t>Levantamentos extra contábeis ou Balanço com DRE do último exercício e Balancete;</t>
  </si>
  <si>
    <t>Declaração dos sócios administradores quanto a não se encontrar na condição de Servidor Público Federal;</t>
  </si>
  <si>
    <t>•  Se proponente for indústria de beneficiamento que utiliza madeira explorada por terceiros, deverá ser apresentado contrato firmado entre a indústria de beneficiamento e seus fornecedores, juntamente com as respectivas AUTEF;
•  Marcar Prejudicado, se empresa proponente não se utilizar madeira explorada por terceiros.</t>
  </si>
  <si>
    <t>•  Somente se realizar transporte de madeira;
•  Marcar Prejudicado, se empresa proponente realizar transporte de madeira.</t>
  </si>
  <si>
    <t>Laudo de Avaliação - das garantias;</t>
  </si>
  <si>
    <t>http://www.portaldatransparencia.gov.br/ceis/Consulta.seam</t>
  </si>
  <si>
    <t>•  Endereço para consulta:</t>
  </si>
  <si>
    <t xml:space="preserve">•  Com indicação detalhada dos períodos/datas/prazos/etapas de execução das inversões objeto da proposta de financiamento, tais como: construções civis, máquinas e equipamentos, veículos, embarcações e capital de giro associado, etc;
•  Com indicação da data do funcionamento pleno do empreendimento a partir das inversões programadas; (se em funcionamento)
•  Com previsão da data de início das atividades para empreendimento em processo de implantação.  (se em instalação)
</t>
  </si>
  <si>
    <t>•  Apresentar documentação das demais empresas do grupo, nos seguintes casos:
a) empresas do grupo, com faturamento maior ou igual a 20% do faturamento total da proponente e com participação societária maior ou igual a 20%, em se tratando de sociedade anônimas;
b) empresas do grupo, com faturamento maior ou igual a 20% do faturamento total da proponente e com participação societária maior ou igual a 10% nas demais espécies societárias.
• O Balancete deve ter até 90 dias desde a sua emissão.</t>
  </si>
  <si>
    <t>•  Apresentar documentação das demais empresas do grupo, nos seguintes casos:
a) empresas do grupo, com faturamento maior ou igual a 20% do faturamento total da proponente e com participação societária maior ou igual a 20%, em se tratando de sociedade anônimas;
b) empresas do grupo, com faturamento maior ou igual a 20% do faturamento total da proponente e com participação societária maior ou igual a 10% nas demais espécies societárias.</t>
  </si>
  <si>
    <t>•  Modelo fornecido pelo Banco;
•  Declaração é individual por imóvel; (Apresentar uma declaração para cada imóvel)
•  Marcar prejudicado se não for Imóvel Rural.</t>
  </si>
  <si>
    <t>•  Certidão de inexistência de ônus sobre o imóvel se os bens oferecidos em garantia forem/estiverem nele fixados e dele puderem ser removidos sem danos e modificação da substância e estrutura, dos bens e ao imóvel;
•  Expedida Cartório de registro de Imóveis;
•  Marcar prejudicado, se proposta não oferecer bens que forem/estiverem fixados no imóvel e dele puderem ser removidos sem danos e modificação da substância e estrutura.</t>
  </si>
  <si>
    <t>Justificativa das Ações Trabalhistas em julgamento e indicação da fase e valores atualizados</t>
  </si>
  <si>
    <t>•  Marcar Prejudicado, caso a proponente e/ou participante da proposta não respondam por Ações Trabalhistas ainda não julgadas.</t>
  </si>
  <si>
    <t>•  Se alimentos de origem animal descritos abaixo, apresentar Autorização do Ministério da Agricultura, Pecuária e Abastecimento – MAPA ou das secretarias de agricultura dos estados ou dos municípios.
    I – produtos e subprodutos oriundos do abate de animais;
    II – pescado e seus derivados;
    IV – ovos e seus derivados;
    V – mel e cera de abelha e seus derivados.
•  Se outros o alimentos, apresentar aprovação do projeto pela ANVISA ou entidades delegadas/conveniadas a ela;
•  Se em implantação, o documento deve ser apresentado na fase de formalização da operação, observando-se que, no caso de projeto de investimento destinado à implantação, será admitida a apresentação na fase de condução, em até 60 dias da conclusão das obras;
•  Marcar Prejudicado, se empresa proponente não for indústria alimentícia em implantação ou ampliação.</t>
  </si>
  <si>
    <t>•  Se alimentos de origem animal descritos abaixo, apresentar Autorização do Ministério da Agricultura, Pecuária e Abastecimento – MAPA ou das secretarias de agricultura dos estados ou dos municípios.
    I – produtos e subprodutos oriundos do abate de animais;
    II – pescado e seus derivados;
    IV – ovos e seus derivados;
    V – mel e cera de abelha e seus derivados.
•  Se outros o alimentos, apresentar autorização pela ANVISA ou entidades delegadas/conveniadas a ela;
•  Apresentar, se indústria alimentícia em operação.</t>
  </si>
  <si>
    <t>•  Apresentar conforme a produção destinar-se ao mercado inter estadual, somente ao estadual ou somente ao municipal, respectivamente;
•  Marcar Prejudicado, se empresa proponente não for indústria alimentícia já implantada.</t>
  </si>
  <si>
    <t xml:space="preserve">•  </t>
  </si>
  <si>
    <t>•  .</t>
  </si>
  <si>
    <t>Certificado de matrícula e nacionalidade</t>
  </si>
  <si>
    <t>•  Documento expedido pela Agência Nacional de Aviação Civil - ANAC.</t>
  </si>
  <si>
    <t>Certidão de Inexistência de Ônus de Imposto Predial e Territorial Urbano - IPTU; (se Imóvel Urbano)</t>
  </si>
  <si>
    <t>Consulta ao Cadastro Nacional de Empresas Inidôneas e Suspensas (CEIS);</t>
  </si>
  <si>
    <t>Consulta ao Cadastro Nacional de Empresas Inidôneas e Suspensas (CEIS)</t>
  </si>
  <si>
    <t>•  Em caso de empresa não constituída por sociedade, apresentar Requerimento de Empresário Individual com registro da empresa junto ao Cartório de Registro Civil das Pessoas Jurídicas ou das Juntas Comerciais;
•  Se Contrato Social, deve conferir poderes aos representantes legais para administrar a empresa, alienar e hipotecar imóveis, assumir compromisso de depositário. (conforme o caso)</t>
  </si>
  <si>
    <t>•  FISA - Para propostas de até R$ 10 milhões;
•  QSA - Para propostas superiores a R$ 10 milhões;
• Deve ser assinado em todas as páginas.</t>
  </si>
  <si>
    <t>•  Apresentar se proponente exercer atividade potencialmente poluidora ou utilizadora de recursos ambientais, listada na Instrução Normativa IBAMA nº 06 e com a obrigatoriedade do recolhimento da Taxa de Controle e Fiscalização Ambiental-TCFA - IBAMA;
•  Marcar Prejudicado, se proponente não exercer atividade potencialmente poluidora ou utilizadora de recursos ambientais;
Endereço para consulta:</t>
  </si>
  <si>
    <t>•  Extratos podem ser substituído por planilha com detalhamento dos débitos no SFN (valor contratado, garantias, saldo devedor, vencimento, periodicidade e valor da parcela e juros);
•  Marcar Prejudicado, se não houver financiamentos em andamento em outras instituições financeiras.</t>
  </si>
  <si>
    <t>•  Apresentar se proponente com operação contratada pela SUDAM ou SUFRAMA;
•  Se financiamento com recurso do FDA, pode ser substituído por Parecer de Comprovação acompanhado do Atestado de Regularidade da operação;
•  Marcar prejudicado, quando proponente não tiver projetos contratados na SUDAM/SUFRAMA ou FDA.</t>
  </si>
  <si>
    <t>•  Documento fornecido pelo Banco da Amazônia;
•  Marcar prejudicado, quando proponente não tiver projetos contratados na SUDAM/SUFRAMA ou FDA.</t>
  </si>
  <si>
    <t>•  Documento fornecido pela CVM;
•  Marcar prejudicado, quando proponente não tiver projetos contratados na SUDAM/SUFRAMA ou FDA.</t>
  </si>
  <si>
    <t>•  Modelo de declaração a ser fornecido pelo BANCO de acordo com a linha do BNDES pretendida;
•  Marcar prejudicado, quando não envolver recursos do BNDES.</t>
  </si>
  <si>
    <t>•  Marcar prejudicado, quando os intervenientes hipotecantes/avalistas não forem representados;    
• A procuração, feita por instrumento público ou particular, deverá conter: 
            a)   a qualificação completa do outorgante e do outorgado (nome, nacionalidade, estado civil, profissão, domicílio e residência); 
            b)   o objetivo da outorga com a designação e extensão dos poderes conferidos; 
            c)   a data e a designação do Estado, da cidade ou da circunscrição civil em que for passada. 
• Nas operações com garantia real,  é necessário que a procuração seja simultaneamente EXPRESSA no sentido de conferir poderes ao mandatário para que ele possa contratar a operação e constituir a garantia real e ESPECÍFICA, no sentido de determinar o bem a ser dado em garantia (por exemplo: hipotecar o imóvel "A", dar a safra "B" em penhor, etc). Neste caso, é necessário que na procuração conste nominalmente o Banco da Amazônia S.A.</t>
  </si>
  <si>
    <t>•  Apresentar Certidão imobiliária original/cópia autenticada, atualizada abrangendo os últimos 20 anos, emitida pelo Cartório de Registro de Imóveis;
•  Se imóvel rural, a Certidão deverá figurar resultado de pesquisa que alcance a origem em que ocorreu a transferência do patrimônio público para o privado;
•  Na impossibilidade do estabelecimento da cadeia dominial do imóvel rural até a origem, apresentar a Declaração de Legitimidade de Título Rural, emitida pelo órgão competente (municipal, estadual ou federal) comprobatório de que a área foi transferida regularmente do patrimônio público (municipal, estadual ou federal) para o privado;
•  A validade da Certidão da Cadeia Dominial ou Vintenária será de 5 anos, contados após a data de sua emissão, se na contratação for apresentada a Certidão Negativa de Ônus. Caso contrário, deverá ser apresentada certidão emitida em até 60 dias antes da apresentação ao Banco;
•  Se imóvel rural a certidão pode ser dispensada quando apresentado título de matrícula no Registro Torrens.</t>
  </si>
  <si>
    <t>•  Apresentar caso as benfeitorias forem consideradas no cálculo do percentual de garantias;
•  Certidão deve ser expedida pelo Cartório de Registro de Imóveis;
•  Marcar Prejudicado, se as benfeitorias não forem consideradas no cálculo do percentual de garantias.</t>
  </si>
  <si>
    <t>• Se imóvel Rural:  Certidão de inexistência de ônus reais legais ou convencionais sobre o imóvel.
• Se imóvel Urbano: Certidão de inexistência de ônus reais legais ou convencionais sobre o imóvel, que possam afetar a posse ou domínio, ou certidão de matrícula, desde que fique evidenciada a existência ou não de ônus sobre o imóvel, ou certidão de inteiro teor, quando se tratar de imóvel objeto de garantia de operação de valor superior a R$ 400 mil.</t>
  </si>
  <si>
    <t>•  Marcar prejudicado se não for Imóvel Urbano.</t>
  </si>
  <si>
    <t>•  Deve estar vigente e quitado;
•  Marcar prejudicado se não for Imóvel Rural.</t>
  </si>
  <si>
    <t>•  Marcar Prejudicado, se proponente ao financiamento não for empresa não transportar produtos perigosos;
•  Se o transporte for de abrangência apenas estadual, a autorização será de competência do órgão estadual de meio ambiente;
Endereço para consulta:</t>
  </si>
  <si>
    <t>•  Para embarcações que:
I.   Possuam AB igual ou maior que 100;
II.   Transportem a granel líquidos combustíveis, gases liquefeitos inflamáveis, substâncias químicas perigosas ou mercadorias de risco similares, com AB maior que 20;
III.   Efetuem serviço de transporte de passageiros ou passageiros e carga, com AB maior que 20; ou
IV.   Sejam rebocadores ou empurradores, com AB maior que 20;
•  Marcar Prejudicado, caso não estejam dentro das situações acima citadas.</t>
  </si>
  <si>
    <t>•  Sendo:  
I.    Certificado Nacional de Arqueação da embarcação;
II.    Certificado Nacional de Borda Livre.</t>
  </si>
  <si>
    <t>Proposta de seguro do casco - patrimonial</t>
  </si>
  <si>
    <t>•  Marcar Prejudicado, se não for proposta de financiamento para construção de embarcação;
•  Não é permitido como garantia prévia. Ver exceções abaixo;
•  Só poderão ser vinculados como garantia prévia se observado o seguinte:
a)   o cliente deverá se comprometer a desembolsar, previamente, a parcela referente à contrapartida de recursos próprios destinada ao item em produção, quando houver;
b)   a liberação de cada parcela do crédito, referente ao item em produção, deverá ser feita mediante prévia comprovação da execução da etapa correspondente e do atendimento do item precedente;
c)   a liberação da última parcela deverá ocorrer mediante comprovação da entrega do bem e apresentação, por parte do mutuário, de declaração do recebimento do bem em perfeitas condições de uso.</t>
  </si>
  <si>
    <t xml:space="preserve">•  Marcar Prejudicado, se proposta de financiamento não for relacionada à aeronave;
•  O financiamento de aeronave é VEDADO pelo normativo do FNO. Ver exceções na observação abaixo:
- Não poderão ser financiados (com recurso do FNO): helicópteros e aviões, exceto aviões para   pulverização agrícola, aviões para empresa aérea regional de transporte de passageiros e de cargas e aviões e helicópteros para empresa de táxi aéreo homologada pela ANAC para transporte de passageiros enfermos, limitado a uma operação por beneficiário.
</t>
  </si>
  <si>
    <t>•   Referente aos créditos do Estado, devem abranger os custos de utilização de aeroporto ou de serviços acessórios à aeronavegação;
•  Marcar Prejudicado, se proposta de financiamento não for relacionada à aeronave.</t>
  </si>
  <si>
    <t>•  Expedida pelo IBAMA; (endereço abaixo)
•  Se o transporte for de abrangência apenas estadual, a autorização será de competência do órgão estadual de meio ambiente;
•  Marcar Prejudicado, se empresa proponente não transportar produtos perigosos;
Endereço para consulta:</t>
  </si>
  <si>
    <t>•  Marcar Prejudicado, se empresa proponente não for postos de combustíveis e derivados.</t>
  </si>
  <si>
    <t>Endereço para consulta do certificado de regularidade:</t>
  </si>
  <si>
    <t>•  Apresentar se proponente exercer atividade potencialmente poluidora ou utilizadora de recursos ambientais, listada na Instrução Normativa IBAMA nº 06;
•  Marcar Prejudicado, se proponente não exercer atividade potencialmente poluidora ou utilizadora de recursos ambientais;
Endereço para consulta a lista de atividades potencialmente poluidoras ou utilizadoras de recursos ambientais:</t>
  </si>
  <si>
    <t>c) Não se aplicam as disposições relativas ao prazo do contrato de locação aqui contidas aos financiamentos a lojistas de Shopping Center.
d) no caso de o imóvel pertencer ao(s) sócio(s) da pessoa jurídica, a apresentação do contrato de locação poderá ser dispensada quando:
I - o imóvel alugado pertencer a sócio(s) da mutuaria, o(s) qual(is) seja(m) avalista(s) ou fiador(es) do financiamento;
II - o imóvel alugado pertencer a sócio(s) da mutuária e seja vinculado em hipoteca à operação.</t>
  </si>
  <si>
    <t xml:space="preserve">•  Se empresa que opera em imóvel próprio, apresentar Certidão que comprove a propriedade, podendo ser:
- Certidão de Cadeia Dominial;
- Certidão de Inteiro Teor;
- Certidão de Registro de Imóveis.
•  Se empresa que opera em imóvel arrendado ou alugado, apresentar contrato de arrendamento ou de aluguel, atendendo, simultaneamente, aos seguintes requisitos:
a)  Deverá estender-se por um prazo mínimo equivalente a totalidade do prazo pretendido do financiamento do Banco, mesmo que venha a ocorrer a alienação do imóvel;
b) deverá ter cláusula de proibição de rescisão contratual durante o período de financiamento; </t>
  </si>
  <si>
    <t>Valor do Financiamento (R$)</t>
  </si>
  <si>
    <t>•  Deve ser apresentado à Agência em três vias, encadernado em espiral, máximo 210 páginas por volume;
•  Após a conferência da documentação pela área de atendimento da Agência, uma via será entregue ao proponente sob protocolo e as demais encaminhada à análise.</t>
  </si>
  <si>
    <t>_________________________________</t>
  </si>
  <si>
    <t>Título Translativo de Propriedade</t>
  </si>
  <si>
    <t>http://www.receita.fazenda.gov.br/Aplicacoes/ATSPO/Certidao/CertInter/NIITR.asp</t>
  </si>
  <si>
    <t>•  Marcar prejudicado se não for Imóvel Rural.
Endereço para consulta:</t>
  </si>
  <si>
    <t>Certidão Negativa de Débito de ITR; (se Imóvel Rural)</t>
  </si>
  <si>
    <t>Certidão de Inexistência de Ônus ou Certidão de Inteiro Teor</t>
  </si>
  <si>
    <t xml:space="preserve">Analista:  </t>
  </si>
  <si>
    <t>•  Contrato deve indicar a remuneração  (exclusivamente a financiada) e, quando for o caso, as formas de orientação e assistência técnica e gerencial a ser prestada.</t>
  </si>
  <si>
    <t>•  Marcar Prejudicado, caso a proponente e/ou participante da proposta responda por Ações Trabalhistas.
Endereço para consulta:</t>
  </si>
  <si>
    <t>•  Se imóvel urbano: Título translativo de propriedade, devidamente registrado no Cartório de Registro de Imóveis ou Escritura Pública lavrada em Cartório de Notas, devidamente registrada no Cartório de Registro de Imóveis – CRI;
•  Se imóvel rural: I – Escritura Pública lavrada em Cartório de Notas ; II – Título Definitivo; III- Alvará Judicial e; IV – Formal de Partilha ou Escritura Pública lavrada em Cartório de Notas devidamente registrada no Cartório de Registro de Imóveis – CRI;
1) A Escritura Pública é exigível na constituição, transferência, modificação ou renúncia de direitos reais sobre imóveis de valor superior a trinta vezes o maior salário mínimo vigente no País;
2) O Banco não aceita os chamados Registros Paroquiais de Terras, conhecidos também como Títulos Paroquiais.</t>
  </si>
  <si>
    <t>•  Comprovante de aplicações financeiras - de preferências no Banco da Amazônia, etc, ou;
•  Recursos disponíveis na contabilidade;
•  Para efeito de contrapartida de recursos próprios de planos ou projetos de implantação de empreendimentos não-rurais, poderá ser levado em conta o valor dos investimentos fixos realizados e comprovados no empreendimento até 3 (três) meses anteriores à data de apresentação do projeto ao Banco, podendo ser admitido um tempo maior, limitado a 6 (seis) meses, observadas a natureza e as especificidades das atividades desenvolvidas; 
•  No caso do item imediatamente acima, apresentar Notas Fiscais, com recibos identificadores e/ou comprovante de pagamento, de investimentos realizados no prazo regulamentar;
•  Marcar Prejudicado, se não houver contrapartida de recursos próprios.</t>
  </si>
  <si>
    <t xml:space="preserve">• Apresentar documento impresso e em planilha digital editável.
• O Orçamento deve ser elaborado com base nos Projetos e em consonância com o Memorial Descritivo e as ART's e RRT's.
• Somente deverá constar no Orçamento Analítico, os itens que estiverem discriminados/especificados nos projetos.
• O Orçamento Analítico das construções civis deverá ser datado e assinado pelo contratante e contratado, contendo as seguintes informaçoes: o responsável técnico, a descrição da obra, o endereço da obra, o proprietário, a data base do orçamento e dos preços, a discriminação dos serviços, unidade, quantidade, preço unitário, preço total do serviço, preço total do orçamento sem o B.D.I.
</t>
  </si>
  <si>
    <t xml:space="preserve">• Em relação ao B.D.I., o mesmo deverá ter o seu respectivo valor destacado ao final do Orçamento Analítico, perfeitamente identificado e, em item específico, somente sendo somado ao custo total da obra, obtendo-se desta forma, o valor final da mesma com o B.D.I.
• Apresentar, também,  Orçamento Analítico com os preços unitários, contendo o B.D.I. embutido nos mesmos, conforme consta no Roteiro de Projetos do Banco.
• Unidades de acordo com o sistema métrico (é vedado o uso de unidades genéricas e imprecisas como verba, conjunto, diversos, dentre outras);
• Os itens que compõem a planilha orçamentária deverão vir:
1º) referenciados com o Código dos Custos Unitários de Composições de Serviços do SINAPI (Desonerado) do Estado onde será executada a obra civil, com a respectiva data base.
2º) Na ausência destes, apresentar, no Orçamento Analítico, os Custos Unitários de Serviços calculados através de Composições de Preços Unitários de Serviços. Para as referidas composições, utilizar os insumos referenciados pelos respectivos Códigos de Insumos do SINAPI (Desonerado) do Estado onde será executada a obra civil, com a respectiva data base. </t>
  </si>
  <si>
    <t xml:space="preserve"> • Apresentar documento datado e assinado, identificando o responsável técnico. Referido documento deverá estar em consonância com as ART’s/RRT’s, Orçamento Analítico e Projetos.</t>
  </si>
  <si>
    <t xml:space="preserve"> • Deverá estar em consonância com ART’s/RRT’s, Orçamento Analítico, Memorial Descritivo  e Projetos.
 • Apresentar o Cronograma Físico-Financeiro, referente a aplicação de construção civil, datado e assinado pelo contratante e contratado, identificando o responsável técnico, a descrição da obra, o endereço da obra, o proprietário, a data base conforme a Orçamento Analítico, com a discriminação dos itens, o preço total dos itens, o preço total do orçamento, em moeda corrente, em forma impressa, assinada pelo responsável técnico.
• Apresentar também o Cronograma Físico-Financeiro em arquivo de formato digital editável.
</t>
  </si>
  <si>
    <t>• Apresentar Anotação de Responsabilidade Técnica datada e assinada pelo contratante e contratado, identificando o responsável técnico.
 • Deverá conter a chave de autenticação do documento ou apresentar comprovante de pagamento.</t>
  </si>
  <si>
    <t>•  Somente se obras em andamento;
• Apresentar Anotação de Responsabilidade Técnica datada e assinada pelo contratante e contratado, identificando o responsável técnico;
 • Deverá conter a chave de autenticação do documento ou apresentar comprovante de pagamento.</t>
  </si>
  <si>
    <t xml:space="preserve"> • Apresentar projeto datado e assinado pelo contratante e contratado, identificando o responsável técnico constando a ART/RRT. </t>
  </si>
  <si>
    <t xml:space="preserve"> • Apresentar projeto datado e assinado pelo contratante e contratado, identificando o responsável técnico constando a ART/RRT.
• Observar os tamanhos das pranchas que deverão estar em formato adequado ao tamanho do projeto, que permita a perfeita legibilidade.</t>
  </si>
  <si>
    <t>Licença Provisória de Construção de Embarcação emitida pela empresa Certificadora</t>
  </si>
  <si>
    <t>Licença Provisória de Construção de Embarcação emitida pela empresa Certificadora;</t>
  </si>
  <si>
    <t>• Licença emitida pela empresa Certificadora das Normas da Autoridade Marítima.</t>
  </si>
  <si>
    <t>Autorização da ANTAQ ou órgão regulador estadual;</t>
  </si>
  <si>
    <t>Autorização da ANTAQ ou órgão regulador estadual</t>
  </si>
  <si>
    <t xml:space="preserve">• Autorização da ANTAQ: apresentar no caso de empresas que atuam no transporte de cargas ou com transporte interestadual de passageiros;
• Autorização do órgão regulador estadual: apresentar no caso de empresas que atuam no trasnporte de passageiros apenas dentro do estado (Ex: No Estado do Pará o órgão regulador é a ARCON).
</t>
  </si>
  <si>
    <t>ART/RRT da Execução da Obra; (somente se obras em andamento)</t>
  </si>
  <si>
    <t>Orçamento Analítico das construções civis a realizar;</t>
  </si>
  <si>
    <t>ART/RRT dos Projetos de Edificação;</t>
  </si>
  <si>
    <t>Projetos arquitetônicos das construções civis a realizar;</t>
  </si>
  <si>
    <t>Projeto de Fundação;</t>
  </si>
  <si>
    <t xml:space="preserve"> • Apresentar documento observando a legislação municipal e a tipologia da obra.
OBS: Verificar se o Alvará emitido está em consonância com as informações presentes nas ART’s/RRT’s.</t>
  </si>
  <si>
    <t xml:space="preserve"> • Apresentar projeto datado e assinado pelo contratante e contratado, identificando o responsável técnico constando a ART/RRT;
• Apresentar quadro resumo dos materiais em consonância ao Orçamento Analítico e  Memorial Descritivo;
• Tratando-se de reforma, ampliação ou modernização, deverá constar no projetos, legenda indicando as modificações;
• Observar os tamanhos das pranchas que deverão estar em formato adequado ao tamanho do projeto, que permita a perfeita legibilidade.</t>
  </si>
  <si>
    <t>Município/UF do Empreendimento</t>
  </si>
  <si>
    <t>• Marcar prejudicado, se proposta não prever investimentos para construção/modificação estrutural do prédio; (Ex: ampliação/modernização de lojas)
 • Apresentar projeto datado e assinado pelo contratante e contratado, identificando o responsável técnico constando a ART/RRT;
• Apresentar quadro resumo dos materiais em consonância ao Orçamento Analítico e  Memorial Descritivo;
• Observar os tamanhos das pranchas que deverão estar em formato adequado ao tamanho do projeto, que permita a perfeita legibilidade.</t>
  </si>
  <si>
    <t xml:space="preserve"> • Apresentar projeto datado e assinado pelo contratante e contratado, identificando o responsável técnico constando a ART/RRT;
• Apresentar quadro resumo dos materiais em consonância ao Orçamento Analítico e  Memorial Descritivo;
• Observar os tamanhos das pranchas que deverão estar em formato adequado ao tamanho do projeto, que permita a perfeita legibilidade.</t>
  </si>
  <si>
    <t>Certificado de Armador emitido pelo Tribunal Marítimo;</t>
  </si>
  <si>
    <t>Promessa de Compra e Venda da Embarcação</t>
  </si>
  <si>
    <t>Promessa de Compra e Venda da Embarcação;</t>
  </si>
  <si>
    <t>Seguro obrigatório da embarcação;</t>
  </si>
  <si>
    <t>Título de propriedade registrado no TM (se AB &gt; 100), ou na Capitania dos Portos (se AB &lt; 100);</t>
  </si>
  <si>
    <t>Certidão negativa de ônus sobre a embarcação - fornecida pelo TM (se AB &gt; 100) ou no CM (se AB &lt; 100);</t>
  </si>
  <si>
    <t>•  Fornecida pelo Tribunal Maritímo se  (se AB &gt; 100) ou no Cartório Marítimo da localidade (se AB &lt; 100).</t>
  </si>
  <si>
    <t>Seguro obrigatório da embarcação</t>
  </si>
  <si>
    <t>• Marcar prejudicado, se proposta para ampliação/modernização que não está previsto investimento para a construção de fundação;
• Apresentar projeto datado e assinado pelo contratante e contratado, identificando o responsável técnico constando a ART/RRT;
• Apresentar quadro resumo dos materiais em consonância ao Orçamento Analítico e  Memorial Descritivo;
• Observar os tamanhos das pranchas que deverão estar em formato adequado ao tamanho do projeto, que permita a perfetia legibilidade.</t>
  </si>
  <si>
    <t>3º) Na inexistência dos  Códigos SINPAPI, os itens deverão ser referenciados pelos respectivos códigos dos Custos unitários de composições de serviços (Desonerado) das Secretarias de Obras dos Estados (ou outro órgão estadual similar)  onde será realizada a construção civil.
 4º) Caso algum(ns) item(ns) não apresente(m) referência(s) nestas bases, deverá ser apresentado o orçamentá analítico com o máximo de informações, inclusive catálogos, porém, com um nível de precisão adequado para caracterizar o serviço e que, também, possibilitem a avaliação do custo do serviço.
OBS: Todas as fontes de pesquisa de preços unitários de serviços ou de insumos do SINAPI ou da Secretaria de Obras do Estado (com a respectiva data base) cujos códigos foram utilizados como referência na planilha orçamentária, deverão ser fornecidas em arquivo digital editável, anexado ao projeto.
• Taxa de BDI - Quanto à taxa de BDI, deverá evidenciar em sua composição, no mínimo:
Deverá ser observado o Acórdão TC 036.076/2011-2 de 25/09/2013, já espelhado no Roteiro de Projeto disponibilizado pelo Banco, quanto a composição da taxa percentual. O referido Acórdão cita os percentuais admitidos como financiáveis pelo TCU, caso o percentual apresentado pela proponente seja maior a diferença deverá ser aportada com recursos prórios.</t>
  </si>
  <si>
    <t>Projeto de Prevenção e Combate a Incêndio ou Comprovação da dispensa;</t>
  </si>
  <si>
    <t>Projeto do Sistema de Proteção Contra Descargas Atmosféricas ou Comprovação da dispensa.</t>
  </si>
  <si>
    <t>Projeto do Sistema de Proteção Contra Descargas Atmosféricas ou Comprovação da dispensa</t>
  </si>
  <si>
    <t>Projeto de Prevenção e Combate a Incêndio ou Comprovação da dispensa</t>
  </si>
  <si>
    <t xml:space="preserve"> • Apresentar projeto datado e assinado pelo contratante e contratado, identificando o responsável técnico;
• Apresentar quadro resumo dos materiais em consonância ao Orçamento Analítico e  Memorial Descritivo;
• Observar os tamanhos das pranchas que deverão estar em formato adequado ao tamanho do projeto, que permita a perfeita legibilidade;
• Caso o empreendimento não necessite de Sistema de Proteção Contra Descargas Atmosféricas (SPDA), deverá ser apresentado documento oficial  comprovando a dispensa.</t>
  </si>
  <si>
    <t>• Apresentar projeto datado e assinado pelo contratante e contratado, identificando o responsável técnico e aprovado pelo Corpo de Bombeiros;
• Apresentar quadro resumo dos materiais em consonância ao Orçamento Analítico e  Memorial Descritivo;
• Caso o Corpo de Bombeiro dispense a elaboração do Projeto de Prevenção e Combate a Incêndio, deverá ser apresentado documento oficial  com a manifestação do referido órgão regulador.</t>
  </si>
  <si>
    <t>Limite de Participação do Banco no financiamento - Planilha Percentual de Participação</t>
  </si>
  <si>
    <t>Quadro de endividamento com base no SCR;</t>
  </si>
  <si>
    <t>Quadro de endividamento com base no SCR</t>
  </si>
  <si>
    <t xml:space="preserve">•  Caso de não exigência de licenciamento, pela legislação vigente, CONAMA e Órgão Estadual de Meio Ambiente, anexar comprovação;
•  No caso de financiamentos de projetos em implantação é obrigatória a apresentação da Licença Prévia na entrada do projeto, e condicionada a apresentação da Licença de Instalação vigente previamente à contratação; (se aprovada a proposta)
•  Investimento direcionado à substituição ou aquisição isolada de máquinas, equipamentos ou veículos, expansão ou modernização de atividade que tenha exigência de  Licença de Operação vigente, observado o seguinte:
</t>
  </si>
  <si>
    <t>•  Validado pelo Gerente Geral da Agência;
•  Marcar prejudicado se proposta não for com recurso do FNO.</t>
  </si>
  <si>
    <t>-</t>
  </si>
  <si>
    <t>Título Translativo de Propriedade;</t>
  </si>
  <si>
    <t>Se Aeronave: (O financiamento de aeronave é VEDADO pelo normativo do FNO. Ver exceções na observação)</t>
  </si>
  <si>
    <t>------------------------------------------------------------------------------------------------------------------------------------------------------------------------</t>
  </si>
  <si>
    <t>Shopping Center</t>
  </si>
  <si>
    <t>Inscrição na Junta Comercial que comprove a atividade de Shopping Center;</t>
  </si>
  <si>
    <t>Minuta do Regimento Interno;</t>
  </si>
  <si>
    <t>Minuta do Estatuto da Associação de Lojistas;</t>
  </si>
  <si>
    <t>Minuta do Contrato de Locação e Normas Complementares;</t>
  </si>
  <si>
    <t>Estudo de Impacto de Vizinhança;</t>
  </si>
  <si>
    <t>Estudo de Impacto de Trânsito;</t>
  </si>
  <si>
    <t>Estação de Tratamento de Esgoto;</t>
  </si>
  <si>
    <t>Especificações quanto a administração do Shopping (própria) ou Contrato com empresa administradora;</t>
  </si>
  <si>
    <t>Minuta dos Contratos de Lojas Âncoras com o Shopping;</t>
  </si>
  <si>
    <t>Estudo de Mercado;</t>
  </si>
  <si>
    <t>Balanço com DRE do último exercício e Balancete;</t>
  </si>
  <si>
    <t>Estatuto/Contrato Social, com respectivas alterações;</t>
  </si>
  <si>
    <t xml:space="preserve">Ata da Assembléia que elegeu a atual diretoria e conselho de administração - Em caso de S.A.; </t>
  </si>
  <si>
    <t>Curriculum Vitae - dos dirigentes;</t>
  </si>
  <si>
    <t>Estudo de Mercado</t>
  </si>
  <si>
    <t>Balanço com DRE do último exercício e Balancete</t>
  </si>
  <si>
    <t>•  Apresentar Balanço Analítico com DRE do último exercício e Balancete de até 90 dias.</t>
  </si>
  <si>
    <t>Estatuto/Contrato Social, com respectivas alterações</t>
  </si>
  <si>
    <t>•  Com respectivas alterações, arquivadas nos órgãos competentes.</t>
  </si>
  <si>
    <t>Ata da Assembléia que elegeu a atual diretoria e conselho de administração - Em caso de S.A.</t>
  </si>
  <si>
    <t>Curriculum Vitae - dos dirigentes</t>
  </si>
  <si>
    <t>•  Formação e experiência profissional dos sócios-dirigentes e/ou Administrador contratado (se for o caso);
•  Especificar local e período de cada atividade.</t>
  </si>
  <si>
    <t>• Marcar Prejudicado, se não for proposta para financiamento de Shopping Center.</t>
  </si>
  <si>
    <t>Inscrição na Junta Comercial que comprove a atividade de Shopping Center</t>
  </si>
  <si>
    <t>•  Deve estar contemplada a atividade de Gestão e Administração da Propriedade Imobiliária nos objetivos da proponente (CNAE 6822-6/00).</t>
  </si>
  <si>
    <t>Minuta do Regimento Interno</t>
  </si>
  <si>
    <t>Minuta do Estatuto da Associação de Lojistas</t>
  </si>
  <si>
    <t>Minuta do Contrato de Locação e Normas Complementares</t>
  </si>
  <si>
    <t>Estudo de Impacto de Vizinhança</t>
  </si>
  <si>
    <t>Estudo de Impacto de Trânsito</t>
  </si>
  <si>
    <t>Estação de Tratamento de Esgoto</t>
  </si>
  <si>
    <t>Minuta dos Contratos de Lojas Âncoras com o Shopping</t>
  </si>
  <si>
    <t>Proposta de Financiamento › Não Rural › Pequena-média, Média e Grande Empresa</t>
  </si>
  <si>
    <t>│
│
│
│
│
│
│
│
│
│</t>
  </si>
  <si>
    <t>│
│
│
│
│
│
│
│
│
│
│
│
│
│
│
│
│
│
│
│
│
│
│</t>
  </si>
  <si>
    <t>│
│</t>
  </si>
  <si>
    <t>•  Se implantação, obrigatória a apresentação de todos os documentos deste item;
•  Marcar Prejudicado, se proposta não se destinar ao financiamento de edificação;
•  Apresentar todos os Projetos, de cada benfeitoria a financiar, impressos e, também, em arquivos digitais, não editáveis, em pranchas, no mínimo com o formato ABNT A3 (420mm x 297mm);
•  Não encadernar sem antes dobrar/cortar corretamente, conforme as normas da ABNT;
•  As pranchas devem estar em escalas padronizadas e usualmente utilizadas, além de estarem indicadas nas respectivas pranchas as medias, as áreas, volumes, as convenções e/ou simbologias necessárias ao entendimento e análise, perfeitamente legíveis, contendo Quadro Resumo nos Projetos com a especificação dos materiais/acabamentos empregados e, também, com os respectivos quantitativos, os quais tenham sido usados como referência na elaboração do Orçamento Analítico e do Memorial Descritivo.</t>
  </si>
  <si>
    <t xml:space="preserve">Projeto, Cronograma físico-financeiro e ART </t>
  </si>
  <si>
    <t>•  Para embarcação a ser construída e objeto do financiamento</t>
  </si>
  <si>
    <t>Autorização para transporte de carga na navegação interior</t>
  </si>
  <si>
    <t>Título de propriedade registrado no TM ou na Capitania dos Portos</t>
  </si>
  <si>
    <t>Aprovação do Projeto pelo MAPA/ANVISA</t>
  </si>
  <si>
    <t xml:space="preserve">Especificações quanto a administração do Shopping </t>
  </si>
  <si>
    <t>Própria ou Contrato com empresa administradora</t>
  </si>
  <si>
    <t xml:space="preserve">Certidão de inexistência de ônus de Imposto Predial e Territorial Urbano </t>
  </si>
  <si>
    <t>•  Certidão de inexistência de ônus, expedida pelo Cartório de Registro de Títulos e Documentos – CRTD, da comarca de localização dos bens, sobre máquinas, equipamentos e instalações, quando incorporados ao imóvel (objeto da garantia) e dele removíveis;
•  Marcar prejudicado se não houver imóveis objeto de garantia, que considere no seu valor de avaliação máquinas e equipamentos incorporados.</t>
  </si>
  <si>
    <t>•  A documentação de cada imóvel deverá ser organizada, conforme a ordem abaixo;
•  Marcar Prejudicado, se proposta não oferecer imóvel em garantia;
•  Para inserir imóvel, executar clique duplo com o botão esquerdo (do mouse) na área dos sub-itens;
•  Para excluir imóvel, executar clique com o botão direito (do mouse) na área dos itens relacionados ao imóvel.</t>
  </si>
  <si>
    <t>Certidão de inexistência de ônus sobre o imóvel, se bens fixados oferecidos em garantia</t>
  </si>
  <si>
    <t>Declaração dos sócios administradores quanto a condição de Servidor Públ. Federal</t>
  </si>
  <si>
    <t>Certidão que comprove a propriedade ou Contrato de arrendamento/aluguel</t>
  </si>
  <si>
    <t>Declaração quanto a regularidade - CVM e Fundos Constitucionais de Financ./Invest.</t>
  </si>
  <si>
    <t>Instrumentos contratuais dos financiamentos em andamento em outras IF's</t>
  </si>
  <si>
    <t>Licença Prévia ou Licença de Instalação ou Licença de Operação ou dispensa de licenc.</t>
  </si>
  <si>
    <t>INOVACRED</t>
  </si>
  <si>
    <t>FAT - Investimento Misto</t>
  </si>
  <si>
    <t>FAT - Investimento Fixo</t>
  </si>
  <si>
    <t>BNDES Cerealista</t>
  </si>
  <si>
    <t>BNDES FINAME - PSI - Investimento Misto</t>
  </si>
  <si>
    <t>BNDES FINAME - PSI - Investimento Fixo</t>
  </si>
  <si>
    <t>BNDES Automático</t>
  </si>
  <si>
    <t>FNO MPE - Investimento Fixo</t>
  </si>
  <si>
    <t>FNO - Amazônia Sustentável - Investimento Fixo (Construção)</t>
  </si>
  <si>
    <t>FNO MPE - Investimento Misto</t>
  </si>
  <si>
    <t>Instruções</t>
  </si>
  <si>
    <t>Quanto ao funcionamento</t>
  </si>
  <si>
    <t>• Requisitos mínimos para funcionamento:</t>
  </si>
  <si>
    <t>·   Versão do Excel 2007 ou mais recente;</t>
  </si>
  <si>
    <t>·   As Macros devem estar ativadas/habilitadas;</t>
  </si>
  <si>
    <t>·   Os arquivos devem ser/estar salvos no tipo/extenção ".xlsm".</t>
  </si>
  <si>
    <t>Quanto ao preenchimento</t>
  </si>
  <si>
    <t>•  O preenchimento do roteiro de Documentos e Procedimentos deve ser eletrônico. (não deve ser à caneta)</t>
  </si>
  <si>
    <t>•  Deve ser utilizada sempre a versão mais recente.</t>
  </si>
  <si>
    <t>•  Os itens que se aplicarem a condição da proposta/proponente, deve ser indicado o número da página que lhe foi atribuída na instrução/organização da proposta.</t>
  </si>
  <si>
    <t>•  A numeração dos itens somente é habilitada quando preenchida todas as informações do cabeçalho.</t>
  </si>
  <si>
    <t>•  Os itens que não se aplicarem a condição da proposta/proponente, deve ser atribuída a indicação "Prejudicado - X".</t>
  </si>
  <si>
    <t>•  As informações quanto as características básicas do documento solicitado, podem ser acessadas com a execução de clique no enunciado do item.</t>
  </si>
  <si>
    <t>•  O retorno da tela observações para o roteiro de Documentos e Procedimentos ocorre quando executado o clique em qualquer uma das observações.</t>
  </si>
  <si>
    <t>•  Caso a proposta tenha a participação de mais de um imóvel, a inclusão de campo para preenchimento (de mais de um imóvel) é procedida ao ser executado clique duplo com o botão esquerdo na área referente aos itens relacionados ao imóvel.</t>
  </si>
  <si>
    <t>•  A exclusão de campo para preenchimento de mais de um imóvel ocorre ao ser executado clique com o botão direito na área referente aos itens da documentação relacionados ao imóvel.</t>
  </si>
  <si>
    <t>•  Efetuando a marcação de "Prejudicado - X" em todos os itens que não se aplicam a condição do proponente/proposta, um resumo somente com a documentação necessária pode ser visualizado no link "Resumo" localizado na parte superior do roteiro de documentos e procedimentos (somente no roteiro de propostas simples/sem projeto). A lista de documentos resumida pode auxiliar na solicitação dos documentos ao proponente. (a lista resumida não deve ser aanexada ao dossiê operacional. A lista a ser arquivada é a lista "normal" que consta a numeração das páginas)</t>
  </si>
  <si>
    <t>Quanto a organização do dossiê</t>
  </si>
  <si>
    <t>•  O roteiro de Documentos e Procedimentos impresso deve ser a capa do(s) dossiê(s).</t>
  </si>
  <si>
    <t>•  A montagem e numeração do dossiê devem obedecer a sequência do roteiro de Documentos e Procedimentos.</t>
  </si>
  <si>
    <t>•  As páginas do dossiê devem receber numeração no canto superior direito da página. A numeração deve ser realizada à caneta.</t>
  </si>
  <si>
    <t>•  A numeração não deve conter rasuras. Não deve ser utilizado corretivo.</t>
  </si>
  <si>
    <t xml:space="preserve">•  O processo deve ser instruído de baixo para cima. </t>
  </si>
  <si>
    <t>•  Não deve ser anexado documentos que não estão relacionados na Lista.</t>
  </si>
  <si>
    <t>•  O porte da Empresa podem/devem ser alterados no título.</t>
  </si>
  <si>
    <t>Proposta de Financiamento › Não Rural › FDA</t>
  </si>
  <si>
    <t>Tipo de investimento</t>
  </si>
  <si>
    <t>Item</t>
  </si>
  <si>
    <t>Autorização para apresentar o projeto definitivo ao Banco;</t>
  </si>
  <si>
    <t>Termo de enquadramento emitido pela SUDAM;</t>
  </si>
  <si>
    <t>Balanços com DRE dos 3 (três) últimos exercícios e Balancete 90 dias;</t>
  </si>
  <si>
    <t>Alvará de Funcionamento;</t>
  </si>
  <si>
    <t>Certidão Negativa de Embargo de área para uso econômico - IBAMA;</t>
  </si>
  <si>
    <t>Laudo de Avaliação - garantias;</t>
  </si>
  <si>
    <t>Propostas de fornecimento; (com código FINAME-CFI)</t>
  </si>
  <si>
    <t>Layout das máquinas e equipamentos; (somente para Indústria e Agroindústrias)</t>
  </si>
  <si>
    <t xml:space="preserve">Orçamento Analítico das construções civis a realizar </t>
  </si>
  <si>
    <t>ART/RRT dos projetos de edificação;</t>
  </si>
  <si>
    <t>ART/RRT da Execução da Obra; (se obras em andamento)</t>
  </si>
  <si>
    <t>Projeto da Fundação;</t>
  </si>
  <si>
    <t>Testes laboratoriais sobre o mineral;</t>
  </si>
  <si>
    <t>SIF ou SIE ou SIM; (se em operação)</t>
  </si>
  <si>
    <t>Título de propriedade registrado no TM (se AB maior que 100), ou na Capitania dos Portos (se AB &lt; 100);</t>
  </si>
  <si>
    <t>Certidão negativa de ônus sobre a embarcação - fornecida pelo TM (se AB &gt; 100) ou no CM (se AB &lt; 100)</t>
  </si>
  <si>
    <t>Proposta de seguro de construção a ser contratado pelo estaleiro construtor;</t>
  </si>
  <si>
    <t>Orientações</t>
  </si>
  <si>
    <t>Autorização para apresentar o projeto definitivo ao Banco</t>
  </si>
  <si>
    <t xml:space="preserve">•  Autorização para apresentar projetos  será feita conforme o art 18 da 7239:
A apresentação de projetos a agentes operadores deverá ser precedida de consulta à SUDAM, a ser formulada conforme o modelo e a instrução de preenchimento definidos pela Superintendência, observadas as regras deste Regulamento e de seus atos complementares.
O interessado poderá encaminhar consulta prévia à SUDAM pessoalmente ou por correspondência com aviso de recebimento.  No ato de seu recebimento, a consulta prévia será protocolada pela SUDAM em sistema informatizado de tramitação de documentos, que expedirá recibo. 
A consulta prévia submetida à SUDAM terá decisão definitiva quanto ao seu enquadramento nas diretrizes e prioridades aprovadas pelo Conselho Deliberativo, no prazo de trinta dias, contado de sua apresentação. 
A consulta prévia e seus anexos serão apresentados  à SUDAM com assinatura dos técnicos responsáveis por sua elaboração e dos representantes legais do grupo empresarial proponente, podendo ser aceita assinatura eletrônica nos termos da legislação vigente. 
 A consulta prévia que apresente omissão ou insuficiência de dados essenciais à sua apreciação será devolvida. 
</t>
  </si>
  <si>
    <t xml:space="preserve">A consulta prévia devolvida nos termos do § 5º poderá ser reapresentada com as correções, hipótese em que o prazo do § 3º começará a correr a partir do novo protocolo.
Não será analisada consulta prévia de projeto que não atenda às exigências de comprovação da regularidade cadastral de beneficiários perante instituição financeira oficial federal e a SUDAM, e, sem prejuízo de outras estabelecidas pela SUDAM:
Não se enquadrem nas diretrizes e prioridades estabelecidas pelo Conselho Deliberativo, ou que não estejam em conformidade com o Plano Regional deDesenvolvimento da Amazônia;
 Sejam controlados ou dirigidos por pessoa física ou jurídica, ou grupo econômico que:
a) não demonstre possuir capacidade empreendedora e financeira compatível com a realização do empreendimento, a critério da SUDAM;
b) tenha transferido, em desacordo com as normas vigentes, o controle acionário de empresa titular de projeto em implantação, modernização, ampliação ou  diversificação que seja beneficiado com recursos doFDA, do Fundo de Desenvolvimento do Nordeste - FDNEou dos Fundos de Investimentos Regionais;
c) seja responsável por projeto declarado caduco, cancelado, paralisado ou tenha cometido 
irregularidades na aplicação de recursos dos Fundosdescritos na alínea “b”;
d) seja considerado inidôneo pela SUDAM;
</t>
  </si>
  <si>
    <t xml:space="preserve">
b) das extintas Agência de Desenvolvimento do Nordeste - ADENE ou Agência de Desenvolvimento da Amazônia - ADA; ou
c) dos agentes operadores do Fundo de Desenvolvimento do Nordeste, do Fundo de Desenvolvimento da Amazônia ou dos Fundos de Investimentos Regionais;
V - tenham localização em áreas de parques nacionais, de reservas florestais, biológicas, indígenas, ou em outras de destinação específica definidas em lei;
VI - tenham localização em áreas sobre as quais incidam  ônus reais de garantia, regularmente 
inscritos e registrados no registro imobiliário, exceto quando se referir a áreas vinculadas por garantia ao próprio agente operador no mesmo projeto;
VII - não estejam em consonância com as normas de vigilância sanitária;
VIII - sejam agropecuários e não estejam em áreas de vocação agropastoril, comprovadas por 
zoneamento ecológico-econômico, executado ou em execução; e
IX - não apresentem informações suficientes para conclusão da análise ou contenham informações incorretas, tendenciosas ou falsas.
§ 8º  A SUDAM poderá dispensar a apresentação de documentos comprobatórios das informações contidas na consulta prévia, vedada a dispensa na apresentação do projeto.</t>
  </si>
  <si>
    <t xml:space="preserve">§ 9º  A consulta prévia será avaliada pela unidade técnica competente da SUDAM, que, após emitir parecer conclusivo, deverá encaminhá-la à deliberação da Diretoria Colegiada da Superintendência, a quem caberá a decisão final, no prazo definido no § 3º.
</t>
  </si>
  <si>
    <t>Termo de enquadramento emitido pela SUDAM</t>
  </si>
  <si>
    <t xml:space="preserve">§ 10. A SUDAM emitirá termo de enquadramento da consulta prévia ao interessado, que negociará o projeto com o agente operador de sua preferência, que autorizará a elaboração do projeto e comunicará à Superintendência.
O termo de enquadramento da consulta prévia, emitido pela Diretoria Colegiada da SUDAM deverá ser encaminhado ao interessado no prazo de cinco dias úteis, contado da data da decisão, e terá validade de noventa dias, contada da data do recebimento da comunicação.
Aprovada a consulta prévia, a empresa ou grupo empresarial deverá buscar autorização para elaboração do projeto definitivo junto ao agente operador, que terá prazo de trinta dias, para autorizá-la, contado do recebimento da solicitação, e informará da autorização à SUDAM.
A autorização para elaboração de projeto terá validade de sessenta dias, e poderá ser prorrogada pelo agente operador por igual período, uma vez.
A apresentação do projeto definitivo deverá ser informada pelo agente operador à SUDAM.
</t>
  </si>
  <si>
    <t xml:space="preserve">•  Com indicação detalhada dos períodos/datas/prazos/etapas de execução das inversões objeto da proposta de financiamento, tais como: construções civis, máquinas e equipamentos, veículos, embarcações e capital de giro associado, etc;
•  Deve ser assinado pelo Projetista e Proponente;
•  Com indicação da data do funcionamento pleno do empreendimento à partir das inversões programadas; (se em funcionamento)
•  Com previsão da data de início das atividades para empreendimento em processo de implantação.  (se em instalação)
</t>
  </si>
  <si>
    <t>•  Estudo deve ser Fundamentado em contexto nacional, estadual e local, com foco no local do empreendimento, citando fontes oficiais do mercado.</t>
  </si>
  <si>
    <t>•  Contrato deve indicar a remuneração (exclusivamente a financiada) e, quando for o caso, as formas de orientação e assistência técnica e gerencial a ser prestada.</t>
  </si>
  <si>
    <t>Balanços com DRE dos 3 (três) últimos exercícios e Balancete 90 dias</t>
  </si>
  <si>
    <t>•  Apresentar Balanços com DRE dos 3 (três) últimos exercícios e Balancete 90 dias.</t>
  </si>
  <si>
    <t xml:space="preserve">•  Comprovante de aplicações financeiras - de preferências no Banco da Amazônia, etc, ou;
•  Recursos disponíveis na contabilidade;
•  Para efeito de contrapartida de recursos próprios de planos ou projetos de implantação de empreendimentos não-rurais, poderá ser levado em conta o valor dos investimentos fixos realizados e comprovados no empreendimento até 3 (três) meses anteriores à data de apresentação do projeto ao Banco, podendo ser admitido um tempo maior, limitado a 6 (seis) meses, observadas a natureza e as especificidades das atividades desenvolvidas; </t>
  </si>
  <si>
    <t>•  No caso do item imediatamente acima, apresentar Notas Fiscais, com recibos identificadores e/ou comprovante de pagamento, de investimentos realizados no prazo regulamentar;
•  No FDA todas as operações devem ter no mínimo 20% de participação de recursos próprios, conforme  art. 17 do DECRETO Nº 7.839, DE 9 DE NOVEMBRO DE 2012.</t>
  </si>
  <si>
    <t>•  FISA - Para propostas de até R$ 10 milhões;
•  QSA - Para propostas superiores a R$ 10 milhões;
•  Deve ser assinado em todas as páginas.</t>
  </si>
  <si>
    <t>Licença Prévia ou Licença de Instalação ou Licença de Operação ou dispensa de licenciamento</t>
  </si>
  <si>
    <t xml:space="preserve">•  Marcar prejudicado, no caso de não exigência de licenciamento, pela legislação vigente, CONAMA e Órgão Estadual de Meio Ambiente. Anexar comprovação;
•  No caso de financiamentos de projetos em implantação é obrigatória a apresentação da Licença Prévia na entrada do projeto, e condicionada a apresentação da Licença de Instalação vigente previamente à contratação (se aprovada a proposta);
•  Investimento direcionado à substituição ou aquisição isolada de máquinas, equipamentos ou veículos, expansão ou modernização de atividade que tenha exigência de  Licença de Operação vigente, observado o seguinte:
</t>
  </si>
  <si>
    <t>•  Apresentar se proponente exercer atividade potencialmente poluidora ou utilizadora de recursos ambientais, listada na Instrução Normativa IBAMA nº 06;
•  Marcar Prejudicado, se proponente não exercer atividade potencialmente poluidora ou utilizadora de recursos ambientais.
Endereço para consulta a lista de atividades potencialmente poluidoras ou utilizadoras de recursos ambientais:</t>
  </si>
  <si>
    <t>•  Apresentar se proponente exercer atividade potencialmente poluidora ou utilizadora de recursos ambientais, listada na Instrução Normativa IBAMA nº 06 e com a obrigatoriedade do recolhimento da Taxa de Controle e Fiscalização Ambiental-TCFA - IBAMA;
•  Marcar Prejudicado, se proponente não exercer atividade potencialmente poluidora ou utilizadora de recursos ambientais.
Endereço para consulta:</t>
  </si>
  <si>
    <t>Justificativa das Ações Trabalhistas em julgamento e documentos onde conste, fase e valores atualizados</t>
  </si>
  <si>
    <t>http://www.portaltransparencia.gov.br/ceis/Consulta.seam</t>
  </si>
  <si>
    <t>Instrumentos contratuais dos financiamentos em andamento em outras instituições financeiras</t>
  </si>
  <si>
    <t>Declaração quanto a regularidade para com a CVM e Fundos Constitucionais de Financ./Invest.</t>
  </si>
  <si>
    <t>Certidão que comprove a propriedade ou Contrato de arrendamento/aluguel - do imóvel onde opera</t>
  </si>
  <si>
    <t xml:space="preserve">•  Se empresa que opera em imóvel próprio, apresentar Certidão que comprove a propriedade, podendo ser:
- Certidão de Cadeia Dominial;
- Certidão de Inteiro Teor;
- Certidão de Registro de Imóveis.
•  Se empresa que opera em imóvel arrendado ou alugado, apresentar contrato de arrendamento ou de aluguel, atendendo, simultaneamente, aos seguintes requisitos:
a)  Deverá estender-se por um prazo mínimo equivalente a totalidade do prazo pretendido do financiamento do Banco, mesmo que venha a ocorrer a alienação do imóvel;
b) deverá ter cláusula de proibição de rescisão contratual durante o período de financiamento;
</t>
  </si>
  <si>
    <t xml:space="preserve">c) Não se aplicam as disposições relativas ao prazo do contrato de locação aqui contidas aos financiamentos a lojistas de Shopping Center.
d) no caso de o imóvel pertencer ao(s) sócio(s) da pessoa jurídica, a apresentação do contrato de locação poderá ser dispensada quando:
I - o imóvel alugado pertencer a sócio(s) da mutuaria, o(s) qual(is) seja(m) avalista(s) ou fiador(es) do financiamento;
II - o imóvel alugado pertencer a sócio(s) da mutuária e seja vinculado em hipoteca à operação.
</t>
  </si>
  <si>
    <t>•  Apresentar documentação das demais empresas do grupo, nos seguintes casos:
a) empresas do grupo, com faturamento maior ou igual a 20% do faturamento total da proponente e com participação societária maior ou igual a 20%, em se tratando de sociedade anônimas;
b) empresas do grupo, com faturamento maior ou igual a 20% do faturamento total da proponente e com participação societária maior ou igual a 10% nas demais espécies societárias;
• O Balancete deve ter até 90 dias desde a sua emissão;
•  Marcar prejudicado, se proponente ou os sócios da empresa proponente não tiverem participação em outras empresas, conforme indicado acima.</t>
  </si>
  <si>
    <t>•  Apresentar documentação das demais empresas do grupo, nos seguintes casos:
a) empresas do grupo, com faturamento maior ou igual a 20% do faturamento total da proponente e com participação societária maior ou igual a 20%, em se tratando de sociedade anônimas;
b) empresas do grupo, com faturamento maior ou igual a 20% do faturamento total da proponente e com participação societária maior ou igual a 10% nas demais espécies societárias;
•  Marcar prejudicado, se proponente ou os sócios da empresa proponente não tiverem participação em outras empresas, conforme indicado acima.</t>
  </si>
  <si>
    <t xml:space="preserve">•  Marcar prejudicado, quando os intervenientes hipotecantes/avalistas não forem representados.  
• A procuração, feita por instrumento público ou particular, deverá conter: 
            a)   a qualificação completa do outorgante e do outorgado (nome, nacionalidade, estado civil, profissão, domicílio e residência); 
            b)   o objetivo da outorga com a designação e extensão dos poderes conferidos; 
            c)   a data e a designação do Estado, da cidade ou da circunscrição civil em que for passada. </t>
  </si>
  <si>
    <t>• Nas operações com garantia real,  é necessário que a procuração seja simultaneamente EXPRESSA no sentido de conferir poderes ao mandatário para que ele possa contratar a operação e constituir a garantia real e ESPECÍFICA, no sentido de determinar o bem a ser dado em garantia (por exemplo: hipotecar o imóvel "A", dar a safra "B" em penhor, etc). Neste caso, é necessário que na procuração conste nominalmente o Banco da Amazônia S.A.</t>
  </si>
  <si>
    <t>Declaração dos sócios administradores quanto a não se encontrar na condição de Servidor Públ. Federal</t>
  </si>
  <si>
    <t>Certidão de inexistência de ônus sobre o imóvel, se bens fixados oferecidos em garantia e dele removíveis</t>
  </si>
  <si>
    <t>•  Certidão de inexistência de ônus sobre o imóvel se os bens oferecidos em garantia forem/estiverem nele fixados e dele puderem ser removidos sem danos e modificação da substância e estrutura, dos bens e ao imóvel;
•  Expedida pelo - CRI.</t>
  </si>
  <si>
    <t>•  A documentação de cada imóvel deverá ser organizada, conforme a ordem abaixo;
•  Marcar Prejudicado, se proposta não oferecer imóvel em garantia.</t>
  </si>
  <si>
    <t>Título translativo de propriedade</t>
  </si>
  <si>
    <t xml:space="preserve">•  Se imóvel urbano: 
I – Título translativo de propriedade, registrado no Cartório de Registro de Imóveis ou;
II – Escritura Pública lavrada em Cartório de Notas, devidamente registrada no Cartório de Registro de Imóveis – CRI;
•  Se imóvel rural:
I – Escritura Pública lavrada em Cartório de Notas; 
II – Título Definitivo; 
III- Alvará Judicial e; 
IV – Formal de Partilha ou Escritura Pública lavrada em Cartório de Notas devidamente registrada no Cartório de Registro de Imóveis – CRI.
</t>
  </si>
  <si>
    <t>1) A Escritura Pública é exigível na constituição, transferência, modificação ou renúncia de direitos reais sobre imóveis de valor superior a trinta vezes o maior salário mínimo vigente no País;
2) O Banco não aceita os chamados Registros Paroquiais de Terras, conhecidos também como Títulos Paroquiais;
•  Marcar Prejudicado, se proposta não oferecer imóvel em garantia.</t>
  </si>
  <si>
    <t xml:space="preserve">•  Apresentar Certidão imobiliária original/cópia autenticada, atualizada abrangendo os últimos 20 anos, emitida pelo Cartório de Registro de Imóveis;
•  Se imóvel rural, a Certidão deverá figurar resultado de pesquisa que alcance a origem em que ocorreu a transferência do patrimônio público para o privado;
•  Na impossibilidade do estabelecimento da cadeia dominial do imóvel rural até a origem, apresentar a Declaração de Legitimidade de Título Rural, emitida pelo órgão competente (municipal, estadual ou federal) comprobatório de que a área foi transferida regularmente do patrimônio público (municipal, estadual ou federal) para o privado;
</t>
  </si>
  <si>
    <t>•  A validade da Certidão da Cadeia Dominial ou Vintenária será de 5 anos, contados após a data de sua emissão, se na contratação for apresentada a Certidão Negativa de Ônus. Caso contrário, deverá ser apresentada certidão emitida em até 60 dias antes da apresentação ao Banco;
•  Se imóvel rural a certidão pode ser dispensada quando apresentado título de matrícula no Registro Torrens.</t>
  </si>
  <si>
    <t>Certidão de inexistência de ônus ou certidão de inteiro teor</t>
  </si>
  <si>
    <t>• Se imóvel Rural:  Certidão de inexistência de ônus reais legais ou convencionais sobre o imóvel;
• Se imóvel Urbano: Certidão de inexistência de ônus reais legais ou convencionais sobre o imóvel, que possam afetar a posse ou domínio, ou certidão de matrícula, desde que fique evidenciada a existência ou não de ônus sobre o imóvel, ou certidão de inteiro teor, quando se tratar de imóvel objeto de garantia de operação de valor superior a R$ 400 mil.</t>
  </si>
  <si>
    <t xml:space="preserve">•  Certidão de inexistência de ônus, expedida pelo Cartório de Registro de Títulos e Documentos – CRTD, da comarca de localização dos bens, sobre máquinas, equipamentos e instalações, quando incorporados ao imóvel (objeto da garantia) e dele removíveis;
•  Marcar prejudicado se não houver imóveis objeto de garantia, que considere no seu valor de avaliação máquinas e equipamentos incorporados.
</t>
  </si>
  <si>
    <t>Certidão de inexistência de ônus de Imposto Predial e Territorial Urbano - IPTU</t>
  </si>
  <si>
    <t>•  Modelo fornecido pelo Banco;
•  Declaração é individual por imóvel. (Apresentar uma declaração para cada imóvel)</t>
  </si>
  <si>
    <t>•  Se a fonte de recursos for BNDES, a proposta deverá vir com os códigos FINAME - CFI, observando o seguinte:
1. As máquinas, veículos, aeronaves, embarcações ou equipamentos passíveis de financiamento deverão constar, com índice de nacionalização, em valor, igual ou superior a 60%, do Credenciamento de Fabricantes Informatizado (CFI) ou do Catálogo de Produtos do Portal de Operações do Cartão BNDES, criados e mantidos pelo BNDES.
2. Para máquinas, veículos, aeronaves, embarcações ou equipamentos importados ou que apresentem índices de nacionalização, em valor, inferior a 60%, exceto nos casos em que se verifique pelo menos uma das condições a seguir:
I) não haja produção nacional da máquina, veículo, aeronave, embarcação ou equipamento; 
II) a máquina, veículo, aeronave, embarcação ou equipamento cumpra o Processo Produtivo Básico (PPB);
III) a Nomenclatura Comum do MERCOSUL (NCM) da máquina, veículo, aeronave, embarcação ou equipamento importado tiver alíquota 0% do Imposto de Importação;</t>
  </si>
  <si>
    <t xml:space="preserve">3) A comprovação de que não há produção nacional será feita por consulta à lista dos bens contemplados pelo regime de Ex-tarifário, divulgada por Resolução da Câmara de Comércio Exterior (CAMEX); ou por anotação nas respectivas licenças de importação, realizada pelo Departamento de Comércio Exterior (DECEX); ou por consulta à entidade representativa dos fabricantes nacionais de bens afins ao bem importado. 
4) A comprovação do índice mínimo de nacionalização, mediante consulta ao CFI ou ao Catálogo de Produtos do Portal de Operações do Cartão BNDES, será dispensada quando se tratar de veículo fabricado no País por empresa habilitada a usufruir da redução do IPI nos termos do art. 2º do Decreto nº 7.567, de 15/09/2011, com a redação do Decreto nº 7.604, de 10/11/2011, e da Portaria SDP/MDIC nº 1, de 30/01/2012, com as alterações posteriores. 
5) Para comprovação de que a máquina, veículo, aeronave, embarcação ou equipamento cumpre o Processo Produtivo Básico (PPB), deverá ser apresentado laudo técnico emitido pela Secretaria de Política de Informática do MCTI (Sepin), Secretaria do Desenvolvimento da Produção do MDIC (SDP) ou Superintendência da Zona Franca de Manaus (SUFRAMA), quando a empresa estiver sediada no Pólo Industrial de Manaus, que ateste o cumprimento do PPB conforme estabelece a Portaria Interministerial correspondente ao produto, emitida pelos Ministérios do Desenvolvimento, Indústria e Comércio Exterior (MDIC) e da Ciência, Tecnologia e Inovação (MCTI), publicada no Diário Oficial da União. </t>
  </si>
  <si>
    <t>•  Documento com as especificações técnicas, confeccionado pelo fabricante das máquinas, equipamentos, móveis e/ou veículos.</t>
  </si>
  <si>
    <t>•  Se implantação, obrigatória a apresentação de todos os documentos do item 8;
•  Marcar Prejudicado, se proposta não se destinar ao financiamento de edificação.</t>
  </si>
  <si>
    <t>• Apresentar documento impresso e em planilha digital editável.
• O Orçamento deve ser elaborado com base nos Projetos e em consonância com o Memorial Descritivo e as ART's e RRT's.
• Somente deverá constar no Orçamento Analítico, os itens que estiverem discriminados/especificados nos projetos.
• O Orçamento Analítico das construções civis deverá ser datado e assinado pelo contratante e contratado, contendo as seguintes informaçoes: o responsável técnico, a descrição da obra, o endereço da obra, o proprietário, a data base do orçamento e dos preços, a discriminação dos serviços, unidade, quantidade, preço unitário, preço total do serviço, preço total do orçamento sem o B.D.I.</t>
  </si>
  <si>
    <t xml:space="preserve">• Apresentar documento datado e assinado, identificando o responsável técnico. Referido documento deverá estar em consonância com as ART’s/RRT’s, Orçamento Analítico e Projetos.
</t>
  </si>
  <si>
    <t xml:space="preserve"> • Deverá estar em consonância com ART’s/RRT’s, Orçamento Analítico, Memorial Descritivo  e Projetos;
 • Apresentar o Cronograma Físico-Financeiro, referente a aplicação de construção civil, datado e assinado pelo contratante e contratado, identificando o responsável técnico, a descrição da obra, o endereço da obra, o proprietário, a data base conforme a Orçamento Analítico, com a discriminação dos itens, o preço total dos itens, o preço total do orçamento, em moeda corrente, em forma impressa, assinada pelo responsável técnico;
• Apresentar também o Cronograma Físico-Financeiro em arquivo de formato digital editável.</t>
  </si>
  <si>
    <t xml:space="preserve"> • Apresentar Anotação de Responsabilidade Técnica datada e assinada pelo contratante e contratado, identificando o responsável técnico;
 • Deverá conter a chave de autenticação do documento ou apresentar comprovante de pagamento.</t>
  </si>
  <si>
    <t>•  Somente se obras em andamento;
 • Apresentar Anotação de Responsabilidade Técnica datada e assinada pelo contratante e contratado, identificando o responsável técnico;
 • Deverá conter a chave de autenticação do documento ou apresentar comprovante de pagamento.</t>
  </si>
  <si>
    <t xml:space="preserve"> • Apresentar projeto datado e assinado pelo contratante e contratado, identificando o responsável técnico constando a ART/RRT;
• Observar os tamanhos das pranchas que deverão estar em formato adequado ao tamanho do projeto, que permita a perfeita legibilidade.</t>
  </si>
  <si>
    <t>• Marcar prejudicado, se proposta para ampliação/modernização que não está previsto investimento para a construção de fundação;
 • Apresentar projeto datado e assinado pelo contratante e contratado, identificando o responsável técnico constando a ART/RRT;
• Apresentar quadro resumo dos materiais em consonância ao Orçamento Analítico e  Memorial Descritivo;
• Observar os tamanhos das pranchas que deverão estar em formato adequado ao tamanho do projeto, que permita a perfeita legibilidade.</t>
  </si>
  <si>
    <t>Especificações quanto a administração do Shopping (própria) ou Contrato com empresa administradora</t>
  </si>
  <si>
    <t>Aprovação do Projeto pelo MAPA/ANVISA ou entidades delegadas/conveniadas</t>
  </si>
  <si>
    <t>•  Se alimentos de origem animal descritos abaixo, apresentar Autorização do Ministério da Agricultura, Pecuária e Abastecimento – MAPA ou das secretarias de agricultura dos estados ou dos municípios.
    I – produtos e subprodutos oriundos do abate de animais;
    II – pescado e seus derivados;
    IV – ovos e seus derivados;
    V – mel e cera de abelha e seus derivados.
•  Se outros o alimentos, apresentar aprovação do projeto pela ANVISA ou entidades delegadas/conveniadas a ela;</t>
  </si>
  <si>
    <t>•  Se em implantação, o documento deve ser apresentado na fase de formalização da operação, observando-se que, no caso de projeto de investimento destinado à implantação, será admitida a apresentação na fase de condução, em até 60 dias da conclusão das obras;
•  Marcar Prejudicado, se empresa proponente não for indústria alimentícia em implantação ou ampliação.</t>
  </si>
  <si>
    <t xml:space="preserve">• Autorizazão da ANTAQ: apresentar no caso de empresas que atuam no transporte de cargas ou com transporte interestadual de passageiros;
• Autorização do órgão regulador estadual: apresentar no caso de empresas que atuam no trasnporte de passageiros apenas dentro do estado (Ex: No Estado do Pará o órgão regulador é a ARCON).
</t>
  </si>
  <si>
    <t>•  Marcar Prejudicado, se proponente ao financiamento não for empresa não transportar produtos perigosos;
•  Se o transporte for de abrangência apenas estadual, a autorização será de competência do órgão estadual de meio ambiente.
Endereço para consulta:</t>
  </si>
  <si>
    <t>•  Apresentar Certificado emitido pelo Tribunal Marítimo.</t>
  </si>
  <si>
    <t>Título de propriedade registrado no TM (se AB maior que 100), ou na Capitania dos Portos</t>
  </si>
  <si>
    <t>•  Sendo:  
 I.    Certificado Nacional de Arqueação da embarcação
II.    Certificado Nacional de Borda Livre.</t>
  </si>
  <si>
    <t>Autorização para transporte de carga na navegação interior de percurso longitudinal interestadual/internacional</t>
  </si>
  <si>
    <t xml:space="preserve">•  Marcar Prejudicado, se não for proposta de financiamento para construção de embarcação;
•  Não é permitido como garantia prévia; (Ver exceções abaixo)
•  Só poderão ser vinculados como garantia prévia se observado o seguinte:
a)   o cliente deverá se comprometer a desembolsar, previamente, a parcela referente à contrapartida de recursos próprios destinada ao item em produção, quando houver;
</t>
  </si>
  <si>
    <t>b)   a liberação de cada parcela do crédito, referente ao item em produção, deverá ser feita mediante prévia comprovação da execução da etapa correspondente e do atendimento do item precedente;
c)   a liberação da última parcela deverá ocorrer mediante comprovação da entrega do bem e apresentação, por parte do mutuário, de declaração do recebimento do bem em perfeitas condições de uso.</t>
  </si>
  <si>
    <t>Projeto, Cronograma físico-financeiro e ART para embarcação a ser construída e objeto do financiamento</t>
  </si>
  <si>
    <t>Certificado de matrícula e nacionalidade - expedido pela Agência Nacional de Aviação Civil - ANAC</t>
  </si>
  <si>
    <t xml:space="preserve">•  Marcar Prejudicado, se empresa proponente não for postos de combustíveis e derivados.
</t>
  </si>
  <si>
    <t>Certificado_de_cadastramento_do_Ministério_do_Turismo2</t>
  </si>
  <si>
    <t>Augusto François</t>
  </si>
  <si>
    <t>Menu</t>
  </si>
  <si>
    <t>^</t>
  </si>
  <si>
    <t>[e</t>
  </si>
  <si>
    <t>Autorização para transporte de carga na naveg. interior de perc. longitudinal, interestadual/internacional; (da ANTAQ)</t>
  </si>
  <si>
    <t>Orientações PJ Proj FDA'!Da_Proponente</t>
  </si>
  <si>
    <t>e) não tenha comprovado perante a SUDAM capacidade econômica e financeira em aportar, nos prazos estabelecidos pelo cronograma de investimentos, os recursos próprios e de terceiros necessários  à conclusão dos projetos;
f) esteja em débito em relação a tributos federais  ou com o Fundo de Garantia do Tempo de Serviço -FGTS;
g) esteja inscrito na Dívida Ativa da União ou no Cadastro Informativo de créditos não quitados do setor público federal - CADIN;
h) não esteja cumprindo a obrigação prevista no  art. 4º do Decreto nº 93.607, de 21 de novembro de 1986, ou esteja em situação irregular perante outros sistemas de financiamento regional; ou
i) esteja inadimplente, ainda que em caráter não financeiro, com o Fundo de Investimentos da 
Amazônia - FINAM, o Fundo de Investimento do Nordeste - FINOR, o Fundo de Recuperação Econômica do Page 8of 27 Decreto nº 7839 Estado do Espírito Santo - FUNRES, a SUDAM, a Superintendência de Desenvolvimento do Nordeste - SUDENE ou com os agentes operadores dos Fundos de Desenvolvimento do Nordeste ou da Amazônia;
III - sejam controlados ou dirigidos por agente público em atividade;
IV - sejam controlados ou dirigidos por servidores ativos oriundos dos quadros:
a) da SUDENE ou da SUDAM;</t>
  </si>
  <si>
    <t>Correspondência indicando o Limite/Percentual de Participação do Banco no financiamento;</t>
  </si>
  <si>
    <t>FNO MPE - Investimento Fixo (Construção)</t>
  </si>
  <si>
    <t>BNDES Cerealista (Construção)</t>
  </si>
  <si>
    <t>FAT - Investimento Fixo (Construção)</t>
  </si>
  <si>
    <t>Relação Anual de Informações Sociais - RAIS; (se operação do BNDES)</t>
  </si>
  <si>
    <t>Relação Anual de Informações Sociais - RAIS</t>
  </si>
  <si>
    <t>FNO MPE - Investimento Fixo (Construção);BNDES Cerealista (Construção);FAT - Investimento Fixo (Construção)</t>
  </si>
  <si>
    <t>•  Marcar prejudicado, quando não envolver recursos do BNDES.</t>
  </si>
  <si>
    <t>BNDES - Investimento Fixo (Construção)</t>
  </si>
  <si>
    <t>FNO - Amazônia Sustentável - Investimento Fixo</t>
  </si>
  <si>
    <t>BNDES Automático (Construção)</t>
  </si>
  <si>
    <t>Versão 2.0.9 - 13/02/2017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</si>
</sst>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R$&quot;\ * #,##0.00_-;\-&quot;R$&quot;\ * #,##0.00_-;_-&quot;R$&quot;\ * &quot;-&quot;??_-;_-@_-"/>
    <numFmt numFmtId="164" formatCode="_(&quot;R$ &quot;* #,##0.00_);_(&quot;R$ &quot;* \(#,##0.00\);_(&quot;R$ &quot;* &quot;-&quot;??_);_(@_)"/>
    <numFmt numFmtId="165" formatCode="_(* #,##0.00_);_(* \(#,##0.00\);_(* &quot;-&quot;??_);_(@_)"/>
    <numFmt numFmtId="166" formatCode="&quot;&quot;00&quot;.&quot;000&quot;.&quot;000&quot;/&quot;0000\-00"/>
  </numFmts>
  <fonts count="103">
    <font>
      <sz val="11"/>
      <color theme="1"/>
      <name val="Calibri"/>
      <family val="2"/>
      <scheme val="minor"/>
    </font>
    <font>
      <sz val="11"/>
      <color theme="1"/>
      <name val="Calibri"/>
      <family val="2"/>
      <scheme val="minor"/>
    </font>
    <font>
      <sz val="12"/>
      <color theme="1"/>
      <name val="Times New Roman"/>
      <family val="1"/>
    </font>
    <font>
      <sz val="12"/>
      <color theme="1"/>
      <name val="Arial"/>
      <family val="2"/>
    </font>
    <font>
      <sz val="10"/>
      <color theme="1"/>
      <name val="Arial"/>
      <family val="2"/>
    </font>
    <font>
      <u/>
      <sz val="11"/>
      <color theme="10"/>
      <name val="Calibri"/>
      <family val="2"/>
    </font>
    <font>
      <b/>
      <i/>
      <sz val="18"/>
      <color theme="1" tint="0.34998626667073579"/>
      <name val="Calibri"/>
      <family val="2"/>
      <scheme val="minor"/>
    </font>
    <font>
      <sz val="11"/>
      <color theme="1" tint="0.249977111117893"/>
      <name val="Calibri"/>
      <family val="2"/>
      <scheme val="minor"/>
    </font>
    <font>
      <sz val="8"/>
      <color theme="1" tint="0.249977111117893"/>
      <name val="Tahoma"/>
      <family val="2"/>
    </font>
    <font>
      <b/>
      <sz val="15"/>
      <color theme="1" tint="0.249977111117893"/>
      <name val="Calibri"/>
      <family val="2"/>
      <scheme val="minor"/>
    </font>
    <font>
      <b/>
      <sz val="11"/>
      <color theme="1" tint="0.249977111117893"/>
      <name val="Calibri"/>
      <family val="2"/>
      <scheme val="minor"/>
    </font>
    <font>
      <b/>
      <sz val="9"/>
      <color theme="1" tint="0.249977111117893"/>
      <name val="Arial"/>
      <family val="2"/>
    </font>
    <font>
      <sz val="10"/>
      <color theme="1"/>
      <name val="Tahoma"/>
      <family val="2"/>
    </font>
    <font>
      <b/>
      <sz val="12"/>
      <color theme="1" tint="0.249977111117893"/>
      <name val="Tahoma"/>
      <family val="2"/>
    </font>
    <font>
      <sz val="8"/>
      <color theme="1" tint="0.249977111117893"/>
      <name val="Arial"/>
      <family val="2"/>
    </font>
    <font>
      <b/>
      <sz val="9"/>
      <color theme="1" tint="0.249977111117893"/>
      <name val="Calibri"/>
      <family val="2"/>
      <scheme val="minor"/>
    </font>
    <font>
      <b/>
      <sz val="12"/>
      <color theme="1"/>
      <name val="Tahoma"/>
      <family val="2"/>
    </font>
    <font>
      <sz val="16"/>
      <color theme="1" tint="0.249977111117893"/>
      <name val="Calibri"/>
      <family val="2"/>
      <scheme val="minor"/>
    </font>
    <font>
      <sz val="8"/>
      <color theme="1"/>
      <name val="Tahoma"/>
      <family val="2"/>
    </font>
    <font>
      <sz val="9"/>
      <color theme="1"/>
      <name val="Tahoma"/>
      <family val="2"/>
    </font>
    <font>
      <sz val="8"/>
      <color theme="1"/>
      <name val="Calibri"/>
      <family val="2"/>
      <scheme val="minor"/>
    </font>
    <font>
      <sz val="10"/>
      <color rgb="FF0066FF"/>
      <name val="Tahoma"/>
      <family val="2"/>
    </font>
    <font>
      <sz val="8"/>
      <color theme="1" tint="0.499984740745262"/>
      <name val="Tahoma"/>
      <family val="2"/>
    </font>
    <font>
      <b/>
      <i/>
      <sz val="18"/>
      <color theme="1" tint="0.34998626667073579"/>
      <name val="Arial Rounded MT Bold"/>
      <family val="2"/>
    </font>
    <font>
      <sz val="10"/>
      <color theme="1" tint="0.499984740745262"/>
      <name val="Arial"/>
      <family val="2"/>
    </font>
    <font>
      <b/>
      <sz val="10"/>
      <color theme="1" tint="0.499984740745262"/>
      <name val="Calibri"/>
      <family val="2"/>
      <scheme val="minor"/>
    </font>
    <font>
      <sz val="11"/>
      <color theme="1" tint="0.499984740745262"/>
      <name val="Calibri"/>
      <family val="2"/>
      <scheme val="minor"/>
    </font>
    <font>
      <b/>
      <sz val="9"/>
      <color theme="1" tint="0.499984740745262"/>
      <name val="Calibri"/>
      <family val="2"/>
      <scheme val="minor"/>
    </font>
    <font>
      <sz val="9"/>
      <color theme="1" tint="0.499984740745262"/>
      <name val="Tahoma"/>
      <family val="2"/>
    </font>
    <font>
      <sz val="12"/>
      <color theme="1" tint="0.499984740745262"/>
      <name val="Times New Roman"/>
      <family val="1"/>
    </font>
    <font>
      <sz val="11"/>
      <color rgb="FFFF0000"/>
      <name val="Calibri"/>
      <family val="2"/>
      <scheme val="minor"/>
    </font>
    <font>
      <sz val="12"/>
      <color rgb="FFFF0000"/>
      <name val="Times New Roman"/>
      <family val="1"/>
    </font>
    <font>
      <sz val="10"/>
      <color rgb="FFFF0000"/>
      <name val="Tahoma"/>
      <family val="2"/>
    </font>
    <font>
      <b/>
      <sz val="9"/>
      <color theme="1" tint="4.9989318521683403E-2"/>
      <name val="Tahoma"/>
      <family val="2"/>
    </font>
    <font>
      <b/>
      <sz val="11"/>
      <color theme="1"/>
      <name val="Calibri"/>
      <family val="2"/>
      <scheme val="minor"/>
    </font>
    <font>
      <b/>
      <sz val="10"/>
      <color theme="1" tint="0.34998626667073579"/>
      <name val="Calibri"/>
      <family val="2"/>
      <scheme val="minor"/>
    </font>
    <font>
      <sz val="10"/>
      <color theme="1" tint="0.34998626667073579"/>
      <name val="Calibri"/>
      <family val="2"/>
      <scheme val="minor"/>
    </font>
    <font>
      <b/>
      <sz val="12"/>
      <color theme="1" tint="0.34998626667073579"/>
      <name val="Tahoma"/>
      <family val="2"/>
    </font>
    <font>
      <b/>
      <i/>
      <u/>
      <sz val="14"/>
      <color theme="1" tint="0.34998626667073579"/>
      <name val="Calibri"/>
      <family val="2"/>
      <scheme val="minor"/>
    </font>
    <font>
      <sz val="10"/>
      <color rgb="FF0066FF"/>
      <name val="Calibri"/>
      <family val="2"/>
    </font>
    <font>
      <b/>
      <sz val="10"/>
      <color rgb="FF0066FF"/>
      <name val="Arial"/>
      <family val="2"/>
    </font>
    <font>
      <b/>
      <sz val="10"/>
      <color rgb="FF0066FF"/>
      <name val="Calibri"/>
      <family val="2"/>
      <scheme val="minor"/>
    </font>
    <font>
      <sz val="10"/>
      <color theme="1"/>
      <name val="Calibri"/>
      <family val="2"/>
      <scheme val="minor"/>
    </font>
    <font>
      <b/>
      <sz val="10"/>
      <color theme="1" tint="0.249977111117893"/>
      <name val="Calibri"/>
      <family val="2"/>
      <scheme val="minor"/>
    </font>
    <font>
      <b/>
      <i/>
      <sz val="12.5"/>
      <color theme="1" tint="0.34998626667073579"/>
      <name val="Calibri"/>
      <family val="2"/>
      <scheme val="minor"/>
    </font>
    <font>
      <b/>
      <sz val="8"/>
      <color theme="1" tint="0.249977111117893"/>
      <name val="Calibri"/>
      <family val="2"/>
      <scheme val="minor"/>
    </font>
    <font>
      <b/>
      <u/>
      <sz val="10"/>
      <color theme="1" tint="0.249977111117893"/>
      <name val="Calibri"/>
      <family val="2"/>
      <scheme val="minor"/>
    </font>
    <font>
      <b/>
      <sz val="9"/>
      <color rgb="FF0066FF"/>
      <name val="Arial"/>
      <family val="2"/>
    </font>
    <font>
      <b/>
      <sz val="9"/>
      <color theme="1" tint="0.34998626667073579"/>
      <name val="Arial"/>
      <family val="2"/>
    </font>
    <font>
      <sz val="11"/>
      <color theme="1" tint="4.9989318521683403E-2"/>
      <name val="Calibri"/>
      <family val="2"/>
      <scheme val="minor"/>
    </font>
    <font>
      <sz val="12"/>
      <color theme="1" tint="0.34998626667073579"/>
      <name val="Times New Roman"/>
      <family val="1"/>
    </font>
    <font>
      <sz val="11"/>
      <color theme="1" tint="0.34998626667073579"/>
      <name val="Calibri"/>
      <family val="2"/>
      <scheme val="minor"/>
    </font>
    <font>
      <sz val="11"/>
      <color theme="0"/>
      <name val="Calibri"/>
      <family val="2"/>
      <scheme val="minor"/>
    </font>
    <font>
      <sz val="14"/>
      <color theme="1" tint="0.249977111117893"/>
      <name val="Calibri"/>
      <family val="2"/>
      <scheme val="minor"/>
    </font>
    <font>
      <sz val="15"/>
      <color theme="1" tint="0.249977111117893"/>
      <name val="Calibri"/>
      <family val="2"/>
      <scheme val="minor"/>
    </font>
    <font>
      <b/>
      <sz val="10"/>
      <color theme="1" tint="0.249977111117893"/>
      <name val="Calibri"/>
      <family val="2"/>
    </font>
    <font>
      <b/>
      <sz val="11"/>
      <color theme="1" tint="0.34998626667073579"/>
      <name val="Calibri"/>
      <family val="2"/>
      <scheme val="minor"/>
    </font>
    <font>
      <b/>
      <sz val="11"/>
      <color theme="1" tint="0.249977111117893"/>
      <name val="Cambria"/>
      <family val="1"/>
      <scheme val="major"/>
    </font>
    <font>
      <b/>
      <sz val="12"/>
      <color theme="1" tint="0.249977111117893"/>
      <name val="Cambria"/>
      <family val="1"/>
      <scheme val="major"/>
    </font>
    <font>
      <b/>
      <sz val="10"/>
      <color theme="1" tint="0.249977111117893"/>
      <name val="Cambria"/>
      <family val="1"/>
      <scheme val="major"/>
    </font>
    <font>
      <b/>
      <sz val="9"/>
      <color theme="1" tint="0.249977111117893"/>
      <name val="Cambria"/>
      <family val="1"/>
      <scheme val="major"/>
    </font>
    <font>
      <b/>
      <sz val="11"/>
      <color theme="0"/>
      <name val="Calibri"/>
      <family val="2"/>
      <scheme val="minor"/>
    </font>
    <font>
      <u/>
      <sz val="12"/>
      <color theme="10"/>
      <name val="Calibri"/>
      <family val="2"/>
    </font>
    <font>
      <u/>
      <sz val="11"/>
      <color rgb="FF0066FF"/>
      <name val="Calibri"/>
      <family val="2"/>
    </font>
    <font>
      <b/>
      <sz val="11"/>
      <color theme="1" tint="0.499984740745262"/>
      <name val="Calibri"/>
      <family val="2"/>
      <scheme val="minor"/>
    </font>
    <font>
      <sz val="12"/>
      <color theme="1" tint="0.499984740745262"/>
      <name val="Calibri"/>
      <family val="2"/>
      <scheme val="minor"/>
    </font>
    <font>
      <sz val="12"/>
      <color theme="1" tint="0.499984740745262"/>
      <name val="Symbol"/>
      <family val="1"/>
      <charset val="2"/>
    </font>
    <font>
      <sz val="12"/>
      <color theme="1" tint="0.34998626667073579"/>
      <name val="Symbol"/>
      <family val="1"/>
      <charset val="2"/>
    </font>
    <font>
      <sz val="12"/>
      <color theme="1" tint="0.34998626667073579"/>
      <name val="Calibri"/>
      <family val="2"/>
      <scheme val="minor"/>
    </font>
    <font>
      <sz val="10"/>
      <name val="Arial"/>
      <family val="2"/>
    </font>
    <font>
      <sz val="11"/>
      <color indexed="8"/>
      <name val="Calibri"/>
      <family val="2"/>
    </font>
    <font>
      <b/>
      <i/>
      <sz val="18"/>
      <color theme="0"/>
      <name val="Calibri"/>
      <family val="2"/>
      <scheme val="minor"/>
    </font>
    <font>
      <b/>
      <i/>
      <sz val="16"/>
      <color theme="0"/>
      <name val="Calibri"/>
      <family val="2"/>
      <scheme val="minor"/>
    </font>
    <font>
      <b/>
      <sz val="10"/>
      <color rgb="FFFF0000"/>
      <name val="Calibri"/>
      <family val="2"/>
      <scheme val="minor"/>
    </font>
    <font>
      <sz val="10"/>
      <color rgb="FFFF0000"/>
      <name val="Calibri"/>
      <family val="2"/>
      <scheme val="minor"/>
    </font>
    <font>
      <b/>
      <i/>
      <sz val="18"/>
      <color theme="1" tint="0.499984740745262"/>
      <name val="Calibri"/>
      <family val="2"/>
      <scheme val="minor"/>
    </font>
    <font>
      <b/>
      <i/>
      <sz val="16"/>
      <color theme="1" tint="0.249977111117893"/>
      <name val="Calibri"/>
      <family val="2"/>
      <scheme val="minor"/>
    </font>
    <font>
      <b/>
      <sz val="15"/>
      <color theme="1" tint="0.34998626667073579"/>
      <name val="Calibri"/>
      <family val="2"/>
      <scheme val="minor"/>
    </font>
    <font>
      <b/>
      <sz val="11"/>
      <color theme="1" tint="4.9989318521683403E-2"/>
      <name val="Calibri"/>
      <family val="2"/>
      <scheme val="minor"/>
    </font>
    <font>
      <b/>
      <sz val="14"/>
      <color theme="1" tint="0.34998626667073579"/>
      <name val="Calibri"/>
      <family val="2"/>
      <scheme val="minor"/>
    </font>
    <font>
      <sz val="8"/>
      <color theme="1" tint="0.34998626667073579"/>
      <name val="Arial"/>
      <family val="2"/>
    </font>
    <font>
      <u/>
      <sz val="11"/>
      <color theme="1" tint="0.34998626667073579"/>
      <name val="Calibri"/>
      <family val="2"/>
    </font>
    <font>
      <b/>
      <sz val="9"/>
      <color rgb="FFFF0000"/>
      <name val="Arial"/>
      <family val="2"/>
    </font>
    <font>
      <b/>
      <sz val="9"/>
      <color rgb="FF0066FF"/>
      <name val="Calibri"/>
      <family val="2"/>
      <scheme val="minor"/>
    </font>
    <font>
      <b/>
      <sz val="9"/>
      <color theme="1" tint="0.34998626667073579"/>
      <name val="Calibri"/>
      <family val="2"/>
      <scheme val="minor"/>
    </font>
    <font>
      <sz val="8"/>
      <color theme="1" tint="0.249977111117893"/>
      <name val="Calibri"/>
      <family val="2"/>
      <scheme val="minor"/>
    </font>
    <font>
      <b/>
      <i/>
      <sz val="20"/>
      <color theme="1" tint="0.34998626667073579"/>
      <name val="Calibri"/>
      <family val="2"/>
      <scheme val="minor"/>
    </font>
    <font>
      <sz val="14"/>
      <color theme="0" tint="-4.9989318521683403E-2"/>
      <name val="Calibri"/>
      <family val="2"/>
    </font>
    <font>
      <sz val="14"/>
      <color theme="1" tint="0.499984740745262"/>
      <name val="Calibri"/>
      <family val="2"/>
    </font>
    <font>
      <u/>
      <sz val="14"/>
      <color theme="10"/>
      <name val="Calibri"/>
      <family val="2"/>
    </font>
    <font>
      <sz val="14"/>
      <color theme="1" tint="4.9989318521683403E-2"/>
      <name val="Calibri"/>
      <family val="2"/>
    </font>
    <font>
      <sz val="14"/>
      <color theme="4"/>
      <name val="Calibri"/>
      <family val="2"/>
      <scheme val="minor"/>
    </font>
    <font>
      <u/>
      <sz val="14"/>
      <color rgb="FF0033CC"/>
      <name val="Calibri"/>
      <family val="2"/>
      <scheme val="minor"/>
    </font>
    <font>
      <sz val="18"/>
      <color theme="1" tint="4.9989318521683403E-2"/>
      <name val="Calibri"/>
      <family val="2"/>
    </font>
    <font>
      <u/>
      <sz val="11"/>
      <color theme="0" tint="-0.14999847407452621"/>
      <name val="Calibri"/>
      <family val="2"/>
    </font>
    <font>
      <sz val="14"/>
      <color theme="1" tint="0.499984740745262"/>
      <name val="Calibri"/>
      <family val="2"/>
      <scheme val="minor"/>
    </font>
    <font>
      <b/>
      <sz val="18"/>
      <color theme="0"/>
      <name val="Calibri"/>
      <family val="2"/>
      <scheme val="minor"/>
    </font>
    <font>
      <u/>
      <sz val="11"/>
      <color theme="0"/>
      <name val="Calibri"/>
      <family val="2"/>
    </font>
    <font>
      <b/>
      <u/>
      <sz val="10"/>
      <color theme="1" tint="0.34998626667073579"/>
      <name val="Calibri"/>
      <family val="2"/>
      <scheme val="minor"/>
    </font>
    <font>
      <sz val="12"/>
      <color theme="1" tint="0.499984740745262"/>
      <name val="Corbel"/>
      <family val="2"/>
    </font>
    <font>
      <sz val="36"/>
      <color rgb="FFFCFCFC"/>
      <name val="Farm"/>
    </font>
    <font>
      <sz val="11"/>
      <color theme="1"/>
      <name val="Glyphyx Two NF"/>
      <family val="3"/>
    </font>
    <font>
      <sz val="11"/>
      <color rgb="FF0066FF"/>
      <name val="Calibri"/>
      <family val="2"/>
      <scheme val="minor"/>
    </font>
  </fonts>
  <fills count="9">
    <fill>
      <patternFill patternType="none"/>
    </fill>
    <fill>
      <patternFill patternType="gray125"/>
    </fill>
    <fill>
      <gradientFill type="path" top="1" bottom="1">
        <stop position="0">
          <color theme="0" tint="-0.25098422193060094"/>
        </stop>
        <stop position="1">
          <color theme="0" tint="-0.34900967436750391"/>
        </stop>
      </gradient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FCFCFC"/>
        <bgColor indexed="64"/>
      </patternFill>
    </fill>
    <fill>
      <gradientFill degree="90">
        <stop position="0">
          <color rgb="FF2F6EBB"/>
        </stop>
        <stop position="0.5">
          <color theme="4"/>
        </stop>
        <stop position="1">
          <color rgb="FF2F6EBB"/>
        </stop>
      </gradientFill>
    </fill>
  </fills>
  <borders count="43">
    <border>
      <left/>
      <right/>
      <top/>
      <bottom/>
      <diagonal/>
    </border>
    <border>
      <left style="thin">
        <color theme="1" tint="0.499984740745262"/>
      </left>
      <right/>
      <top/>
      <bottom/>
      <diagonal/>
    </border>
    <border>
      <left style="thin">
        <color theme="1" tint="0.499984740745262"/>
      </left>
      <right style="hair">
        <color theme="1" tint="0.14999847407452621"/>
      </right>
      <top/>
      <bottom style="hair">
        <color theme="1" tint="0.14999847407452621"/>
      </bottom>
      <diagonal/>
    </border>
    <border>
      <left/>
      <right style="thin">
        <color theme="1" tint="0.499984740745262"/>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tint="-0.34998626667073579"/>
      </bottom>
      <diagonal/>
    </border>
    <border>
      <left/>
      <right/>
      <top style="medium">
        <color theme="1" tint="0.499984740745262"/>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right/>
      <top style="hair">
        <color theme="1" tint="0.249977111117893"/>
      </top>
      <bottom/>
      <diagonal/>
    </border>
    <border>
      <left style="thin">
        <color theme="1" tint="0.249977111117893"/>
      </left>
      <right/>
      <top style="thin">
        <color theme="1" tint="0.249977111117893"/>
      </top>
      <bottom/>
      <diagonal/>
    </border>
    <border>
      <left/>
      <right/>
      <top style="thin">
        <color theme="1" tint="0.249977111117893"/>
      </top>
      <bottom/>
      <diagonal/>
    </border>
    <border>
      <left/>
      <right style="thin">
        <color theme="1" tint="0.249977111117893"/>
      </right>
      <top style="thin">
        <color theme="1" tint="0.249977111117893"/>
      </top>
      <bottom/>
      <diagonal/>
    </border>
    <border>
      <left style="thin">
        <color theme="1" tint="0.249977111117893"/>
      </left>
      <right/>
      <top/>
      <bottom/>
      <diagonal/>
    </border>
    <border>
      <left/>
      <right style="thin">
        <color theme="1" tint="0.249977111117893"/>
      </right>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499984740745262"/>
      </left>
      <right/>
      <top style="thin">
        <color theme="1" tint="0.499984740745262"/>
      </top>
      <bottom style="thin">
        <color theme="1" tint="0.499984740745262"/>
      </bottom>
      <diagonal/>
    </border>
    <border>
      <left/>
      <right style="hair">
        <color theme="1" tint="0.34998626667073579"/>
      </right>
      <top/>
      <bottom style="hair">
        <color theme="1" tint="0.249977111117893"/>
      </bottom>
      <diagonal/>
    </border>
    <border>
      <left/>
      <right/>
      <top/>
      <bottom style="hair">
        <color theme="1" tint="0.499984740745262"/>
      </bottom>
      <diagonal/>
    </border>
    <border>
      <left/>
      <right style="hair">
        <color theme="1" tint="0.499984740745262"/>
      </right>
      <top/>
      <bottom style="hair">
        <color theme="1" tint="0.499984740745262"/>
      </bottom>
      <diagonal/>
    </border>
    <border>
      <left/>
      <right style="hair">
        <color theme="1" tint="0.34998626667073579"/>
      </right>
      <top/>
      <bottom style="hair">
        <color theme="1"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s>
  <cellStyleXfs count="10">
    <xf numFmtId="0" fontId="0" fillId="0" borderId="0"/>
    <xf numFmtId="0" fontId="5" fillId="0" borderId="0" applyNumberFormat="0" applyFill="0" applyBorder="0" applyAlignment="0" applyProtection="0">
      <alignment vertical="top"/>
      <protection locked="0"/>
    </xf>
    <xf numFmtId="164" fontId="1" fillId="0" borderId="0" applyFont="0" applyFill="0" applyBorder="0" applyAlignment="0" applyProtection="0"/>
    <xf numFmtId="44" fontId="1" fillId="0" borderId="0" applyFont="0" applyFill="0" applyBorder="0" applyAlignment="0" applyProtection="0"/>
    <xf numFmtId="0" fontId="69" fillId="0" borderId="0"/>
    <xf numFmtId="0" fontId="70" fillId="0" borderId="0"/>
    <xf numFmtId="0" fontId="70" fillId="0" borderId="0"/>
    <xf numFmtId="9" fontId="69" fillId="0" borderId="0" applyFont="0" applyFill="0" applyBorder="0" applyAlignment="0" applyProtection="0"/>
    <xf numFmtId="165" fontId="70" fillId="0" borderId="0" applyFont="0" applyFill="0" applyBorder="0" applyAlignment="0" applyProtection="0"/>
    <xf numFmtId="165" fontId="69" fillId="0" borderId="0" applyFont="0" applyFill="0" applyBorder="0" applyAlignment="0" applyProtection="0"/>
  </cellStyleXfs>
  <cellXfs count="515">
    <xf numFmtId="0" fontId="0" fillId="0" borderId="0" xfId="0"/>
    <xf numFmtId="0" fontId="0" fillId="0" borderId="0" xfId="0" applyAlignment="1" applyProtection="1">
      <alignment horizontal="center" vertical="center"/>
      <protection hidden="1"/>
    </xf>
    <xf numFmtId="0" fontId="0" fillId="0" borderId="0" xfId="0" applyProtection="1">
      <protection hidden="1"/>
    </xf>
    <xf numFmtId="0" fontId="0" fillId="0" borderId="0" xfId="0" applyAlignment="1" applyProtection="1">
      <alignment horizontal="center"/>
      <protection hidden="1"/>
    </xf>
    <xf numFmtId="0" fontId="0" fillId="0" borderId="0" xfId="0" applyFill="1" applyProtection="1">
      <protection hidden="1"/>
    </xf>
    <xf numFmtId="0" fontId="6" fillId="0" borderId="0" xfId="0" applyFont="1" applyBorder="1" applyAlignment="1" applyProtection="1">
      <alignment shrinkToFit="1"/>
      <protection hidden="1"/>
    </xf>
    <xf numFmtId="0" fontId="0" fillId="3" borderId="0" xfId="0" applyFill="1" applyProtection="1">
      <protection hidden="1"/>
    </xf>
    <xf numFmtId="0" fontId="0" fillId="0" borderId="0" xfId="0" applyBorder="1" applyProtection="1">
      <protection hidden="1"/>
    </xf>
    <xf numFmtId="0" fontId="2" fillId="0" borderId="0" xfId="0" applyFont="1" applyFill="1" applyBorder="1" applyAlignment="1" applyProtection="1">
      <alignment horizontal="center" vertical="center" wrapText="1"/>
      <protection hidden="1"/>
    </xf>
    <xf numFmtId="0" fontId="12" fillId="0" borderId="0" xfId="0" applyFont="1" applyBorder="1" applyAlignment="1" applyProtection="1">
      <alignment horizontal="justify" vertical="center" wrapText="1"/>
      <protection hidden="1"/>
    </xf>
    <xf numFmtId="0" fontId="13" fillId="0" borderId="0" xfId="0" applyFont="1" applyBorder="1" applyAlignment="1" applyProtection="1">
      <alignment horizontal="center" vertical="center" wrapText="1"/>
      <protection hidden="1"/>
    </xf>
    <xf numFmtId="0" fontId="0" fillId="0" borderId="0" xfId="0" applyBorder="1" applyAlignment="1" applyProtection="1">
      <alignment horizontal="center" vertical="center"/>
      <protection hidden="1"/>
    </xf>
    <xf numFmtId="0" fontId="12" fillId="0" borderId="0" xfId="0" applyFont="1" applyBorder="1" applyAlignment="1" applyProtection="1">
      <alignment horizontal="justify" vertical="top" wrapText="1"/>
      <protection hidden="1"/>
    </xf>
    <xf numFmtId="0" fontId="0" fillId="0" borderId="0" xfId="0" applyFont="1" applyAlignment="1" applyProtection="1">
      <alignment horizontal="center" vertical="center"/>
      <protection hidden="1"/>
    </xf>
    <xf numFmtId="0" fontId="0" fillId="0" borderId="0" xfId="0" applyFont="1" applyProtection="1">
      <protection hidden="1"/>
    </xf>
    <xf numFmtId="0" fontId="0" fillId="0" borderId="0" xfId="0" applyFont="1" applyBorder="1" applyProtection="1">
      <protection hidden="1"/>
    </xf>
    <xf numFmtId="0" fontId="16" fillId="0" borderId="0" xfId="0" applyFont="1" applyBorder="1" applyAlignment="1" applyProtection="1">
      <alignment horizontal="center" vertical="center" wrapText="1"/>
      <protection hidden="1"/>
    </xf>
    <xf numFmtId="0" fontId="0" fillId="0" borderId="0" xfId="0" applyFont="1" applyBorder="1" applyAlignment="1" applyProtection="1">
      <alignment horizontal="center" vertical="center"/>
      <protection hidden="1"/>
    </xf>
    <xf numFmtId="0" fontId="0" fillId="0" borderId="0" xfId="0" applyBorder="1" applyAlignment="1" applyProtection="1">
      <protection hidden="1"/>
    </xf>
    <xf numFmtId="0" fontId="4" fillId="0" borderId="0" xfId="0" applyFont="1" applyBorder="1" applyAlignment="1" applyProtection="1">
      <alignment horizontal="justify" wrapText="1"/>
      <protection hidden="1"/>
    </xf>
    <xf numFmtId="0" fontId="4" fillId="0" borderId="0" xfId="0" applyFont="1" applyBorder="1" applyAlignment="1" applyProtection="1">
      <alignment horizontal="justify" vertical="top" wrapText="1"/>
      <protection hidden="1"/>
    </xf>
    <xf numFmtId="0" fontId="2" fillId="0" borderId="0" xfId="0" applyFont="1" applyBorder="1" applyAlignment="1" applyProtection="1">
      <alignment horizontal="center" vertical="center" wrapText="1"/>
      <protection hidden="1"/>
    </xf>
    <xf numFmtId="0" fontId="18" fillId="0" borderId="0" xfId="0" applyFont="1" applyBorder="1" applyAlignment="1" applyProtection="1">
      <alignment horizontal="right" vertical="top"/>
      <protection hidden="1"/>
    </xf>
    <xf numFmtId="0" fontId="19" fillId="0" borderId="0" xfId="0" applyFont="1" applyBorder="1" applyAlignment="1" applyProtection="1">
      <alignment horizontal="center" vertical="top" wrapText="1"/>
      <protection hidden="1"/>
    </xf>
    <xf numFmtId="0" fontId="19" fillId="0" borderId="0" xfId="0" applyFont="1" applyBorder="1" applyAlignment="1" applyProtection="1">
      <alignment horizontal="center" vertical="top"/>
      <protection hidden="1"/>
    </xf>
    <xf numFmtId="0" fontId="0" fillId="3" borderId="0" xfId="0" applyFill="1" applyAlignment="1" applyProtection="1">
      <alignment horizontal="center" vertical="center"/>
      <protection hidden="1"/>
    </xf>
    <xf numFmtId="0" fontId="12" fillId="3" borderId="0" xfId="0" applyFont="1" applyFill="1" applyBorder="1" applyAlignment="1" applyProtection="1">
      <alignment horizontal="justify" vertical="center" wrapText="1"/>
      <protection hidden="1"/>
    </xf>
    <xf numFmtId="0" fontId="2" fillId="3" borderId="0" xfId="0" applyFont="1" applyFill="1" applyBorder="1" applyAlignment="1" applyProtection="1">
      <alignment horizontal="center" vertical="center" wrapText="1"/>
      <protection hidden="1"/>
    </xf>
    <xf numFmtId="0" fontId="0" fillId="3" borderId="0" xfId="0" applyFill="1" applyBorder="1" applyProtection="1">
      <protection hidden="1"/>
    </xf>
    <xf numFmtId="0" fontId="11" fillId="0" borderId="0" xfId="0" applyFont="1" applyBorder="1" applyAlignment="1" applyProtection="1">
      <alignment vertical="center" wrapText="1"/>
      <protection hidden="1"/>
    </xf>
    <xf numFmtId="0" fontId="15" fillId="0" borderId="0" xfId="0" applyFont="1" applyBorder="1" applyAlignment="1" applyProtection="1">
      <alignment vertical="center"/>
      <protection hidden="1"/>
    </xf>
    <xf numFmtId="0" fontId="12" fillId="0" borderId="0" xfId="0" applyFont="1" applyBorder="1" applyAlignment="1" applyProtection="1">
      <alignment horizontal="left" vertical="center" wrapText="1"/>
      <protection hidden="1"/>
    </xf>
    <xf numFmtId="0" fontId="12" fillId="0" borderId="0" xfId="0" applyFont="1" applyBorder="1" applyAlignment="1" applyProtection="1">
      <alignment horizontal="left" wrapText="1"/>
      <protection hidden="1"/>
    </xf>
    <xf numFmtId="0" fontId="11" fillId="0" borderId="0" xfId="0" applyFont="1" applyBorder="1" applyAlignment="1" applyProtection="1">
      <alignment horizontal="left" vertical="center" wrapText="1"/>
      <protection hidden="1"/>
    </xf>
    <xf numFmtId="0" fontId="21" fillId="0" borderId="0" xfId="0" applyFont="1" applyBorder="1" applyAlignment="1" applyProtection="1">
      <alignment horizontal="justify" vertical="center" wrapText="1"/>
      <protection hidden="1"/>
    </xf>
    <xf numFmtId="0" fontId="21" fillId="3" borderId="0" xfId="1" applyFont="1" applyFill="1" applyBorder="1" applyAlignment="1" applyProtection="1">
      <alignment horizontal="justify" vertical="center" wrapText="1"/>
      <protection hidden="1"/>
    </xf>
    <xf numFmtId="0" fontId="21" fillId="0" borderId="0" xfId="0" applyFont="1" applyBorder="1" applyAlignment="1" applyProtection="1">
      <alignment horizontal="left" vertical="center" wrapText="1"/>
      <protection hidden="1"/>
    </xf>
    <xf numFmtId="0" fontId="21" fillId="0" borderId="0" xfId="0" applyFont="1" applyBorder="1" applyAlignment="1" applyProtection="1">
      <alignment horizontal="left" wrapText="1"/>
      <protection hidden="1"/>
    </xf>
    <xf numFmtId="0" fontId="21" fillId="0" borderId="0" xfId="1" applyFont="1" applyBorder="1" applyAlignment="1" applyProtection="1">
      <alignment horizontal="left" vertical="center" wrapText="1"/>
      <protection hidden="1"/>
    </xf>
    <xf numFmtId="0" fontId="21" fillId="0" borderId="0" xfId="0" applyFont="1" applyBorder="1" applyAlignment="1" applyProtection="1">
      <alignment horizontal="justify" wrapText="1"/>
      <protection hidden="1"/>
    </xf>
    <xf numFmtId="0" fontId="21" fillId="3" borderId="0" xfId="1" applyFont="1" applyFill="1" applyBorder="1" applyAlignment="1" applyProtection="1">
      <alignment horizontal="left" vertical="center" wrapText="1"/>
      <protection hidden="1"/>
    </xf>
    <xf numFmtId="0" fontId="0" fillId="3" borderId="0" xfId="0" applyFill="1" applyBorder="1" applyAlignment="1" applyProtection="1">
      <alignment horizontal="center" vertical="center"/>
      <protection hidden="1"/>
    </xf>
    <xf numFmtId="0" fontId="13" fillId="3" borderId="0" xfId="0" applyFont="1" applyFill="1" applyBorder="1" applyAlignment="1" applyProtection="1">
      <alignment horizontal="center" vertical="center" wrapText="1"/>
      <protection hidden="1"/>
    </xf>
    <xf numFmtId="0" fontId="10" fillId="3" borderId="0" xfId="0" applyFont="1" applyFill="1" applyAlignment="1" applyProtection="1">
      <alignment horizontal="left" vertical="center"/>
      <protection hidden="1"/>
    </xf>
    <xf numFmtId="0" fontId="22" fillId="0" borderId="0" xfId="0" applyFont="1" applyBorder="1" applyAlignment="1" applyProtection="1">
      <alignment horizontal="justify" vertical="top" wrapText="1"/>
      <protection hidden="1"/>
    </xf>
    <xf numFmtId="0" fontId="28" fillId="0" borderId="0" xfId="0" applyFont="1" applyBorder="1" applyAlignment="1" applyProtection="1">
      <alignment horizontal="center" vertical="top"/>
      <protection hidden="1"/>
    </xf>
    <xf numFmtId="0" fontId="29" fillId="0" borderId="0" xfId="0" applyFont="1" applyFill="1" applyBorder="1" applyAlignment="1" applyProtection="1">
      <alignment horizontal="center" vertical="center" wrapText="1"/>
      <protection hidden="1"/>
    </xf>
    <xf numFmtId="0" fontId="22" fillId="0" borderId="0" xfId="0" applyFont="1" applyBorder="1" applyAlignment="1" applyProtection="1">
      <alignment horizontal="right" vertical="top"/>
      <protection hidden="1"/>
    </xf>
    <xf numFmtId="0" fontId="28" fillId="0" borderId="0" xfId="0" applyFont="1" applyBorder="1" applyAlignment="1" applyProtection="1">
      <alignment horizontal="center" vertical="top" wrapText="1"/>
      <protection hidden="1"/>
    </xf>
    <xf numFmtId="0" fontId="26" fillId="0" borderId="0" xfId="0" applyFont="1" applyBorder="1" applyAlignment="1" applyProtection="1">
      <alignment horizontal="center" vertical="center"/>
      <protection hidden="1"/>
    </xf>
    <xf numFmtId="0" fontId="24" fillId="0" borderId="0" xfId="0" applyFont="1" applyBorder="1" applyAlignment="1" applyProtection="1">
      <alignment horizontal="justify" wrapText="1"/>
      <protection hidden="1"/>
    </xf>
    <xf numFmtId="0" fontId="24" fillId="0" borderId="0" xfId="0" applyFont="1" applyBorder="1" applyAlignment="1" applyProtection="1">
      <alignment horizontal="justify" vertical="top" wrapText="1"/>
      <protection hidden="1"/>
    </xf>
    <xf numFmtId="0" fontId="29" fillId="0" borderId="0" xfId="0" applyFont="1" applyBorder="1" applyAlignment="1" applyProtection="1">
      <alignment horizontal="center" vertical="center" wrapText="1"/>
      <protection hidden="1"/>
    </xf>
    <xf numFmtId="0" fontId="26" fillId="0" borderId="0" xfId="0" applyFont="1" applyBorder="1" applyProtection="1">
      <protection hidden="1"/>
    </xf>
    <xf numFmtId="0" fontId="26" fillId="0" borderId="0" xfId="0" applyFont="1" applyFill="1" applyBorder="1" applyProtection="1">
      <protection hidden="1"/>
    </xf>
    <xf numFmtId="0" fontId="0" fillId="3" borderId="0" xfId="0" applyFont="1" applyFill="1" applyProtection="1">
      <protection hidden="1"/>
    </xf>
    <xf numFmtId="0" fontId="0" fillId="3" borderId="0" xfId="0" applyFont="1" applyFill="1" applyAlignment="1" applyProtection="1">
      <alignment horizontal="center" vertical="center"/>
      <protection hidden="1"/>
    </xf>
    <xf numFmtId="0" fontId="9" fillId="3" borderId="0" xfId="0" applyFont="1" applyFill="1" applyAlignment="1" applyProtection="1">
      <alignment vertical="center"/>
      <protection hidden="1"/>
    </xf>
    <xf numFmtId="0" fontId="30" fillId="0" borderId="0" xfId="0" applyFont="1" applyAlignment="1" applyProtection="1">
      <alignment horizontal="center" vertical="center"/>
      <protection hidden="1"/>
    </xf>
    <xf numFmtId="0" fontId="30" fillId="0" borderId="0" xfId="0" applyFont="1" applyProtection="1">
      <protection hidden="1"/>
    </xf>
    <xf numFmtId="0" fontId="31" fillId="0" borderId="0" xfId="0" applyFont="1" applyFill="1" applyBorder="1" applyAlignment="1" applyProtection="1">
      <alignment horizontal="center" vertical="center" wrapText="1"/>
      <protection hidden="1"/>
    </xf>
    <xf numFmtId="0" fontId="30" fillId="0" borderId="0" xfId="0" applyFont="1" applyBorder="1" applyProtection="1">
      <protection hidden="1"/>
    </xf>
    <xf numFmtId="0" fontId="32" fillId="0" borderId="0" xfId="0" applyFont="1" applyBorder="1" applyAlignment="1" applyProtection="1">
      <alignment horizontal="justify" vertical="top" wrapText="1"/>
      <protection hidden="1"/>
    </xf>
    <xf numFmtId="0" fontId="5" fillId="0" borderId="0" xfId="1" applyBorder="1" applyAlignment="1" applyProtection="1">
      <alignment horizontal="justify" vertical="top" wrapText="1"/>
      <protection hidden="1"/>
    </xf>
    <xf numFmtId="0" fontId="5" fillId="0" borderId="0" xfId="1" applyBorder="1" applyAlignment="1" applyProtection="1">
      <alignment horizontal="center" vertical="center" wrapText="1"/>
      <protection hidden="1"/>
    </xf>
    <xf numFmtId="0" fontId="5" fillId="0" borderId="0" xfId="1" applyFill="1" applyBorder="1" applyAlignment="1" applyProtection="1">
      <alignment horizontal="center" vertical="center" wrapText="1"/>
      <protection hidden="1"/>
    </xf>
    <xf numFmtId="0" fontId="26" fillId="0" borderId="0" xfId="0" applyFont="1" applyBorder="1" applyAlignment="1"/>
    <xf numFmtId="0" fontId="28" fillId="0" borderId="0" xfId="0" applyFont="1" applyBorder="1" applyAlignment="1" applyProtection="1">
      <alignment vertical="top" shrinkToFit="1"/>
      <protection hidden="1"/>
    </xf>
    <xf numFmtId="0" fontId="14" fillId="0" borderId="0" xfId="0" applyFont="1" applyBorder="1" applyAlignment="1" applyProtection="1">
      <alignment horizontal="center" vertical="center" wrapText="1"/>
      <protection hidden="1"/>
    </xf>
    <xf numFmtId="0" fontId="36" fillId="0" borderId="0" xfId="0" applyFont="1" applyBorder="1" applyAlignment="1" applyProtection="1">
      <alignment horizontal="center" vertical="center" wrapText="1"/>
      <protection hidden="1"/>
    </xf>
    <xf numFmtId="0" fontId="36" fillId="0" borderId="1" xfId="0" applyFont="1" applyBorder="1" applyAlignment="1" applyProtection="1">
      <alignment horizontal="center" vertical="center" wrapText="1"/>
      <protection hidden="1"/>
    </xf>
    <xf numFmtId="0" fontId="35" fillId="0" borderId="2" xfId="0" applyFont="1" applyBorder="1" applyAlignment="1" applyProtection="1">
      <alignment horizontal="center" vertical="center" wrapText="1"/>
      <protection hidden="1"/>
    </xf>
    <xf numFmtId="0" fontId="35" fillId="0" borderId="1" xfId="0" applyFont="1" applyBorder="1" applyAlignment="1" applyProtection="1">
      <alignment horizontal="center" vertical="center" wrapText="1"/>
      <protection hidden="1"/>
    </xf>
    <xf numFmtId="0" fontId="35" fillId="3" borderId="1" xfId="0" applyFont="1" applyFill="1" applyBorder="1" applyAlignment="1" applyProtection="1">
      <alignment horizontal="center" vertical="center" wrapText="1"/>
      <protection hidden="1"/>
    </xf>
    <xf numFmtId="0" fontId="35" fillId="0" borderId="1" xfId="0" applyFont="1" applyBorder="1" applyAlignment="1" applyProtection="1">
      <alignment vertical="center" wrapText="1"/>
      <protection hidden="1"/>
    </xf>
    <xf numFmtId="1" fontId="0" fillId="0" borderId="0" xfId="0" applyNumberFormat="1" applyFont="1" applyFill="1" applyAlignment="1" applyProtection="1">
      <alignment horizontal="center" vertical="center"/>
      <protection hidden="1"/>
    </xf>
    <xf numFmtId="0" fontId="34" fillId="4" borderId="0" xfId="0" applyFont="1" applyFill="1" applyProtection="1">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0" xfId="0" applyAlignment="1" applyProtection="1">
      <alignment horizontal="center" vertical="center"/>
      <protection hidden="1"/>
    </xf>
    <xf numFmtId="0" fontId="0" fillId="3" borderId="4" xfId="0" applyFill="1" applyBorder="1" applyAlignment="1" applyProtection="1">
      <alignment horizontal="center" vertical="center"/>
      <protection hidden="1"/>
    </xf>
    <xf numFmtId="0" fontId="30" fillId="3" borderId="4" xfId="0" applyFont="1" applyFill="1" applyBorder="1" applyAlignment="1" applyProtection="1">
      <alignment horizontal="center" vertical="center"/>
      <protection hidden="1"/>
    </xf>
    <xf numFmtId="0" fontId="19" fillId="0" borderId="5" xfId="0" applyFont="1" applyBorder="1" applyAlignment="1" applyProtection="1">
      <alignment horizontal="center" vertical="top" wrapText="1"/>
      <protection hidden="1"/>
    </xf>
    <xf numFmtId="0" fontId="19" fillId="0" borderId="6" xfId="0" applyFont="1" applyBorder="1" applyAlignment="1" applyProtection="1">
      <alignment horizontal="center" vertical="top" wrapText="1"/>
      <protection hidden="1"/>
    </xf>
    <xf numFmtId="0" fontId="18" fillId="0" borderId="6" xfId="0" applyFont="1" applyBorder="1" applyAlignment="1" applyProtection="1">
      <alignment horizontal="right" vertical="top"/>
      <protection hidden="1"/>
    </xf>
    <xf numFmtId="0" fontId="19" fillId="0" borderId="6" xfId="0" applyFont="1" applyBorder="1" applyAlignment="1" applyProtection="1">
      <alignment horizontal="center" vertical="top"/>
      <protection hidden="1"/>
    </xf>
    <xf numFmtId="0" fontId="2" fillId="0" borderId="6" xfId="0" applyFont="1" applyFill="1" applyBorder="1" applyAlignment="1" applyProtection="1">
      <alignment horizontal="center" vertical="center" wrapText="1"/>
      <protection hidden="1"/>
    </xf>
    <xf numFmtId="0" fontId="27" fillId="0" borderId="1" xfId="0" applyFont="1" applyBorder="1" applyAlignment="1" applyProtection="1">
      <alignment vertical="top"/>
      <protection hidden="1"/>
    </xf>
    <xf numFmtId="0" fontId="28" fillId="0" borderId="8" xfId="0" applyFont="1" applyBorder="1" applyAlignment="1" applyProtection="1">
      <alignment horizontal="center" vertical="top" wrapText="1"/>
      <protection hidden="1"/>
    </xf>
    <xf numFmtId="0" fontId="28" fillId="0" borderId="9" xfId="0" applyFont="1" applyBorder="1" applyAlignment="1" applyProtection="1">
      <alignment horizontal="center" vertical="top" wrapText="1"/>
      <protection hidden="1"/>
    </xf>
    <xf numFmtId="0" fontId="22" fillId="0" borderId="9" xfId="0" applyFont="1" applyBorder="1" applyAlignment="1" applyProtection="1">
      <alignment horizontal="right" vertical="top"/>
      <protection hidden="1"/>
    </xf>
    <xf numFmtId="0" fontId="28" fillId="0" borderId="9" xfId="0" applyFont="1" applyBorder="1" applyAlignment="1" applyProtection="1">
      <alignment horizontal="center" vertical="top"/>
      <protection hidden="1"/>
    </xf>
    <xf numFmtId="0" fontId="29" fillId="0" borderId="9" xfId="0" applyFont="1" applyFill="1" applyBorder="1" applyAlignment="1" applyProtection="1">
      <alignment horizontal="center" vertical="center" wrapText="1"/>
      <protection hidden="1"/>
    </xf>
    <xf numFmtId="0" fontId="0" fillId="0" borderId="6" xfId="0" applyBorder="1" applyAlignment="1" applyProtection="1">
      <protection hidden="1"/>
    </xf>
    <xf numFmtId="0" fontId="4" fillId="0" borderId="6" xfId="0" applyFont="1" applyBorder="1" applyAlignment="1" applyProtection="1">
      <alignment horizontal="justify" wrapText="1"/>
      <protection hidden="1"/>
    </xf>
    <xf numFmtId="0" fontId="4" fillId="0" borderId="6" xfId="0" applyFont="1" applyBorder="1" applyAlignment="1" applyProtection="1">
      <alignment horizontal="justify" vertical="top" wrapText="1"/>
      <protection hidden="1"/>
    </xf>
    <xf numFmtId="0" fontId="2" fillId="0" borderId="6" xfId="0" applyFont="1" applyBorder="1" applyAlignment="1" applyProtection="1">
      <alignment horizontal="center" vertical="center" wrapText="1"/>
      <protection hidden="1"/>
    </xf>
    <xf numFmtId="0" fontId="0" fillId="0" borderId="6" xfId="0" applyBorder="1" applyAlignment="1" applyProtection="1">
      <alignment horizontal="center" vertical="center"/>
      <protection hidden="1"/>
    </xf>
    <xf numFmtId="0" fontId="0" fillId="0" borderId="6" xfId="0" applyBorder="1" applyProtection="1">
      <protection hidden="1"/>
    </xf>
    <xf numFmtId="0" fontId="0" fillId="0" borderId="0" xfId="0" applyFill="1" applyBorder="1" applyProtection="1">
      <protection hidden="1"/>
    </xf>
    <xf numFmtId="0" fontId="0" fillId="0" borderId="9" xfId="0" applyBorder="1" applyProtection="1">
      <protection hidden="1"/>
    </xf>
    <xf numFmtId="0" fontId="28" fillId="0" borderId="5" xfId="0" applyFont="1" applyBorder="1" applyAlignment="1" applyProtection="1">
      <alignment horizontal="center" vertical="top" wrapText="1"/>
      <protection hidden="1"/>
    </xf>
    <xf numFmtId="0" fontId="28" fillId="0" borderId="6" xfId="0" applyFont="1" applyBorder="1" applyAlignment="1" applyProtection="1">
      <alignment horizontal="center" vertical="top" wrapText="1"/>
      <protection hidden="1"/>
    </xf>
    <xf numFmtId="0" fontId="22" fillId="0" borderId="6" xfId="0" applyFont="1" applyBorder="1" applyAlignment="1" applyProtection="1">
      <alignment horizontal="right" vertical="top"/>
      <protection hidden="1"/>
    </xf>
    <xf numFmtId="0" fontId="28" fillId="0" borderId="7" xfId="0" applyFont="1" applyBorder="1" applyAlignment="1" applyProtection="1">
      <alignment horizontal="center" vertical="top"/>
      <protection hidden="1"/>
    </xf>
    <xf numFmtId="0" fontId="24" fillId="0" borderId="1" xfId="0" applyFont="1" applyBorder="1" applyAlignment="1" applyProtection="1">
      <alignment horizontal="justify" wrapText="1"/>
      <protection hidden="1"/>
    </xf>
    <xf numFmtId="0" fontId="24" fillId="0" borderId="3" xfId="0" applyFont="1" applyBorder="1" applyAlignment="1" applyProtection="1">
      <alignment horizontal="justify" wrapText="1"/>
      <protection hidden="1"/>
    </xf>
    <xf numFmtId="0" fontId="24" fillId="0" borderId="1" xfId="0" applyFont="1" applyBorder="1" applyAlignment="1" applyProtection="1">
      <alignment horizontal="justify" vertical="top" wrapText="1"/>
      <protection hidden="1"/>
    </xf>
    <xf numFmtId="0" fontId="24" fillId="0" borderId="8" xfId="0" applyFont="1" applyBorder="1" applyAlignment="1" applyProtection="1">
      <alignment horizontal="justify" vertical="top" wrapText="1"/>
      <protection hidden="1"/>
    </xf>
    <xf numFmtId="0" fontId="24" fillId="0" borderId="9" xfId="0" applyFont="1" applyBorder="1" applyAlignment="1" applyProtection="1">
      <alignment horizontal="justify" vertical="top" wrapText="1"/>
      <protection hidden="1"/>
    </xf>
    <xf numFmtId="0" fontId="24" fillId="0" borderId="10" xfId="0" applyFont="1" applyBorder="1" applyAlignment="1" applyProtection="1">
      <alignment horizontal="justify" vertical="top" wrapText="1"/>
      <protection hidden="1"/>
    </xf>
    <xf numFmtId="0" fontId="28" fillId="0" borderId="5" xfId="0" applyFont="1" applyBorder="1" applyAlignment="1" applyProtection="1">
      <alignment horizontal="center" vertical="top"/>
      <protection hidden="1"/>
    </xf>
    <xf numFmtId="0" fontId="28" fillId="0" borderId="6" xfId="0" applyFont="1" applyBorder="1" applyAlignment="1" applyProtection="1">
      <alignment horizontal="center" vertical="top"/>
      <protection hidden="1"/>
    </xf>
    <xf numFmtId="0" fontId="29" fillId="0" borderId="6" xfId="0" applyFont="1" applyFill="1" applyBorder="1" applyAlignment="1" applyProtection="1">
      <alignment horizontal="center" vertical="center" wrapText="1"/>
      <protection hidden="1"/>
    </xf>
    <xf numFmtId="0" fontId="26" fillId="0" borderId="1" xfId="0" applyFont="1" applyBorder="1" applyProtection="1">
      <protection hidden="1"/>
    </xf>
    <xf numFmtId="0" fontId="29" fillId="0" borderId="9" xfId="0" applyFont="1" applyBorder="1" applyAlignment="1" applyProtection="1">
      <alignment horizontal="center" vertical="center" wrapText="1"/>
      <protection hidden="1"/>
    </xf>
    <xf numFmtId="0" fontId="0" fillId="0" borderId="0" xfId="0" applyAlignment="1" applyProtection="1">
      <alignment horizontal="center" vertical="center"/>
      <protection hidden="1"/>
    </xf>
    <xf numFmtId="0" fontId="0" fillId="0" borderId="0" xfId="0"/>
    <xf numFmtId="0" fontId="0" fillId="0" borderId="0" xfId="0" applyAlignment="1" applyProtection="1">
      <alignment horizontal="center" vertical="center"/>
      <protection hidden="1"/>
    </xf>
    <xf numFmtId="0" fontId="0" fillId="0" borderId="0" xfId="0" applyAlignment="1"/>
    <xf numFmtId="0" fontId="0" fillId="0" borderId="0" xfId="0"/>
    <xf numFmtId="0" fontId="4" fillId="0" borderId="0" xfId="0" applyFont="1" applyBorder="1" applyAlignment="1" applyProtection="1">
      <alignment horizontal="center" vertical="center" wrapText="1"/>
      <protection hidden="1"/>
    </xf>
    <xf numFmtId="0" fontId="23" fillId="0" borderId="0" xfId="0" applyFont="1" applyBorder="1" applyAlignment="1" applyProtection="1">
      <alignment shrinkToFit="1"/>
      <protection hidden="1"/>
    </xf>
    <xf numFmtId="0" fontId="0" fillId="0" borderId="0" xfId="0" applyAlignment="1" applyProtection="1">
      <alignment horizontal="center" vertical="center"/>
      <protection hidden="1"/>
    </xf>
    <xf numFmtId="0" fontId="0" fillId="0" borderId="0" xfId="0" applyBorder="1" applyAlignment="1" applyProtection="1">
      <alignment horizontal="center" vertical="center"/>
      <protection hidden="1"/>
    </xf>
    <xf numFmtId="0" fontId="6" fillId="0" borderId="0" xfId="0" applyFont="1" applyBorder="1" applyAlignment="1" applyProtection="1">
      <alignment vertical="top" shrinkToFit="1"/>
      <protection hidden="1"/>
    </xf>
    <xf numFmtId="0" fontId="0" fillId="0" borderId="0" xfId="0" applyAlignment="1">
      <alignment vertical="top" shrinkToFit="1"/>
    </xf>
    <xf numFmtId="0" fontId="7" fillId="0" borderId="0" xfId="0" applyFont="1" applyBorder="1" applyAlignment="1" applyProtection="1">
      <protection hidden="1"/>
    </xf>
    <xf numFmtId="0" fontId="0" fillId="0" borderId="0" xfId="0" applyBorder="1"/>
    <xf numFmtId="0" fontId="40" fillId="0" borderId="0" xfId="0" applyFont="1" applyBorder="1" applyAlignment="1" applyProtection="1">
      <alignment vertical="center" wrapText="1"/>
      <protection hidden="1"/>
    </xf>
    <xf numFmtId="0" fontId="41" fillId="0" borderId="0" xfId="0" applyFont="1" applyBorder="1" applyAlignment="1" applyProtection="1">
      <alignment horizontal="left" vertical="center"/>
      <protection hidden="1"/>
    </xf>
    <xf numFmtId="0" fontId="40" fillId="0" borderId="0" xfId="0" applyFont="1" applyBorder="1" applyAlignment="1" applyProtection="1">
      <alignment horizontal="left" vertical="center" wrapText="1"/>
      <protection hidden="1"/>
    </xf>
    <xf numFmtId="0" fontId="42" fillId="0" borderId="0" xfId="0" applyFont="1" applyBorder="1"/>
    <xf numFmtId="0" fontId="43" fillId="0" borderId="0" xfId="0" applyFont="1" applyBorder="1" applyAlignment="1" applyProtection="1">
      <alignment horizontal="center" vertical="center" wrapText="1"/>
      <protection hidden="1"/>
    </xf>
    <xf numFmtId="0" fontId="39" fillId="0" borderId="0" xfId="1" applyFont="1" applyBorder="1" applyAlignment="1" applyProtection="1">
      <alignment horizontal="left" wrapText="1"/>
      <protection hidden="1"/>
    </xf>
    <xf numFmtId="0" fontId="4" fillId="0" borderId="0" xfId="0" applyFont="1" applyBorder="1" applyAlignment="1" applyProtection="1">
      <alignment horizontal="center" wrapText="1"/>
      <protection hidden="1"/>
    </xf>
    <xf numFmtId="0" fontId="0" fillId="0" borderId="0" xfId="0" quotePrefix="1" applyAlignment="1">
      <alignment horizontal="center" vertical="center"/>
    </xf>
    <xf numFmtId="0" fontId="8" fillId="0" borderId="0" xfId="0" applyFont="1" applyBorder="1" applyAlignment="1" applyProtection="1">
      <alignment horizontal="left"/>
      <protection hidden="1"/>
    </xf>
    <xf numFmtId="0" fontId="34" fillId="0" borderId="0" xfId="0" applyFont="1" applyBorder="1" applyProtection="1">
      <protection hidden="1"/>
    </xf>
    <xf numFmtId="0" fontId="45" fillId="0" borderId="12" xfId="0" applyFont="1" applyBorder="1" applyAlignment="1" applyProtection="1">
      <alignment horizontal="left"/>
      <protection hidden="1"/>
    </xf>
    <xf numFmtId="0" fontId="45" fillId="0" borderId="12" xfId="0" applyFont="1" applyBorder="1" applyAlignment="1" applyProtection="1">
      <alignment horizontal="left" vertical="top"/>
      <protection hidden="1"/>
    </xf>
    <xf numFmtId="0" fontId="45" fillId="0" borderId="12" xfId="0" applyFont="1" applyBorder="1" applyAlignment="1" applyProtection="1">
      <protection hidden="1"/>
    </xf>
    <xf numFmtId="0" fontId="33" fillId="0" borderId="14" xfId="1" applyFont="1" applyBorder="1" applyAlignment="1" applyProtection="1">
      <alignment horizontal="justify" vertical="top" wrapText="1"/>
      <protection hidden="1"/>
    </xf>
    <xf numFmtId="0" fontId="33" fillId="0" borderId="14" xfId="1" applyFont="1" applyBorder="1" applyAlignment="1" applyProtection="1">
      <alignment horizontal="center" vertical="center" wrapText="1"/>
      <protection hidden="1"/>
    </xf>
    <xf numFmtId="0" fontId="2" fillId="0" borderId="14" xfId="0" applyFont="1" applyFill="1" applyBorder="1" applyAlignment="1" applyProtection="1">
      <alignment horizontal="center" vertical="center" wrapText="1"/>
      <protection hidden="1"/>
    </xf>
    <xf numFmtId="0" fontId="0" fillId="0" borderId="14" xfId="0" quotePrefix="1" applyBorder="1" applyAlignment="1">
      <alignment horizontal="center" vertical="center"/>
    </xf>
    <xf numFmtId="0" fontId="0" fillId="0" borderId="14" xfId="0" applyBorder="1" applyProtection="1">
      <protection hidden="1"/>
    </xf>
    <xf numFmtId="0" fontId="46" fillId="0" borderId="0" xfId="0" applyFont="1" applyBorder="1" applyProtection="1">
      <protection hidden="1"/>
    </xf>
    <xf numFmtId="0" fontId="46" fillId="0" borderId="0" xfId="0" applyFont="1" applyBorder="1" applyAlignment="1" applyProtection="1">
      <alignment horizontal="center" vertical="center"/>
      <protection hidden="1"/>
    </xf>
    <xf numFmtId="0" fontId="46" fillId="0" borderId="0" xfId="0" applyFont="1" applyFill="1" applyBorder="1" applyAlignment="1" applyProtection="1">
      <alignment horizontal="center" vertical="center"/>
      <protection hidden="1"/>
    </xf>
    <xf numFmtId="0" fontId="0" fillId="0" borderId="0" xfId="0" quotePrefix="1" applyProtection="1">
      <protection hidden="1"/>
    </xf>
    <xf numFmtId="0" fontId="26" fillId="0" borderId="9" xfId="0" applyFont="1" applyBorder="1" applyAlignment="1" applyProtection="1">
      <alignment horizontal="center" vertical="center"/>
      <protection hidden="1"/>
    </xf>
    <xf numFmtId="0" fontId="26" fillId="0" borderId="6" xfId="0" applyFont="1" applyBorder="1" applyAlignment="1" applyProtection="1">
      <alignment horizontal="center" vertical="center"/>
      <protection hidden="1"/>
    </xf>
    <xf numFmtId="0" fontId="0" fillId="0" borderId="7" xfId="0" applyBorder="1" applyProtection="1">
      <protection hidden="1"/>
    </xf>
    <xf numFmtId="0" fontId="0" fillId="0" borderId="3" xfId="0" applyBorder="1" applyProtection="1">
      <protection hidden="1"/>
    </xf>
    <xf numFmtId="0" fontId="0" fillId="0" borderId="10" xfId="0" applyBorder="1" applyProtection="1">
      <protection hidden="1"/>
    </xf>
    <xf numFmtId="0" fontId="0" fillId="0" borderId="15" xfId="0" applyBorder="1" applyAlignment="1" applyProtection="1">
      <alignment horizontal="center" vertical="center"/>
      <protection locked="0" hidden="1"/>
    </xf>
    <xf numFmtId="0" fontId="35" fillId="0" borderId="0" xfId="0" applyFont="1" applyBorder="1" applyAlignment="1" applyProtection="1">
      <alignment vertical="center" wrapText="1"/>
      <protection hidden="1"/>
    </xf>
    <xf numFmtId="0" fontId="47" fillId="0" borderId="0" xfId="0" applyFont="1" applyBorder="1" applyAlignment="1" applyProtection="1">
      <alignment vertical="center" wrapText="1"/>
      <protection hidden="1"/>
    </xf>
    <xf numFmtId="0" fontId="48" fillId="0" borderId="0" xfId="0" applyFont="1" applyBorder="1" applyAlignment="1" applyProtection="1">
      <alignment vertical="center" wrapText="1"/>
      <protection hidden="1"/>
    </xf>
    <xf numFmtId="0" fontId="49" fillId="0" borderId="0" xfId="0" applyFont="1" applyAlignment="1" applyProtection="1">
      <alignment horizontal="center" vertical="center"/>
      <protection hidden="1"/>
    </xf>
    <xf numFmtId="0" fontId="49" fillId="0" borderId="0" xfId="0" applyFont="1" applyProtection="1">
      <protection hidden="1"/>
    </xf>
    <xf numFmtId="0" fontId="50" fillId="0" borderId="0" xfId="0" applyFont="1" applyFill="1" applyBorder="1" applyAlignment="1" applyProtection="1">
      <alignment horizontal="center" vertical="center" wrapText="1"/>
      <protection hidden="1"/>
    </xf>
    <xf numFmtId="0" fontId="32" fillId="0" borderId="0" xfId="0" applyFont="1" applyBorder="1" applyAlignment="1" applyProtection="1">
      <alignment horizontal="left" vertical="center" wrapText="1"/>
      <protection hidden="1"/>
    </xf>
    <xf numFmtId="0" fontId="37" fillId="0" borderId="0" xfId="0" applyFont="1" applyBorder="1" applyAlignment="1" applyProtection="1">
      <alignment horizontal="center" vertical="center" wrapText="1"/>
      <protection hidden="1"/>
    </xf>
    <xf numFmtId="0" fontId="51" fillId="0" borderId="0" xfId="0" applyFont="1" applyBorder="1" applyAlignment="1" applyProtection="1">
      <alignment horizontal="center" vertical="center"/>
      <protection hidden="1"/>
    </xf>
    <xf numFmtId="0" fontId="51" fillId="0" borderId="15" xfId="0" applyFont="1" applyBorder="1" applyAlignment="1" applyProtection="1">
      <alignment horizontal="center" vertical="center"/>
      <protection locked="0" hidden="1"/>
    </xf>
    <xf numFmtId="0" fontId="35" fillId="3" borderId="0" xfId="0" applyFont="1" applyFill="1" applyBorder="1" applyAlignment="1" applyProtection="1">
      <alignment horizontal="center" vertical="center" wrapText="1"/>
      <protection hidden="1"/>
    </xf>
    <xf numFmtId="0" fontId="37" fillId="3" borderId="0" xfId="0" applyFont="1" applyFill="1" applyBorder="1" applyAlignment="1" applyProtection="1">
      <alignment horizontal="center" vertical="center" wrapText="1"/>
      <protection hidden="1"/>
    </xf>
    <xf numFmtId="0" fontId="50" fillId="3" borderId="0" xfId="0" applyFont="1" applyFill="1" applyBorder="1" applyAlignment="1" applyProtection="1">
      <alignment horizontal="center" vertical="center" wrapText="1"/>
      <protection hidden="1"/>
    </xf>
    <xf numFmtId="0" fontId="51" fillId="3" borderId="0" xfId="0" applyFont="1" applyFill="1" applyBorder="1" applyAlignment="1" applyProtection="1">
      <alignment horizontal="center" vertical="center"/>
      <protection hidden="1"/>
    </xf>
    <xf numFmtId="0" fontId="49" fillId="3" borderId="0" xfId="0" applyFont="1" applyFill="1" applyProtection="1">
      <protection hidden="1"/>
    </xf>
    <xf numFmtId="0" fontId="49" fillId="3" borderId="0" xfId="0" applyFont="1" applyFill="1" applyAlignment="1" applyProtection="1">
      <alignment horizontal="center" vertical="center"/>
      <protection hidden="1"/>
    </xf>
    <xf numFmtId="0" fontId="47" fillId="0" borderId="0" xfId="0" applyFont="1" applyBorder="1" applyAlignment="1" applyProtection="1">
      <alignment horizontal="left" vertical="center" wrapText="1"/>
      <protection hidden="1"/>
    </xf>
    <xf numFmtId="0" fontId="48" fillId="0" borderId="0" xfId="0" applyFont="1" applyBorder="1" applyAlignment="1" applyProtection="1">
      <alignment horizontal="left" vertical="center" wrapText="1"/>
      <protection hidden="1"/>
    </xf>
    <xf numFmtId="0" fontId="0" fillId="0" borderId="0" xfId="0" applyBorder="1" applyAlignment="1" applyProtection="1">
      <alignment horizontal="center" vertical="center"/>
      <protection hidden="1"/>
    </xf>
    <xf numFmtId="0" fontId="0" fillId="0" borderId="0" xfId="0" applyAlignment="1" applyProtection="1">
      <alignment horizontal="center" vertical="center"/>
      <protection hidden="1"/>
    </xf>
    <xf numFmtId="0" fontId="0" fillId="0" borderId="0" xfId="0" applyAlignment="1" applyProtection="1">
      <alignment horizontal="center" vertical="center"/>
      <protection hidden="1"/>
    </xf>
    <xf numFmtId="0" fontId="0" fillId="0" borderId="0" xfId="0" applyBorder="1" applyAlignment="1" applyProtection="1">
      <alignment horizontal="center" vertical="center"/>
      <protection hidden="1"/>
    </xf>
    <xf numFmtId="0" fontId="21" fillId="0" borderId="14" xfId="0" applyFont="1" applyBorder="1" applyAlignment="1" applyProtection="1">
      <alignment horizontal="left" vertical="center" wrapText="1"/>
      <protection hidden="1"/>
    </xf>
    <xf numFmtId="0" fontId="21" fillId="0" borderId="14" xfId="0" applyFont="1" applyBorder="1" applyAlignment="1" applyProtection="1">
      <alignment horizontal="left" wrapText="1"/>
      <protection hidden="1"/>
    </xf>
    <xf numFmtId="0" fontId="12" fillId="0" borderId="14" xfId="0" applyFont="1" applyBorder="1" applyAlignment="1" applyProtection="1">
      <alignment horizontal="justify" vertical="top" wrapText="1"/>
      <protection hidden="1"/>
    </xf>
    <xf numFmtId="0" fontId="13" fillId="0" borderId="14" xfId="0" applyFont="1" applyBorder="1" applyAlignment="1" applyProtection="1">
      <alignment horizontal="center" vertical="center" wrapText="1"/>
      <protection hidden="1"/>
    </xf>
    <xf numFmtId="0" fontId="0" fillId="0" borderId="14" xfId="0" applyBorder="1" applyAlignment="1" applyProtection="1">
      <alignment horizontal="center" vertical="center"/>
      <protection hidden="1"/>
    </xf>
    <xf numFmtId="0" fontId="46" fillId="0" borderId="0" xfId="0" applyFont="1" applyBorder="1" applyAlignment="1" applyProtection="1">
      <protection hidden="1"/>
    </xf>
    <xf numFmtId="0" fontId="46" fillId="0" borderId="0" xfId="0" applyFont="1" applyBorder="1" applyAlignment="1" applyProtection="1">
      <alignment horizontal="center"/>
      <protection hidden="1"/>
    </xf>
    <xf numFmtId="0" fontId="46" fillId="0" borderId="0" xfId="0" applyFont="1" applyFill="1" applyBorder="1" applyAlignment="1" applyProtection="1">
      <alignment horizontal="center"/>
      <protection hidden="1"/>
    </xf>
    <xf numFmtId="0" fontId="52" fillId="0" borderId="0" xfId="0" applyFont="1" applyProtection="1">
      <protection hidden="1"/>
    </xf>
    <xf numFmtId="0" fontId="0" fillId="0" borderId="0" xfId="0" applyFill="1" applyAlignment="1" applyProtection="1">
      <alignment horizontal="center" vertical="center"/>
      <protection hidden="1"/>
    </xf>
    <xf numFmtId="0" fontId="13" fillId="0" borderId="15" xfId="0" applyFont="1" applyBorder="1" applyAlignment="1" applyProtection="1">
      <alignment horizontal="center" vertical="center"/>
      <protection locked="0" hidden="1"/>
    </xf>
    <xf numFmtId="0" fontId="13" fillId="0" borderId="0" xfId="0" applyFont="1" applyBorder="1" applyAlignment="1" applyProtection="1">
      <alignment horizontal="center" vertical="center"/>
      <protection hidden="1"/>
    </xf>
    <xf numFmtId="0" fontId="37" fillId="0" borderId="15" xfId="0" applyFont="1" applyBorder="1" applyAlignment="1" applyProtection="1">
      <alignment horizontal="center" vertical="center"/>
      <protection locked="0" hidden="1"/>
    </xf>
    <xf numFmtId="0" fontId="13" fillId="3" borderId="0" xfId="0" applyFont="1" applyFill="1" applyBorder="1" applyAlignment="1" applyProtection="1">
      <alignment horizontal="center" vertical="center"/>
      <protection hidden="1"/>
    </xf>
    <xf numFmtId="0" fontId="0" fillId="3" borderId="0" xfId="0" applyFill="1" applyAlignment="1">
      <alignment wrapText="1"/>
    </xf>
    <xf numFmtId="0" fontId="0" fillId="0" borderId="0" xfId="0" applyBorder="1" applyAlignment="1">
      <alignment horizontal="justify" vertical="top" wrapText="1"/>
    </xf>
    <xf numFmtId="0" fontId="0" fillId="0" borderId="0" xfId="0" applyAlignment="1">
      <alignment horizontal="justify" vertical="top" wrapText="1"/>
    </xf>
    <xf numFmtId="0" fontId="0" fillId="0" borderId="0" xfId="0" applyBorder="1" applyAlignment="1"/>
    <xf numFmtId="0" fontId="0" fillId="5" borderId="0" xfId="0" applyFill="1"/>
    <xf numFmtId="0" fontId="0" fillId="0" borderId="0" xfId="0" applyBorder="1" applyAlignment="1">
      <alignment shrinkToFit="1"/>
    </xf>
    <xf numFmtId="0" fontId="0" fillId="5" borderId="0" xfId="0" applyFill="1" applyBorder="1" applyAlignment="1">
      <alignment horizontal="justify" vertical="top" wrapText="1"/>
    </xf>
    <xf numFmtId="0" fontId="0" fillId="6" borderId="0" xfId="0" applyFill="1" applyBorder="1"/>
    <xf numFmtId="0" fontId="56" fillId="0" borderId="0" xfId="0" applyFont="1" applyBorder="1" applyAlignment="1">
      <alignment horizontal="justify" vertical="top" wrapText="1"/>
    </xf>
    <xf numFmtId="0" fontId="58" fillId="0" borderId="0" xfId="0" applyFont="1" applyBorder="1" applyAlignment="1">
      <alignment horizontal="left" indent="2"/>
    </xf>
    <xf numFmtId="0" fontId="0" fillId="5" borderId="17" xfId="0" applyFill="1" applyBorder="1"/>
    <xf numFmtId="0" fontId="0" fillId="5" borderId="18" xfId="0" applyFill="1" applyBorder="1"/>
    <xf numFmtId="0" fontId="0" fillId="5" borderId="18" xfId="0" applyFill="1" applyBorder="1" applyAlignment="1"/>
    <xf numFmtId="0" fontId="0" fillId="5" borderId="18" xfId="0" applyFill="1" applyBorder="1" applyAlignment="1">
      <alignment horizontal="justify" vertical="top" wrapText="1"/>
    </xf>
    <xf numFmtId="0" fontId="0" fillId="5" borderId="19" xfId="0" applyFill="1" applyBorder="1"/>
    <xf numFmtId="0" fontId="0" fillId="5" borderId="20" xfId="0" applyFill="1" applyBorder="1"/>
    <xf numFmtId="0" fontId="0" fillId="5" borderId="21" xfId="0" applyFill="1" applyBorder="1"/>
    <xf numFmtId="0" fontId="0" fillId="5" borderId="22" xfId="0" applyFill="1" applyBorder="1"/>
    <xf numFmtId="0" fontId="0" fillId="5" borderId="24" xfId="0" applyFill="1" applyBorder="1"/>
    <xf numFmtId="0" fontId="0" fillId="5" borderId="0" xfId="0" applyFill="1" applyBorder="1"/>
    <xf numFmtId="0" fontId="0" fillId="5" borderId="23" xfId="0" applyFill="1" applyBorder="1"/>
    <xf numFmtId="0" fontId="0" fillId="5" borderId="23" xfId="0" applyFill="1" applyBorder="1" applyAlignment="1"/>
    <xf numFmtId="0" fontId="0" fillId="5" borderId="23" xfId="0" applyFill="1" applyBorder="1" applyAlignment="1">
      <alignment horizontal="justify" vertical="top" wrapText="1"/>
    </xf>
    <xf numFmtId="0" fontId="0" fillId="5" borderId="0" xfId="0" applyFill="1" applyBorder="1" applyAlignment="1"/>
    <xf numFmtId="0" fontId="5" fillId="0" borderId="0" xfId="1" applyBorder="1" applyAlignment="1" applyProtection="1">
      <alignment horizontal="justify" vertical="top" wrapText="1"/>
    </xf>
    <xf numFmtId="0" fontId="59" fillId="0" borderId="0" xfId="0" applyFont="1" applyBorder="1" applyAlignment="1">
      <alignment horizontal="left" indent="2"/>
    </xf>
    <xf numFmtId="0" fontId="60" fillId="0" borderId="0" xfId="0" applyFont="1" applyBorder="1" applyAlignment="1">
      <alignment horizontal="left" indent="2"/>
    </xf>
    <xf numFmtId="0" fontId="57" fillId="0" borderId="0" xfId="0" applyFont="1" applyBorder="1" applyAlignment="1">
      <alignment horizontal="left" indent="2"/>
    </xf>
    <xf numFmtId="0" fontId="62" fillId="0" borderId="0" xfId="1" applyFont="1" applyBorder="1" applyAlignment="1" applyProtection="1">
      <alignment horizontal="justify" vertical="top" wrapText="1"/>
    </xf>
    <xf numFmtId="0" fontId="62" fillId="0" borderId="0" xfId="1" applyFont="1" applyAlignment="1" applyProtection="1"/>
    <xf numFmtId="0" fontId="37" fillId="0" borderId="15" xfId="0" applyFont="1" applyBorder="1" applyAlignment="1" applyProtection="1">
      <alignment horizontal="center" vertical="center"/>
      <protection locked="0"/>
    </xf>
    <xf numFmtId="0" fontId="13" fillId="0" borderId="15" xfId="0" applyFont="1" applyBorder="1" applyAlignment="1" applyProtection="1">
      <alignment horizontal="center" vertical="center"/>
      <protection locked="0"/>
    </xf>
    <xf numFmtId="0" fontId="51" fillId="7" borderId="0" xfId="0" applyFont="1" applyFill="1" applyProtection="1">
      <protection hidden="1"/>
    </xf>
    <xf numFmtId="0" fontId="51" fillId="7" borderId="17" xfId="0" applyFont="1" applyFill="1" applyBorder="1" applyProtection="1">
      <protection hidden="1"/>
    </xf>
    <xf numFmtId="0" fontId="51" fillId="7" borderId="18" xfId="0" applyFont="1" applyFill="1" applyBorder="1" applyProtection="1">
      <protection hidden="1"/>
    </xf>
    <xf numFmtId="0" fontId="51" fillId="7" borderId="19" xfId="0" applyFont="1" applyFill="1" applyBorder="1" applyProtection="1">
      <protection hidden="1"/>
    </xf>
    <xf numFmtId="0" fontId="51" fillId="7" borderId="20" xfId="0" applyFont="1" applyFill="1" applyBorder="1" applyProtection="1">
      <protection hidden="1"/>
    </xf>
    <xf numFmtId="0" fontId="61" fillId="6" borderId="0" xfId="0" applyFont="1" applyFill="1" applyBorder="1" applyAlignment="1">
      <alignment vertical="center"/>
    </xf>
    <xf numFmtId="0" fontId="51" fillId="7" borderId="21" xfId="0" applyFont="1" applyFill="1" applyBorder="1" applyProtection="1">
      <protection hidden="1"/>
    </xf>
    <xf numFmtId="0" fontId="51" fillId="3" borderId="0" xfId="0" applyFont="1" applyFill="1" applyBorder="1" applyProtection="1">
      <protection hidden="1"/>
    </xf>
    <xf numFmtId="0" fontId="51" fillId="0" borderId="0" xfId="0" applyFont="1" applyBorder="1" applyProtection="1">
      <protection hidden="1"/>
    </xf>
    <xf numFmtId="0" fontId="64" fillId="0" borderId="0" xfId="0" applyFont="1" applyBorder="1" applyAlignment="1" applyProtection="1">
      <alignment horizontal="justify" vertical="top" wrapText="1"/>
      <protection hidden="1"/>
    </xf>
    <xf numFmtId="0" fontId="65" fillId="0" borderId="0" xfId="0" applyFont="1" applyBorder="1" applyAlignment="1" applyProtection="1">
      <alignment horizontal="justify" vertical="top" wrapText="1"/>
      <protection hidden="1"/>
    </xf>
    <xf numFmtId="0" fontId="66" fillId="0" borderId="0" xfId="0" applyFont="1" applyBorder="1" applyAlignment="1" applyProtection="1">
      <alignment horizontal="left" vertical="center" wrapText="1"/>
      <protection hidden="1"/>
    </xf>
    <xf numFmtId="0" fontId="67" fillId="7" borderId="21" xfId="0" applyFont="1" applyFill="1" applyBorder="1" applyAlignment="1" applyProtection="1">
      <alignment horizontal="left" vertical="center" wrapText="1"/>
      <protection hidden="1"/>
    </xf>
    <xf numFmtId="0" fontId="65" fillId="0" borderId="0" xfId="0" applyFont="1" applyBorder="1" applyAlignment="1" applyProtection="1">
      <alignment horizontal="left" vertical="top" wrapText="1" indent="3"/>
      <protection hidden="1"/>
    </xf>
    <xf numFmtId="0" fontId="66" fillId="0" borderId="0" xfId="0" applyFont="1" applyBorder="1" applyAlignment="1" applyProtection="1">
      <alignment horizontal="justify" vertical="center" wrapText="1"/>
      <protection hidden="1"/>
    </xf>
    <xf numFmtId="0" fontId="67" fillId="7" borderId="21" xfId="0" applyFont="1" applyFill="1" applyBorder="1" applyAlignment="1" applyProtection="1">
      <alignment horizontal="justify" vertical="center" wrapText="1"/>
      <protection hidden="1"/>
    </xf>
    <xf numFmtId="0" fontId="51" fillId="7" borderId="22" xfId="0" applyFont="1" applyFill="1" applyBorder="1" applyProtection="1">
      <protection hidden="1"/>
    </xf>
    <xf numFmtId="0" fontId="51" fillId="7" borderId="23" xfId="0" applyFont="1" applyFill="1" applyBorder="1" applyProtection="1">
      <protection hidden="1"/>
    </xf>
    <xf numFmtId="0" fontId="67" fillId="7" borderId="23" xfId="0" applyFont="1" applyFill="1" applyBorder="1" applyAlignment="1" applyProtection="1">
      <alignment horizontal="left" vertical="center"/>
      <protection hidden="1"/>
    </xf>
    <xf numFmtId="0" fontId="67" fillId="7" borderId="24" xfId="0" applyFont="1" applyFill="1" applyBorder="1" applyAlignment="1" applyProtection="1">
      <alignment horizontal="left" vertical="center"/>
      <protection hidden="1"/>
    </xf>
    <xf numFmtId="0" fontId="68" fillId="7" borderId="0" xfId="0" applyFont="1" applyFill="1" applyAlignment="1" applyProtection="1">
      <alignment horizontal="left" vertical="center" indent="3"/>
      <protection hidden="1"/>
    </xf>
    <xf numFmtId="0" fontId="51" fillId="7" borderId="0" xfId="0" applyFont="1" applyFill="1" applyAlignment="1" applyProtection="1">
      <alignment wrapText="1"/>
      <protection hidden="1"/>
    </xf>
    <xf numFmtId="0" fontId="71" fillId="0" borderId="0" xfId="0" applyFont="1" applyBorder="1" applyAlignment="1" applyProtection="1">
      <alignment shrinkToFit="1"/>
      <protection hidden="1"/>
    </xf>
    <xf numFmtId="0" fontId="72" fillId="0" borderId="0" xfId="0" applyFont="1" applyBorder="1" applyAlignment="1" applyProtection="1">
      <alignment horizontal="left"/>
      <protection hidden="1"/>
    </xf>
    <xf numFmtId="0" fontId="52" fillId="0" borderId="0" xfId="0" applyFont="1" applyBorder="1" applyAlignment="1" applyProtection="1">
      <alignment horizontal="center" vertical="center"/>
      <protection hidden="1"/>
    </xf>
    <xf numFmtId="0" fontId="52" fillId="0" borderId="0" xfId="0" applyFont="1" applyBorder="1" applyProtection="1">
      <protection hidden="1"/>
    </xf>
    <xf numFmtId="0" fontId="52" fillId="3" borderId="0" xfId="0" applyFont="1" applyFill="1" applyBorder="1" applyProtection="1">
      <protection hidden="1"/>
    </xf>
    <xf numFmtId="0" fontId="20" fillId="0" borderId="0" xfId="0" applyFont="1" applyBorder="1" applyAlignment="1" applyProtection="1">
      <alignment horizontal="right" vertical="top"/>
      <protection hidden="1"/>
    </xf>
    <xf numFmtId="0" fontId="28" fillId="0" borderId="0" xfId="0" applyFont="1" applyBorder="1" applyAlignment="1" applyProtection="1">
      <alignment horizontal="center" vertical="top" wrapText="1"/>
      <protection hidden="1"/>
    </xf>
    <xf numFmtId="0" fontId="0" fillId="0" borderId="0" xfId="0" applyBorder="1" applyAlignment="1" applyProtection="1">
      <alignment horizontal="center" vertical="center"/>
      <protection hidden="1"/>
    </xf>
    <xf numFmtId="0" fontId="0" fillId="0" borderId="0" xfId="0" applyAlignment="1" applyProtection="1">
      <alignment horizontal="center" vertical="center"/>
      <protection hidden="1"/>
    </xf>
    <xf numFmtId="0" fontId="73" fillId="0" borderId="2" xfId="0" applyFont="1" applyBorder="1" applyAlignment="1" applyProtection="1">
      <alignment horizontal="center" vertical="center" wrapText="1"/>
      <protection hidden="1"/>
    </xf>
    <xf numFmtId="0" fontId="74" fillId="0" borderId="16" xfId="0" applyFont="1" applyBorder="1" applyAlignment="1" applyProtection="1">
      <alignment horizontal="center" vertical="center" wrapText="1"/>
      <protection hidden="1"/>
    </xf>
    <xf numFmtId="0" fontId="73" fillId="3" borderId="0" xfId="0" applyFont="1" applyFill="1" applyBorder="1" applyAlignment="1" applyProtection="1">
      <alignment horizontal="center" vertical="center" wrapText="1"/>
      <protection hidden="1"/>
    </xf>
    <xf numFmtId="0" fontId="49" fillId="0" borderId="0" xfId="0" applyFont="1" applyAlignment="1" applyProtection="1">
      <alignment horizontal="center"/>
      <protection hidden="1"/>
    </xf>
    <xf numFmtId="0" fontId="49" fillId="0" borderId="0" xfId="0" applyFont="1" applyAlignment="1" applyProtection="1">
      <alignment horizontal="right" vertical="center"/>
      <protection hidden="1"/>
    </xf>
    <xf numFmtId="0" fontId="49" fillId="0" borderId="0" xfId="0" applyFont="1" applyAlignment="1" applyProtection="1">
      <alignment horizontal="right"/>
      <protection hidden="1"/>
    </xf>
    <xf numFmtId="0" fontId="76" fillId="0" borderId="0" xfId="0" applyFont="1" applyBorder="1" applyAlignment="1" applyProtection="1">
      <alignment horizontal="left"/>
      <protection hidden="1"/>
    </xf>
    <xf numFmtId="3" fontId="49" fillId="0" borderId="0" xfId="0" applyNumberFormat="1" applyFont="1" applyAlignment="1" applyProtection="1">
      <alignment horizontal="center" vertical="center"/>
      <protection hidden="1"/>
    </xf>
    <xf numFmtId="3" fontId="49" fillId="0" borderId="0" xfId="0" applyNumberFormat="1" applyFont="1" applyProtection="1">
      <protection hidden="1"/>
    </xf>
    <xf numFmtId="0" fontId="78" fillId="0" borderId="0" xfId="0" applyFont="1" applyAlignment="1" applyProtection="1">
      <alignment horizontal="center" vertical="center"/>
      <protection hidden="1"/>
    </xf>
    <xf numFmtId="0" fontId="36" fillId="0" borderId="25" xfId="0" applyFont="1" applyBorder="1" applyAlignment="1" applyProtection="1">
      <alignment horizontal="center" vertical="center"/>
      <protection hidden="1"/>
    </xf>
    <xf numFmtId="0" fontId="80" fillId="0" borderId="16" xfId="0" applyFont="1" applyBorder="1" applyAlignment="1" applyProtection="1">
      <alignment horizontal="center" vertical="center" wrapText="1"/>
      <protection hidden="1"/>
    </xf>
    <xf numFmtId="0" fontId="35" fillId="0" borderId="26" xfId="0" applyFont="1" applyBorder="1" applyAlignment="1" applyProtection="1">
      <alignment horizontal="center" vertical="center" wrapText="1"/>
      <protection hidden="1"/>
    </xf>
    <xf numFmtId="0" fontId="35" fillId="0" borderId="16" xfId="0" applyFont="1" applyBorder="1" applyAlignment="1" applyProtection="1">
      <alignment horizontal="center" vertical="center" wrapText="1"/>
      <protection hidden="1"/>
    </xf>
    <xf numFmtId="0" fontId="36" fillId="0" borderId="27" xfId="0" applyFont="1" applyBorder="1" applyAlignment="1" applyProtection="1">
      <alignment horizontal="center" vertical="center" wrapText="1"/>
      <protection hidden="1"/>
    </xf>
    <xf numFmtId="1" fontId="0" fillId="0" borderId="0" xfId="0" applyNumberFormat="1" applyFont="1" applyAlignment="1" applyProtection="1">
      <alignment horizontal="center" vertical="center"/>
      <protection hidden="1"/>
    </xf>
    <xf numFmtId="0" fontId="36" fillId="0" borderId="28" xfId="0" applyFont="1" applyBorder="1" applyAlignment="1" applyProtection="1">
      <alignment horizontal="center" vertical="center" wrapText="1"/>
      <protection hidden="1"/>
    </xf>
    <xf numFmtId="0" fontId="81" fillId="0" borderId="0" xfId="1" applyFont="1" applyFill="1" applyBorder="1" applyAlignment="1" applyProtection="1">
      <alignment horizontal="center" vertical="center" wrapText="1"/>
      <protection hidden="1"/>
    </xf>
    <xf numFmtId="0" fontId="36" fillId="0" borderId="16" xfId="0" applyFont="1" applyBorder="1" applyAlignment="1" applyProtection="1">
      <alignment horizontal="center" vertical="center" wrapText="1"/>
      <protection hidden="1"/>
    </xf>
    <xf numFmtId="0" fontId="35" fillId="0" borderId="29" xfId="0" applyFont="1" applyBorder="1" applyAlignment="1" applyProtection="1">
      <alignment horizontal="center" vertical="center" wrapText="1"/>
      <protection hidden="1"/>
    </xf>
    <xf numFmtId="0" fontId="82" fillId="0" borderId="0" xfId="0" applyFont="1" applyBorder="1" applyAlignment="1" applyProtection="1">
      <alignment vertical="center" wrapText="1"/>
      <protection hidden="1"/>
    </xf>
    <xf numFmtId="0" fontId="30" fillId="0" borderId="0" xfId="0" applyFont="1" applyAlignment="1">
      <alignment vertical="center"/>
    </xf>
    <xf numFmtId="0" fontId="35" fillId="0" borderId="0" xfId="0" applyFont="1" applyBorder="1" applyAlignment="1" applyProtection="1">
      <alignment horizontal="center" vertical="center" wrapText="1"/>
      <protection hidden="1"/>
    </xf>
    <xf numFmtId="0" fontId="0" fillId="0" borderId="0" xfId="0" applyAlignment="1">
      <alignment vertical="center"/>
    </xf>
    <xf numFmtId="0" fontId="35" fillId="0" borderId="0" xfId="0" applyFont="1" applyBorder="1" applyAlignment="1" applyProtection="1">
      <alignment vertical="center"/>
      <protection hidden="1"/>
    </xf>
    <xf numFmtId="0" fontId="83" fillId="0" borderId="0" xfId="0" applyFont="1" applyBorder="1" applyAlignment="1" applyProtection="1">
      <alignment horizontal="left" vertical="center"/>
      <protection hidden="1"/>
    </xf>
    <xf numFmtId="0" fontId="84" fillId="0" borderId="0" xfId="0" applyFont="1" applyBorder="1" applyAlignment="1" applyProtection="1">
      <alignment vertical="center"/>
      <protection hidden="1"/>
    </xf>
    <xf numFmtId="1" fontId="34" fillId="0" borderId="0" xfId="0" applyNumberFormat="1" applyFont="1" applyAlignment="1" applyProtection="1">
      <alignment horizontal="center" vertical="center"/>
      <protection hidden="1"/>
    </xf>
    <xf numFmtId="0" fontId="35" fillId="0" borderId="28" xfId="0" applyFont="1" applyBorder="1" applyAlignment="1" applyProtection="1">
      <alignment horizontal="center" vertical="center" wrapText="1"/>
      <protection hidden="1"/>
    </xf>
    <xf numFmtId="0" fontId="10" fillId="0" borderId="0" xfId="0" applyFont="1" applyBorder="1" applyAlignment="1" applyProtection="1">
      <alignment horizontal="center" vertical="center" wrapText="1"/>
      <protection hidden="1"/>
    </xf>
    <xf numFmtId="0" fontId="5" fillId="0" borderId="0" xfId="1" applyBorder="1" applyAlignment="1" applyProtection="1">
      <alignment horizontal="justify" vertical="center" wrapText="1"/>
      <protection hidden="1"/>
    </xf>
    <xf numFmtId="0" fontId="81" fillId="0" borderId="0" xfId="1" applyFont="1" applyBorder="1" applyAlignment="1" applyProtection="1">
      <alignment horizontal="center" vertical="center" wrapText="1"/>
      <protection hidden="1"/>
    </xf>
    <xf numFmtId="0" fontId="32" fillId="0" borderId="0" xfId="0" applyFont="1" applyBorder="1" applyAlignment="1" applyProtection="1">
      <alignment horizontal="justify" vertical="center" wrapText="1"/>
      <protection hidden="1"/>
    </xf>
    <xf numFmtId="0" fontId="3" fillId="3" borderId="0" xfId="0" applyFont="1" applyFill="1" applyBorder="1" applyAlignment="1" applyProtection="1">
      <alignment horizontal="center" vertical="top" wrapText="1"/>
      <protection hidden="1"/>
    </xf>
    <xf numFmtId="0" fontId="19" fillId="0" borderId="30" xfId="0" applyFont="1" applyBorder="1" applyAlignment="1" applyProtection="1">
      <alignment horizontal="center" vertical="top" wrapText="1"/>
      <protection hidden="1"/>
    </xf>
    <xf numFmtId="0" fontId="19" fillId="0" borderId="31" xfId="0" applyFont="1" applyBorder="1" applyAlignment="1" applyProtection="1">
      <alignment horizontal="center" vertical="top" wrapText="1"/>
      <protection hidden="1"/>
    </xf>
    <xf numFmtId="0" fontId="18" fillId="0" borderId="31" xfId="0" applyFont="1" applyBorder="1" applyAlignment="1" applyProtection="1">
      <alignment horizontal="right" vertical="top"/>
      <protection hidden="1"/>
    </xf>
    <xf numFmtId="0" fontId="19" fillId="0" borderId="31" xfId="0" applyFont="1" applyBorder="1" applyAlignment="1" applyProtection="1">
      <alignment horizontal="center" vertical="top"/>
      <protection hidden="1"/>
    </xf>
    <xf numFmtId="0" fontId="28" fillId="0" borderId="11" xfId="0" applyFont="1" applyBorder="1" applyAlignment="1" applyProtection="1">
      <alignment horizontal="center" vertical="top" wrapText="1"/>
      <protection hidden="1"/>
    </xf>
    <xf numFmtId="0" fontId="28" fillId="0" borderId="13" xfId="0" applyFont="1" applyBorder="1" applyAlignment="1" applyProtection="1">
      <alignment horizontal="center" vertical="top" wrapText="1"/>
      <protection hidden="1"/>
    </xf>
    <xf numFmtId="0" fontId="22" fillId="0" borderId="13" xfId="0" applyFont="1" applyBorder="1" applyAlignment="1" applyProtection="1">
      <alignment horizontal="right" vertical="top"/>
      <protection hidden="1"/>
    </xf>
    <xf numFmtId="0" fontId="28" fillId="0" borderId="13" xfId="0" applyFont="1" applyBorder="1" applyAlignment="1" applyProtection="1">
      <alignment horizontal="center" vertical="top"/>
      <protection hidden="1"/>
    </xf>
    <xf numFmtId="0" fontId="29" fillId="0" borderId="13" xfId="0" applyFont="1" applyFill="1" applyBorder="1" applyAlignment="1" applyProtection="1">
      <alignment horizontal="center" vertical="center" wrapText="1"/>
      <protection hidden="1"/>
    </xf>
    <xf numFmtId="0" fontId="28" fillId="0" borderId="30" xfId="0" applyFont="1" applyBorder="1" applyAlignment="1" applyProtection="1">
      <alignment horizontal="center" vertical="top" wrapText="1"/>
      <protection hidden="1"/>
    </xf>
    <xf numFmtId="0" fontId="28" fillId="0" borderId="31" xfId="0" applyFont="1" applyBorder="1" applyAlignment="1" applyProtection="1">
      <alignment horizontal="center" vertical="top" wrapText="1"/>
      <protection hidden="1"/>
    </xf>
    <xf numFmtId="0" fontId="22" fillId="0" borderId="31" xfId="0" applyFont="1" applyBorder="1" applyAlignment="1" applyProtection="1">
      <alignment horizontal="right" vertical="top"/>
      <protection hidden="1"/>
    </xf>
    <xf numFmtId="0" fontId="28" fillId="0" borderId="32" xfId="0" applyFont="1" applyBorder="1" applyAlignment="1" applyProtection="1">
      <alignment horizontal="center" vertical="top"/>
      <protection hidden="1"/>
    </xf>
    <xf numFmtId="0" fontId="28" fillId="0" borderId="30" xfId="0" applyFont="1" applyBorder="1" applyAlignment="1" applyProtection="1">
      <alignment horizontal="center" vertical="top"/>
      <protection hidden="1"/>
    </xf>
    <xf numFmtId="0" fontId="28" fillId="0" borderId="31" xfId="0" applyFont="1" applyBorder="1" applyAlignment="1" applyProtection="1">
      <alignment horizontal="center" vertical="top"/>
      <protection hidden="1"/>
    </xf>
    <xf numFmtId="0" fontId="29" fillId="0" borderId="31" xfId="0" applyFont="1" applyFill="1" applyBorder="1" applyAlignment="1" applyProtection="1">
      <alignment horizontal="center" vertical="center" wrapText="1"/>
      <protection hidden="1"/>
    </xf>
    <xf numFmtId="0" fontId="24" fillId="0" borderId="12" xfId="0" applyFont="1" applyBorder="1" applyAlignment="1" applyProtection="1">
      <alignment horizontal="justify" wrapText="1"/>
      <protection hidden="1"/>
    </xf>
    <xf numFmtId="0" fontId="24" fillId="0" borderId="33" xfId="0" applyFont="1" applyBorder="1" applyAlignment="1" applyProtection="1">
      <alignment horizontal="justify" wrapText="1"/>
      <protection hidden="1"/>
    </xf>
    <xf numFmtId="0" fontId="22" fillId="0" borderId="12" xfId="0" applyFont="1" applyBorder="1" applyAlignment="1" applyProtection="1">
      <alignment horizontal="justify" vertical="top" wrapText="1"/>
      <protection hidden="1"/>
    </xf>
    <xf numFmtId="0" fontId="22" fillId="0" borderId="0" xfId="0" applyFont="1" applyBorder="1" applyAlignment="1" applyProtection="1">
      <alignment horizontal="center" vertical="center" wrapText="1"/>
      <protection hidden="1"/>
    </xf>
    <xf numFmtId="0" fontId="26" fillId="0" borderId="12" xfId="0" applyFont="1" applyBorder="1" applyProtection="1">
      <protection hidden="1"/>
    </xf>
    <xf numFmtId="0" fontId="24" fillId="0" borderId="11" xfId="0" applyFont="1" applyBorder="1" applyAlignment="1" applyProtection="1">
      <alignment horizontal="justify" vertical="top" wrapText="1"/>
      <protection hidden="1"/>
    </xf>
    <xf numFmtId="0" fontId="24" fillId="0" borderId="13" xfId="0" applyFont="1" applyBorder="1" applyAlignment="1" applyProtection="1">
      <alignment horizontal="justify" vertical="top" wrapText="1"/>
      <protection hidden="1"/>
    </xf>
    <xf numFmtId="0" fontId="24" fillId="0" borderId="34" xfId="0" applyFont="1" applyBorder="1" applyAlignment="1" applyProtection="1">
      <alignment horizontal="justify" vertical="top" wrapText="1"/>
      <protection hidden="1"/>
    </xf>
    <xf numFmtId="0" fontId="29" fillId="0" borderId="13" xfId="0" applyFont="1" applyBorder="1" applyAlignment="1" applyProtection="1">
      <alignment horizontal="center" vertical="center" wrapText="1"/>
      <protection hidden="1"/>
    </xf>
    <xf numFmtId="0" fontId="85" fillId="0" borderId="0" xfId="0" applyFont="1" applyAlignment="1" applyProtection="1">
      <alignment horizontal="right" vertical="top"/>
      <protection hidden="1"/>
    </xf>
    <xf numFmtId="0" fontId="0" fillId="0" borderId="0" xfId="0" applyAlignment="1">
      <alignment horizontal="center"/>
    </xf>
    <xf numFmtId="0" fontId="0" fillId="0" borderId="0" xfId="0" applyAlignment="1">
      <alignment horizontal="center" vertical="center"/>
    </xf>
    <xf numFmtId="0" fontId="0" fillId="4" borderId="0" xfId="0" applyFill="1"/>
    <xf numFmtId="0" fontId="86" fillId="4" borderId="0" xfId="0" applyFont="1" applyFill="1"/>
    <xf numFmtId="0" fontId="5" fillId="3" borderId="0" xfId="1" applyFill="1" applyBorder="1" applyAlignment="1" applyProtection="1">
      <alignment horizontal="right" vertical="top" wrapText="1"/>
    </xf>
    <xf numFmtId="0" fontId="5" fillId="0" borderId="0" xfId="1" applyAlignment="1" applyProtection="1"/>
    <xf numFmtId="0" fontId="5" fillId="3" borderId="0" xfId="1" applyFill="1" applyAlignment="1" applyProtection="1"/>
    <xf numFmtId="0" fontId="0" fillId="3" borderId="0" xfId="0" applyFill="1"/>
    <xf numFmtId="0" fontId="5" fillId="3" borderId="0" xfId="1" applyFill="1" applyBorder="1" applyAlignment="1" applyProtection="1"/>
    <xf numFmtId="0" fontId="91" fillId="3" borderId="0" xfId="0" applyFont="1" applyFill="1" applyBorder="1" applyAlignment="1">
      <alignment horizontal="right" vertical="top" wrapText="1"/>
    </xf>
    <xf numFmtId="0" fontId="0" fillId="3" borderId="0" xfId="0" applyFill="1" applyBorder="1"/>
    <xf numFmtId="0" fontId="0" fillId="0" borderId="38" xfId="0" applyBorder="1"/>
    <xf numFmtId="0" fontId="0" fillId="0" borderId="39" xfId="0" applyBorder="1"/>
    <xf numFmtId="0" fontId="5" fillId="3" borderId="40" xfId="1" applyFill="1" applyBorder="1" applyAlignment="1" applyProtection="1">
      <alignment horizontal="right" vertical="top" wrapText="1"/>
    </xf>
    <xf numFmtId="0" fontId="5" fillId="0" borderId="42" xfId="1" applyBorder="1" applyAlignment="1" applyProtection="1"/>
    <xf numFmtId="0" fontId="94" fillId="4" borderId="0" xfId="1" applyFont="1" applyFill="1" applyAlignment="1" applyProtection="1"/>
    <xf numFmtId="0" fontId="5" fillId="4" borderId="0" xfId="1" applyFill="1" applyAlignment="1" applyProtection="1"/>
    <xf numFmtId="0" fontId="95" fillId="4" borderId="0" xfId="0" applyFont="1" applyFill="1"/>
    <xf numFmtId="0" fontId="96" fillId="4" borderId="0" xfId="0" applyFont="1" applyFill="1" applyAlignment="1">
      <alignment shrinkToFit="1"/>
    </xf>
    <xf numFmtId="0" fontId="97" fillId="0" borderId="0" xfId="1" applyFont="1" applyAlignment="1" applyProtection="1"/>
    <xf numFmtId="0" fontId="0" fillId="0" borderId="0" xfId="0" applyFill="1"/>
    <xf numFmtId="0" fontId="75" fillId="0" borderId="0" xfId="0" applyFont="1" applyBorder="1" applyAlignment="1" applyProtection="1">
      <alignment vertical="top" shrinkToFit="1"/>
      <protection hidden="1"/>
    </xf>
    <xf numFmtId="0" fontId="0" fillId="0" borderId="0" xfId="0" applyAlignment="1" applyProtection="1">
      <protection hidden="1"/>
    </xf>
    <xf numFmtId="0" fontId="0" fillId="0" borderId="0" xfId="0" applyBorder="1" applyAlignment="1" applyProtection="1">
      <alignment vertical="center"/>
      <protection hidden="1"/>
    </xf>
    <xf numFmtId="0" fontId="34" fillId="0" borderId="0" xfId="0" applyFont="1" applyBorder="1" applyAlignment="1" applyProtection="1">
      <alignment vertical="center"/>
      <protection hidden="1"/>
    </xf>
    <xf numFmtId="0" fontId="26" fillId="0" borderId="0" xfId="0" applyFont="1" applyBorder="1" applyAlignment="1">
      <alignment vertical="top" shrinkToFit="1"/>
    </xf>
    <xf numFmtId="0" fontId="0" fillId="0" borderId="0" xfId="0" applyBorder="1" applyAlignment="1">
      <alignment vertical="center"/>
    </xf>
    <xf numFmtId="0" fontId="98" fillId="0" borderId="0" xfId="0" applyFont="1" applyBorder="1" applyProtection="1">
      <protection hidden="1"/>
    </xf>
    <xf numFmtId="0" fontId="98" fillId="0" borderId="0" xfId="0" applyFont="1" applyBorder="1" applyAlignment="1" applyProtection="1">
      <alignment horizontal="center" vertical="center"/>
      <protection hidden="1"/>
    </xf>
    <xf numFmtId="0" fontId="98" fillId="0" borderId="0" xfId="0" applyFont="1" applyFill="1" applyBorder="1" applyAlignment="1" applyProtection="1">
      <alignment horizontal="center" vertical="center"/>
      <protection hidden="1"/>
    </xf>
    <xf numFmtId="0" fontId="5" fillId="0" borderId="14" xfId="1" applyBorder="1" applyAlignment="1" applyProtection="1">
      <alignment horizontal="justify" vertical="center" wrapText="1"/>
      <protection hidden="1"/>
    </xf>
    <xf numFmtId="0" fontId="81" fillId="0" borderId="14" xfId="1" applyFont="1" applyBorder="1" applyAlignment="1" applyProtection="1">
      <alignment horizontal="center" vertical="center" wrapText="1"/>
      <protection hidden="1"/>
    </xf>
    <xf numFmtId="0" fontId="50" fillId="0" borderId="14" xfId="0" applyFont="1" applyFill="1" applyBorder="1" applyAlignment="1" applyProtection="1">
      <alignment horizontal="center" vertical="center" wrapText="1"/>
      <protection hidden="1"/>
    </xf>
    <xf numFmtId="0" fontId="10" fillId="0" borderId="0" xfId="0" applyFont="1" applyBorder="1" applyProtection="1">
      <protection hidden="1"/>
    </xf>
    <xf numFmtId="0" fontId="26" fillId="0" borderId="31" xfId="0" applyFont="1" applyBorder="1" applyAlignment="1" applyProtection="1">
      <alignment horizontal="center" vertical="center"/>
      <protection hidden="1"/>
    </xf>
    <xf numFmtId="0" fontId="26" fillId="0" borderId="13" xfId="0" applyFont="1" applyBorder="1" applyAlignment="1" applyProtection="1">
      <alignment horizontal="center" vertical="center"/>
      <protection hidden="1"/>
    </xf>
    <xf numFmtId="0" fontId="0" fillId="0" borderId="31" xfId="0" applyBorder="1" applyProtection="1">
      <protection hidden="1"/>
    </xf>
    <xf numFmtId="0" fontId="0" fillId="0" borderId="32" xfId="0" applyBorder="1" applyProtection="1">
      <protection hidden="1"/>
    </xf>
    <xf numFmtId="0" fontId="0" fillId="0" borderId="33" xfId="0" applyBorder="1" applyProtection="1">
      <protection hidden="1"/>
    </xf>
    <xf numFmtId="0" fontId="0" fillId="0" borderId="13" xfId="0" applyBorder="1" applyProtection="1">
      <protection hidden="1"/>
    </xf>
    <xf numFmtId="0" fontId="0" fillId="0" borderId="34" xfId="0" applyBorder="1" applyProtection="1">
      <protection hidden="1"/>
    </xf>
    <xf numFmtId="0" fontId="51" fillId="3" borderId="15" xfId="0" applyFont="1" applyFill="1" applyBorder="1" applyAlignment="1" applyProtection="1">
      <alignment horizontal="center" vertical="center"/>
      <protection locked="0" hidden="1"/>
    </xf>
    <xf numFmtId="0" fontId="0" fillId="0" borderId="0" xfId="0"/>
    <xf numFmtId="0" fontId="20" fillId="0" borderId="0" xfId="0" applyFont="1" applyAlignment="1" applyProtection="1">
      <protection hidden="1"/>
    </xf>
    <xf numFmtId="0" fontId="0" fillId="7" borderId="0" xfId="0" applyFill="1" applyProtection="1">
      <protection hidden="1"/>
    </xf>
    <xf numFmtId="0" fontId="5" fillId="7" borderId="0" xfId="1" applyFont="1" applyFill="1" applyAlignment="1" applyProtection="1">
      <protection hidden="1"/>
    </xf>
    <xf numFmtId="0" fontId="99" fillId="7" borderId="0" xfId="0" applyFont="1" applyFill="1" applyProtection="1">
      <protection hidden="1"/>
    </xf>
    <xf numFmtId="0" fontId="0" fillId="7" borderId="0" xfId="0" applyFill="1"/>
    <xf numFmtId="0" fontId="100" fillId="7" borderId="0" xfId="0" applyFont="1" applyFill="1" applyBorder="1" applyAlignment="1" applyProtection="1">
      <alignment horizontal="center"/>
      <protection hidden="1"/>
    </xf>
    <xf numFmtId="0" fontId="101" fillId="7" borderId="0" xfId="0" applyFont="1" applyFill="1" applyProtection="1">
      <protection hidden="1"/>
    </xf>
    <xf numFmtId="0" fontId="0" fillId="7" borderId="0" xfId="0" applyFill="1" applyBorder="1"/>
    <xf numFmtId="0" fontId="5" fillId="0" borderId="0" xfId="1" quotePrefix="1" applyBorder="1" applyAlignment="1" applyProtection="1">
      <alignment horizontal="left" vertical="center" wrapText="1"/>
      <protection hidden="1"/>
    </xf>
    <xf numFmtId="0" fontId="5" fillId="0" borderId="0" xfId="1" applyBorder="1" applyAlignment="1" applyProtection="1">
      <alignment horizontal="left" vertical="center" wrapText="1"/>
      <protection hidden="1"/>
    </xf>
    <xf numFmtId="0" fontId="102" fillId="0" borderId="0" xfId="0" applyFont="1"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Alignment="1" applyProtection="1">
      <alignment horizontal="center" vertical="center"/>
      <protection hidden="1"/>
    </xf>
    <xf numFmtId="0" fontId="39" fillId="0" borderId="0" xfId="1" applyFont="1" applyBorder="1" applyAlignment="1" applyProtection="1">
      <alignment horizontal="left" vertical="center" wrapText="1"/>
      <protection hidden="1"/>
    </xf>
    <xf numFmtId="0" fontId="0" fillId="0" borderId="0" xfId="0" applyAlignment="1" applyProtection="1">
      <alignment horizontal="center" vertical="center"/>
      <protection hidden="1"/>
    </xf>
    <xf numFmtId="0" fontId="0" fillId="0" borderId="0" xfId="0" applyBorder="1" applyAlignment="1" applyProtection="1">
      <alignment horizontal="center" vertical="center"/>
      <protection hidden="1"/>
    </xf>
    <xf numFmtId="0" fontId="0" fillId="0" borderId="0" xfId="0" applyBorder="1" applyAlignment="1">
      <alignment shrinkToFit="1"/>
    </xf>
    <xf numFmtId="0" fontId="0" fillId="0" borderId="0" xfId="0"/>
    <xf numFmtId="0" fontId="41" fillId="0" borderId="2" xfId="0" applyFont="1" applyBorder="1" applyAlignment="1" applyProtection="1">
      <alignment horizontal="center" vertical="center" wrapText="1"/>
      <protection hidden="1"/>
    </xf>
    <xf numFmtId="0" fontId="0" fillId="3" borderId="15" xfId="0" applyFont="1" applyFill="1" applyBorder="1" applyAlignment="1" applyProtection="1">
      <alignment horizontal="center" vertical="center"/>
      <protection locked="0" hidden="1"/>
    </xf>
    <xf numFmtId="0" fontId="0" fillId="0" borderId="15" xfId="0" applyFont="1" applyBorder="1" applyAlignment="1" applyProtection="1">
      <alignment horizontal="center" vertical="center"/>
      <protection locked="0" hidden="1"/>
    </xf>
    <xf numFmtId="0" fontId="16" fillId="0" borderId="15" xfId="0" applyFont="1" applyBorder="1" applyAlignment="1" applyProtection="1">
      <alignment horizontal="center" vertical="center"/>
      <protection locked="0" hidden="1"/>
    </xf>
    <xf numFmtId="0" fontId="16" fillId="0" borderId="15" xfId="0" applyFont="1" applyBorder="1" applyAlignment="1" applyProtection="1">
      <alignment horizontal="center" vertical="center"/>
      <protection locked="0"/>
    </xf>
    <xf numFmtId="1" fontId="16" fillId="0" borderId="15" xfId="0" applyNumberFormat="1" applyFont="1" applyBorder="1" applyAlignment="1" applyProtection="1">
      <alignment horizontal="center" vertical="center"/>
      <protection locked="0" hidden="1"/>
    </xf>
    <xf numFmtId="0" fontId="0" fillId="7" borderId="0" xfId="0" applyFill="1" applyProtection="1">
      <protection hidden="1"/>
    </xf>
    <xf numFmtId="0" fontId="39" fillId="0" borderId="0" xfId="1" applyFont="1" applyBorder="1" applyAlignment="1" applyProtection="1">
      <alignment vertical="center"/>
      <protection hidden="1"/>
    </xf>
    <xf numFmtId="0" fontId="39" fillId="0" borderId="0" xfId="1" applyFont="1" applyBorder="1" applyAlignment="1" applyProtection="1">
      <alignment horizontal="left" vertical="center"/>
      <protection hidden="1"/>
    </xf>
    <xf numFmtId="0" fontId="0" fillId="0" borderId="0" xfId="0" applyAlignment="1" applyProtection="1">
      <alignment horizontal="center" vertical="center"/>
      <protection hidden="1"/>
    </xf>
    <xf numFmtId="0" fontId="24" fillId="0" borderId="1" xfId="0" applyFont="1" applyBorder="1" applyAlignment="1" applyProtection="1">
      <alignment horizontal="center" vertical="top" wrapText="1"/>
      <protection hidden="1"/>
    </xf>
    <xf numFmtId="0" fontId="24" fillId="0" borderId="0" xfId="0" applyFont="1" applyBorder="1" applyAlignment="1" applyProtection="1">
      <alignment horizontal="center" vertical="top" wrapText="1"/>
      <protection hidden="1"/>
    </xf>
    <xf numFmtId="0" fontId="24" fillId="0" borderId="3" xfId="0" applyFont="1" applyBorder="1" applyAlignment="1" applyProtection="1">
      <alignment horizontal="center" vertical="top" wrapText="1"/>
      <protection hidden="1"/>
    </xf>
    <xf numFmtId="0" fontId="22" fillId="0" borderId="1" xfId="0" applyFont="1" applyBorder="1" applyAlignment="1" applyProtection="1">
      <alignment horizontal="center" vertical="top" wrapText="1"/>
      <protection hidden="1"/>
    </xf>
    <xf numFmtId="0" fontId="22" fillId="0" borderId="0" xfId="0" applyFont="1" applyBorder="1" applyAlignment="1" applyProtection="1">
      <alignment horizontal="center" vertical="top" wrapText="1"/>
      <protection hidden="1"/>
    </xf>
    <xf numFmtId="0" fontId="26" fillId="0" borderId="0" xfId="0" applyFont="1" applyBorder="1" applyAlignment="1">
      <alignment horizontal="center"/>
    </xf>
    <xf numFmtId="0" fontId="22" fillId="0" borderId="3" xfId="0" applyFont="1" applyBorder="1" applyAlignment="1" applyProtection="1">
      <alignment horizontal="center" vertical="top" wrapText="1"/>
      <protection hidden="1"/>
    </xf>
    <xf numFmtId="0" fontId="17" fillId="3" borderId="0" xfId="0" applyFont="1" applyFill="1" applyBorder="1" applyAlignment="1" applyProtection="1">
      <alignment horizontal="center" shrinkToFit="1"/>
      <protection hidden="1"/>
    </xf>
    <xf numFmtId="0" fontId="25" fillId="0" borderId="0" xfId="0" applyFont="1" applyBorder="1" applyAlignment="1">
      <alignment horizontal="center"/>
    </xf>
    <xf numFmtId="0" fontId="25" fillId="0" borderId="3" xfId="0" applyFont="1" applyBorder="1" applyAlignment="1">
      <alignment horizontal="center"/>
    </xf>
    <xf numFmtId="0" fontId="28" fillId="0" borderId="1" xfId="0" applyFont="1" applyBorder="1" applyAlignment="1" applyProtection="1">
      <alignment horizontal="center" wrapText="1"/>
      <protection hidden="1"/>
    </xf>
    <xf numFmtId="0" fontId="28" fillId="0" borderId="0" xfId="0" applyFont="1" applyBorder="1" applyAlignment="1" applyProtection="1">
      <alignment horizontal="center" wrapText="1"/>
      <protection hidden="1"/>
    </xf>
    <xf numFmtId="0" fontId="28" fillId="0" borderId="0" xfId="0" applyFont="1" applyBorder="1" applyAlignment="1" applyProtection="1">
      <alignment horizontal="center"/>
      <protection hidden="1"/>
    </xf>
    <xf numFmtId="0" fontId="28" fillId="0" borderId="3" xfId="0" applyFont="1" applyBorder="1" applyAlignment="1" applyProtection="1">
      <alignment horizontal="center"/>
      <protection hidden="1"/>
    </xf>
    <xf numFmtId="0" fontId="28" fillId="0" borderId="1" xfId="0" applyFont="1" applyBorder="1" applyAlignment="1" applyProtection="1">
      <alignment horizontal="center" vertical="top" wrapText="1"/>
      <protection hidden="1"/>
    </xf>
    <xf numFmtId="0" fontId="28" fillId="0" borderId="0" xfId="0" applyFont="1" applyBorder="1" applyAlignment="1" applyProtection="1">
      <alignment horizontal="center" vertical="top" wrapText="1"/>
      <protection hidden="1"/>
    </xf>
    <xf numFmtId="0" fontId="28" fillId="0" borderId="0" xfId="0" applyFont="1" applyBorder="1" applyAlignment="1" applyProtection="1">
      <alignment horizontal="center" vertical="top" shrinkToFit="1"/>
      <protection hidden="1"/>
    </xf>
    <xf numFmtId="0" fontId="25" fillId="0" borderId="1" xfId="0" applyFont="1" applyBorder="1" applyAlignment="1" applyProtection="1">
      <alignment horizontal="center" wrapText="1"/>
      <protection hidden="1"/>
    </xf>
    <xf numFmtId="0" fontId="25" fillId="0" borderId="0" xfId="0" applyFont="1" applyBorder="1" applyAlignment="1" applyProtection="1">
      <alignment horizontal="center" wrapText="1"/>
      <protection hidden="1"/>
    </xf>
    <xf numFmtId="0" fontId="25" fillId="0" borderId="3" xfId="0" applyFont="1" applyBorder="1" applyAlignment="1" applyProtection="1">
      <alignment horizontal="center" wrapText="1"/>
      <protection hidden="1"/>
    </xf>
    <xf numFmtId="0" fontId="3" fillId="3" borderId="0" xfId="0" applyFont="1" applyFill="1" applyBorder="1" applyAlignment="1" applyProtection="1">
      <alignment horizontal="center" vertical="top" shrinkToFit="1"/>
      <protection hidden="1"/>
    </xf>
    <xf numFmtId="0" fontId="35" fillId="0" borderId="0" xfId="1" applyFont="1" applyBorder="1" applyAlignment="1" applyProtection="1">
      <alignment horizontal="left" vertical="center" wrapText="1"/>
      <protection hidden="1"/>
    </xf>
    <xf numFmtId="0" fontId="46" fillId="0" borderId="0" xfId="0" applyFont="1" applyBorder="1" applyAlignment="1" applyProtection="1">
      <alignment horizontal="left"/>
      <protection hidden="1"/>
    </xf>
    <xf numFmtId="0" fontId="54" fillId="3" borderId="11" xfId="0" applyFont="1" applyFill="1" applyBorder="1" applyAlignment="1" applyProtection="1">
      <alignment horizontal="left" vertical="center"/>
      <protection hidden="1"/>
    </xf>
    <xf numFmtId="0" fontId="54" fillId="3" borderId="13" xfId="0" applyFont="1" applyFill="1" applyBorder="1" applyAlignment="1" applyProtection="1">
      <alignment horizontal="left" vertical="center"/>
      <protection hidden="1"/>
    </xf>
    <xf numFmtId="166" fontId="7" fillId="3" borderId="11" xfId="0" applyNumberFormat="1" applyFont="1" applyFill="1" applyBorder="1" applyAlignment="1" applyProtection="1">
      <alignment horizontal="left" vertical="center" shrinkToFit="1"/>
      <protection hidden="1"/>
    </xf>
    <xf numFmtId="166" fontId="7" fillId="3" borderId="13" xfId="0" applyNumberFormat="1" applyFont="1" applyFill="1" applyBorder="1" applyAlignment="1" applyProtection="1">
      <alignment horizontal="left" vertical="center" shrinkToFit="1"/>
      <protection hidden="1"/>
    </xf>
    <xf numFmtId="166" fontId="0" fillId="0" borderId="13" xfId="0" applyNumberFormat="1" applyFont="1" applyBorder="1" applyAlignment="1" applyProtection="1">
      <alignment horizontal="left" vertical="center" shrinkToFit="1"/>
      <protection hidden="1"/>
    </xf>
    <xf numFmtId="14" fontId="7" fillId="0" borderId="11" xfId="0" applyNumberFormat="1" applyFont="1" applyBorder="1" applyAlignment="1" applyProtection="1">
      <alignment horizontal="left" vertical="center" shrinkToFit="1"/>
      <protection hidden="1"/>
    </xf>
    <xf numFmtId="0" fontId="0" fillId="0" borderId="13" xfId="0" applyFont="1" applyBorder="1" applyAlignment="1" applyProtection="1">
      <alignment horizontal="left" shrinkToFit="1"/>
      <protection hidden="1"/>
    </xf>
    <xf numFmtId="0" fontId="7" fillId="3" borderId="11" xfId="0" applyFont="1" applyFill="1" applyBorder="1" applyAlignment="1" applyProtection="1">
      <alignment horizontal="left" vertical="center"/>
      <protection hidden="1"/>
    </xf>
    <xf numFmtId="0" fontId="7" fillId="3" borderId="13" xfId="0" applyFont="1" applyFill="1" applyBorder="1" applyAlignment="1" applyProtection="1">
      <alignment horizontal="left" vertical="center"/>
      <protection hidden="1"/>
    </xf>
    <xf numFmtId="0" fontId="7" fillId="3" borderId="11" xfId="0" applyFont="1" applyFill="1" applyBorder="1" applyAlignment="1" applyProtection="1">
      <alignment horizontal="left" vertical="center" shrinkToFit="1"/>
      <protection hidden="1"/>
    </xf>
    <xf numFmtId="0" fontId="7" fillId="3" borderId="13" xfId="0" applyFont="1" applyFill="1" applyBorder="1" applyAlignment="1" applyProtection="1">
      <alignment horizontal="left" vertical="center" shrinkToFit="1"/>
      <protection hidden="1"/>
    </xf>
    <xf numFmtId="0" fontId="0" fillId="0" borderId="13" xfId="0" applyFont="1" applyBorder="1" applyAlignment="1" applyProtection="1">
      <alignment shrinkToFit="1"/>
      <protection hidden="1"/>
    </xf>
    <xf numFmtId="4" fontId="53" fillId="3" borderId="11" xfId="2" applyNumberFormat="1" applyFont="1" applyFill="1" applyBorder="1" applyAlignment="1" applyProtection="1">
      <alignment horizontal="left" vertical="center" shrinkToFit="1"/>
      <protection hidden="1"/>
    </xf>
    <xf numFmtId="4" fontId="53" fillId="3" borderId="13" xfId="2" applyNumberFormat="1" applyFont="1" applyFill="1" applyBorder="1" applyAlignment="1" applyProtection="1">
      <alignment horizontal="left" vertical="center" shrinkToFit="1"/>
      <protection hidden="1"/>
    </xf>
    <xf numFmtId="0" fontId="0" fillId="0" borderId="0" xfId="0" applyBorder="1" applyAlignment="1" applyProtection="1">
      <alignment horizontal="center" vertical="center"/>
      <protection hidden="1"/>
    </xf>
    <xf numFmtId="0" fontId="63" fillId="0" borderId="0" xfId="1" applyFont="1" applyAlignment="1" applyProtection="1">
      <alignment horizontal="left" vertical="top"/>
      <protection hidden="1"/>
    </xf>
    <xf numFmtId="0" fontId="63" fillId="0" borderId="0" xfId="1" applyFont="1" applyAlignment="1" applyProtection="1">
      <alignment horizontal="center" vertical="top"/>
      <protection hidden="1"/>
    </xf>
    <xf numFmtId="0" fontId="38" fillId="0" borderId="0" xfId="0" applyFont="1" applyBorder="1" applyAlignment="1" applyProtection="1">
      <alignment horizontal="right" shrinkToFit="1"/>
      <protection hidden="1"/>
    </xf>
    <xf numFmtId="0" fontId="44" fillId="2" borderId="0" xfId="0" applyFont="1" applyFill="1" applyAlignment="1" applyProtection="1">
      <alignment horizontal="right"/>
      <protection hidden="1"/>
    </xf>
    <xf numFmtId="0" fontId="0" fillId="0" borderId="0" xfId="0" applyAlignment="1" applyProtection="1">
      <alignment horizontal="left"/>
      <protection hidden="1"/>
    </xf>
    <xf numFmtId="0" fontId="28" fillId="0" borderId="1" xfId="0" applyFont="1" applyBorder="1" applyAlignment="1" applyProtection="1">
      <alignment horizontal="center" vertical="top" wrapText="1"/>
      <protection locked="0"/>
    </xf>
    <xf numFmtId="0" fontId="28" fillId="0" borderId="0" xfId="0" applyFont="1" applyBorder="1" applyAlignment="1" applyProtection="1">
      <alignment horizontal="center" vertical="top" wrapText="1"/>
      <protection locked="0"/>
    </xf>
    <xf numFmtId="0" fontId="43" fillId="0" borderId="14" xfId="1" applyFont="1" applyBorder="1" applyAlignment="1" applyProtection="1">
      <alignment horizontal="left" vertical="center" wrapText="1"/>
      <protection hidden="1"/>
    </xf>
    <xf numFmtId="0" fontId="39" fillId="0" borderId="0" xfId="1" applyFont="1" applyBorder="1" applyAlignment="1" applyProtection="1"/>
    <xf numFmtId="0" fontId="7" fillId="3" borderId="11" xfId="0" applyFont="1" applyFill="1" applyBorder="1" applyAlignment="1" applyProtection="1">
      <alignment horizontal="left" vertical="center"/>
      <protection locked="0"/>
    </xf>
    <xf numFmtId="0" fontId="7" fillId="3" borderId="13" xfId="0" applyFont="1" applyFill="1" applyBorder="1" applyAlignment="1" applyProtection="1">
      <alignment horizontal="left" vertical="center"/>
      <protection locked="0"/>
    </xf>
    <xf numFmtId="0" fontId="7" fillId="3" borderId="11" xfId="0" applyFont="1" applyFill="1" applyBorder="1" applyAlignment="1" applyProtection="1">
      <alignment horizontal="left" vertical="center" shrinkToFit="1"/>
      <protection locked="0"/>
    </xf>
    <xf numFmtId="0" fontId="7" fillId="3" borderId="13" xfId="0" applyFont="1" applyFill="1" applyBorder="1" applyAlignment="1" applyProtection="1">
      <alignment horizontal="left" vertical="center" shrinkToFit="1"/>
      <protection locked="0"/>
    </xf>
    <xf numFmtId="0" fontId="0" fillId="0" borderId="13" xfId="0" applyFont="1" applyBorder="1" applyAlignment="1" applyProtection="1">
      <alignment shrinkToFit="1"/>
      <protection locked="0"/>
    </xf>
    <xf numFmtId="0" fontId="0" fillId="0" borderId="13" xfId="0" applyFont="1" applyBorder="1" applyAlignment="1">
      <alignment horizontal="left" shrinkToFit="1"/>
    </xf>
    <xf numFmtId="166" fontId="7" fillId="3" borderId="11" xfId="0" applyNumberFormat="1" applyFont="1" applyFill="1" applyBorder="1" applyAlignment="1" applyProtection="1">
      <alignment horizontal="left" vertical="center" shrinkToFit="1"/>
      <protection locked="0"/>
    </xf>
    <xf numFmtId="166" fontId="7" fillId="3" borderId="13" xfId="0" applyNumberFormat="1" applyFont="1" applyFill="1" applyBorder="1" applyAlignment="1" applyProtection="1">
      <alignment horizontal="left" vertical="center" shrinkToFit="1"/>
      <protection locked="0"/>
    </xf>
    <xf numFmtId="166" fontId="0" fillId="0" borderId="13" xfId="0" applyNumberFormat="1" applyFont="1" applyBorder="1" applyAlignment="1" applyProtection="1">
      <alignment horizontal="left" vertical="center" shrinkToFit="1"/>
      <protection locked="0"/>
    </xf>
    <xf numFmtId="0" fontId="44" fillId="2" borderId="0" xfId="0" applyFont="1" applyFill="1" applyAlignment="1" applyProtection="1">
      <alignment horizontal="right"/>
      <protection locked="0"/>
    </xf>
    <xf numFmtId="0" fontId="54" fillId="3" borderId="11" xfId="0" applyFont="1" applyFill="1" applyBorder="1" applyAlignment="1" applyProtection="1">
      <alignment horizontal="left" vertical="center"/>
      <protection locked="0"/>
    </xf>
    <xf numFmtId="0" fontId="54" fillId="3" borderId="13" xfId="0" applyFont="1" applyFill="1" applyBorder="1" applyAlignment="1" applyProtection="1">
      <alignment horizontal="left" vertical="center"/>
      <protection locked="0"/>
    </xf>
    <xf numFmtId="4" fontId="53" fillId="3" borderId="11" xfId="2" applyNumberFormat="1" applyFont="1" applyFill="1" applyBorder="1" applyAlignment="1" applyProtection="1">
      <alignment horizontal="left" vertical="center" shrinkToFit="1"/>
      <protection locked="0"/>
    </xf>
    <xf numFmtId="4" fontId="53" fillId="3" borderId="13" xfId="2" applyNumberFormat="1" applyFont="1" applyFill="1" applyBorder="1" applyAlignment="1" applyProtection="1">
      <alignment horizontal="left" vertical="center" shrinkToFit="1"/>
      <protection locked="0"/>
    </xf>
    <xf numFmtId="0" fontId="0" fillId="0" borderId="13" xfId="0" applyFont="1" applyBorder="1" applyAlignment="1" applyProtection="1">
      <alignment horizontal="left" shrinkToFit="1"/>
      <protection locked="0"/>
    </xf>
    <xf numFmtId="0" fontId="46" fillId="0" borderId="0" xfId="0" applyFont="1" applyBorder="1" applyAlignment="1" applyProtection="1">
      <alignment horizontal="left" vertical="center"/>
      <protection hidden="1"/>
    </xf>
    <xf numFmtId="0" fontId="35" fillId="0" borderId="0" xfId="0" applyFont="1" applyBorder="1" applyAlignment="1">
      <alignment horizontal="right"/>
    </xf>
    <xf numFmtId="0" fontId="43" fillId="0" borderId="0" xfId="1" applyFont="1" applyBorder="1" applyAlignment="1" applyProtection="1">
      <alignment horizontal="left" vertical="center" wrapText="1"/>
      <protection hidden="1"/>
    </xf>
    <xf numFmtId="0" fontId="21" fillId="0" borderId="0" xfId="0" applyFont="1" applyBorder="1" applyAlignment="1" applyProtection="1">
      <alignment horizontal="center" vertical="center" wrapText="1"/>
      <protection hidden="1"/>
    </xf>
    <xf numFmtId="0" fontId="43" fillId="0" borderId="0" xfId="1" applyFont="1" applyBorder="1" applyAlignment="1" applyProtection="1"/>
    <xf numFmtId="0" fontId="55" fillId="0" borderId="0" xfId="1" applyFont="1" applyBorder="1" applyAlignment="1" applyProtection="1">
      <alignment horizontal="left" vertical="center" wrapText="1"/>
      <protection hidden="1"/>
    </xf>
    <xf numFmtId="0" fontId="25" fillId="0" borderId="1" xfId="0" applyFont="1" applyBorder="1" applyAlignment="1">
      <alignment horizontal="center"/>
    </xf>
    <xf numFmtId="0" fontId="58" fillId="0" borderId="0" xfId="0" applyFont="1" applyBorder="1" applyAlignment="1">
      <alignment horizontal="left" shrinkToFit="1"/>
    </xf>
    <xf numFmtId="0" fontId="57" fillId="0" borderId="0" xfId="0" applyFont="1" applyBorder="1" applyAlignment="1">
      <alignment horizontal="left" shrinkToFit="1"/>
    </xf>
    <xf numFmtId="0" fontId="25" fillId="0" borderId="12" xfId="0" applyFont="1" applyBorder="1" applyAlignment="1" applyProtection="1">
      <alignment horizontal="center" wrapText="1"/>
      <protection hidden="1"/>
    </xf>
    <xf numFmtId="0" fontId="25" fillId="0" borderId="33" xfId="0" applyFont="1" applyBorder="1" applyAlignment="1" applyProtection="1">
      <alignment horizontal="center" wrapText="1"/>
      <protection hidden="1"/>
    </xf>
    <xf numFmtId="0" fontId="22" fillId="0" borderId="12" xfId="0" applyFont="1" applyBorder="1" applyAlignment="1" applyProtection="1">
      <alignment horizontal="center"/>
      <protection hidden="1"/>
    </xf>
    <xf numFmtId="0" fontId="22" fillId="0" borderId="0" xfId="0" applyFont="1" applyBorder="1" applyAlignment="1" applyProtection="1">
      <alignment horizontal="center"/>
      <protection hidden="1"/>
    </xf>
    <xf numFmtId="0" fontId="22" fillId="0" borderId="33" xfId="0" applyFont="1" applyBorder="1" applyAlignment="1" applyProtection="1">
      <alignment horizontal="center"/>
      <protection hidden="1"/>
    </xf>
    <xf numFmtId="0" fontId="22" fillId="0" borderId="12" xfId="0" applyFont="1" applyBorder="1" applyAlignment="1" applyProtection="1">
      <alignment horizontal="center" vertical="top" wrapText="1"/>
      <protection hidden="1"/>
    </xf>
    <xf numFmtId="0" fontId="22" fillId="0" borderId="33" xfId="0" applyFont="1" applyBorder="1" applyAlignment="1" applyProtection="1">
      <alignment horizontal="center" vertical="top" wrapText="1"/>
      <protection hidden="1"/>
    </xf>
    <xf numFmtId="0" fontId="24" fillId="0" borderId="12" xfId="0" applyFont="1" applyBorder="1" applyAlignment="1" applyProtection="1">
      <alignment horizontal="center" vertical="top" wrapText="1"/>
      <protection hidden="1"/>
    </xf>
    <xf numFmtId="0" fontId="24" fillId="0" borderId="33" xfId="0" applyFont="1" applyBorder="1" applyAlignment="1" applyProtection="1">
      <alignment horizontal="center" vertical="top" wrapText="1"/>
      <protection hidden="1"/>
    </xf>
    <xf numFmtId="0" fontId="39" fillId="0" borderId="0" xfId="1" applyFont="1" applyBorder="1" applyAlignment="1" applyProtection="1">
      <alignment horizontal="justify" vertical="center" wrapText="1"/>
      <protection hidden="1"/>
    </xf>
    <xf numFmtId="0" fontId="0" fillId="0" borderId="0" xfId="0" applyBorder="1" applyAlignment="1">
      <alignment shrinkToFit="1"/>
    </xf>
    <xf numFmtId="0" fontId="25" fillId="0" borderId="12" xfId="0" applyFont="1" applyBorder="1" applyAlignment="1" applyProtection="1">
      <alignment horizontal="center"/>
      <protection hidden="1"/>
    </xf>
    <xf numFmtId="0" fontId="25" fillId="0" borderId="0" xfId="0" applyFont="1" applyBorder="1" applyAlignment="1" applyProtection="1">
      <alignment horizontal="center"/>
      <protection hidden="1"/>
    </xf>
    <xf numFmtId="0" fontId="28" fillId="0" borderId="12" xfId="0" applyFont="1" applyBorder="1" applyAlignment="1" applyProtection="1">
      <alignment horizontal="center" wrapText="1"/>
      <protection hidden="1"/>
    </xf>
    <xf numFmtId="0" fontId="44" fillId="2" borderId="0" xfId="0" applyFont="1" applyFill="1" applyAlignment="1" applyProtection="1">
      <alignment horizontal="right" vertical="center"/>
      <protection hidden="1"/>
    </xf>
    <xf numFmtId="0" fontId="77" fillId="3" borderId="11" xfId="0" applyFont="1" applyFill="1" applyBorder="1" applyAlignment="1" applyProtection="1">
      <alignment horizontal="left" vertical="center"/>
      <protection locked="0"/>
    </xf>
    <xf numFmtId="0" fontId="77" fillId="3" borderId="13" xfId="0" applyFont="1" applyFill="1" applyBorder="1" applyAlignment="1" applyProtection="1">
      <alignment horizontal="left" vertical="center"/>
      <protection locked="0"/>
    </xf>
    <xf numFmtId="0" fontId="56" fillId="3" borderId="11" xfId="0" applyFont="1" applyFill="1" applyBorder="1" applyAlignment="1" applyProtection="1">
      <alignment horizontal="left" vertical="center"/>
      <protection locked="0"/>
    </xf>
    <xf numFmtId="0" fontId="56" fillId="3" borderId="13" xfId="0" applyFont="1" applyFill="1" applyBorder="1" applyAlignment="1" applyProtection="1">
      <alignment horizontal="left" vertical="center"/>
      <protection locked="0"/>
    </xf>
    <xf numFmtId="0" fontId="98" fillId="0" borderId="0" xfId="0" applyFont="1" applyBorder="1" applyAlignment="1" applyProtection="1">
      <alignment horizontal="left" vertical="center"/>
      <protection hidden="1"/>
    </xf>
    <xf numFmtId="0" fontId="28" fillId="0" borderId="12" xfId="0" applyFont="1" applyBorder="1" applyAlignment="1" applyProtection="1">
      <alignment horizontal="center" vertical="top" wrapText="1"/>
      <protection locked="0"/>
    </xf>
    <xf numFmtId="0" fontId="39" fillId="0" borderId="0" xfId="1" applyFont="1" applyBorder="1" applyAlignment="1" applyProtection="1">
      <alignment horizontal="justify" vertical="center"/>
      <protection hidden="1"/>
    </xf>
    <xf numFmtId="0" fontId="39" fillId="0" borderId="0" xfId="1" applyFont="1" applyBorder="1" applyAlignment="1" applyProtection="1">
      <alignment vertical="center"/>
    </xf>
    <xf numFmtId="0" fontId="55" fillId="0" borderId="0" xfId="1" applyFont="1" applyBorder="1" applyAlignment="1" applyProtection="1">
      <alignment vertical="center"/>
    </xf>
    <xf numFmtId="0" fontId="35" fillId="0" borderId="0" xfId="0" applyFont="1" applyBorder="1" applyAlignment="1">
      <alignment horizontal="right" vertical="center"/>
    </xf>
    <xf numFmtId="0" fontId="39" fillId="0" borderId="0" xfId="1" applyFont="1" applyBorder="1" applyAlignment="1" applyProtection="1">
      <alignment horizontal="left" vertical="center" wrapText="1"/>
      <protection hidden="1"/>
    </xf>
    <xf numFmtId="0" fontId="63" fillId="0" borderId="0" xfId="1" applyFont="1" applyAlignment="1" applyProtection="1">
      <alignment horizontal="right"/>
      <protection hidden="1"/>
    </xf>
    <xf numFmtId="4" fontId="79" fillId="3" borderId="11" xfId="2" applyNumberFormat="1" applyFont="1" applyFill="1" applyBorder="1" applyAlignment="1" applyProtection="1">
      <alignment horizontal="left" vertical="center" shrinkToFit="1"/>
      <protection locked="0"/>
    </xf>
    <xf numFmtId="4" fontId="79" fillId="3" borderId="13" xfId="2" applyNumberFormat="1" applyFont="1" applyFill="1" applyBorder="1" applyAlignment="1" applyProtection="1">
      <alignment horizontal="left" vertical="center" shrinkToFit="1"/>
      <protection locked="0"/>
    </xf>
    <xf numFmtId="0" fontId="51" fillId="0" borderId="13" xfId="0" applyFont="1" applyBorder="1" applyAlignment="1" applyProtection="1">
      <alignment horizontal="left" shrinkToFit="1"/>
      <protection locked="0"/>
    </xf>
    <xf numFmtId="0" fontId="35" fillId="0" borderId="14" xfId="1" applyFont="1" applyBorder="1" applyAlignment="1" applyProtection="1">
      <alignment horizontal="left" vertical="center" wrapText="1"/>
      <protection hidden="1"/>
    </xf>
    <xf numFmtId="166" fontId="56" fillId="3" borderId="11" xfId="0" applyNumberFormat="1" applyFont="1" applyFill="1" applyBorder="1" applyAlignment="1" applyProtection="1">
      <alignment horizontal="left" vertical="center" shrinkToFit="1"/>
      <protection locked="0"/>
    </xf>
    <xf numFmtId="166" fontId="56" fillId="3" borderId="13" xfId="0" applyNumberFormat="1" applyFont="1" applyFill="1" applyBorder="1" applyAlignment="1" applyProtection="1">
      <alignment horizontal="left" vertical="center" shrinkToFit="1"/>
      <protection locked="0"/>
    </xf>
    <xf numFmtId="166" fontId="51" fillId="0" borderId="13" xfId="0" applyNumberFormat="1" applyFont="1" applyBorder="1" applyAlignment="1" applyProtection="1">
      <alignment horizontal="left" vertical="center" shrinkToFit="1"/>
      <protection locked="0"/>
    </xf>
    <xf numFmtId="14" fontId="56" fillId="0" borderId="11" xfId="0" applyNumberFormat="1" applyFont="1" applyBorder="1" applyAlignment="1" applyProtection="1">
      <alignment horizontal="left" vertical="center" shrinkToFit="1"/>
      <protection hidden="1"/>
    </xf>
    <xf numFmtId="0" fontId="51" fillId="0" borderId="13" xfId="0" applyFont="1" applyBorder="1" applyAlignment="1">
      <alignment horizontal="left" shrinkToFit="1"/>
    </xf>
    <xf numFmtId="0" fontId="56" fillId="3" borderId="11" xfId="0" applyFont="1" applyFill="1" applyBorder="1" applyAlignment="1" applyProtection="1">
      <alignment horizontal="left" vertical="center" shrinkToFit="1"/>
      <protection locked="0"/>
    </xf>
    <xf numFmtId="0" fontId="56" fillId="3" borderId="13" xfId="0" applyFont="1" applyFill="1" applyBorder="1" applyAlignment="1" applyProtection="1">
      <alignment horizontal="left" vertical="center" shrinkToFit="1"/>
      <protection locked="0"/>
    </xf>
    <xf numFmtId="0" fontId="51" fillId="0" borderId="13" xfId="0" applyFont="1" applyBorder="1" applyAlignment="1" applyProtection="1">
      <alignment shrinkToFit="1"/>
      <protection locked="0"/>
    </xf>
    <xf numFmtId="0" fontId="63" fillId="0" borderId="0" xfId="1" applyFont="1" applyAlignment="1" applyProtection="1">
      <alignment horizontal="left"/>
      <protection hidden="1"/>
    </xf>
    <xf numFmtId="0" fontId="88" fillId="3" borderId="0" xfId="1" applyFont="1" applyFill="1" applyBorder="1" applyAlignment="1" applyProtection="1">
      <alignment horizontal="justify" vertical="top" wrapText="1"/>
    </xf>
    <xf numFmtId="0" fontId="89" fillId="3" borderId="0" xfId="1" applyFont="1" applyFill="1" applyBorder="1" applyAlignment="1" applyProtection="1">
      <alignment horizontal="justify" vertical="top" wrapText="1"/>
    </xf>
    <xf numFmtId="0" fontId="90" fillId="3" borderId="0" xfId="1" applyFont="1" applyFill="1" applyBorder="1" applyAlignment="1" applyProtection="1">
      <alignment horizontal="justify" vertical="top" wrapText="1"/>
    </xf>
    <xf numFmtId="0" fontId="87" fillId="8" borderId="0" xfId="1" applyFont="1" applyFill="1" applyBorder="1" applyAlignment="1" applyProtection="1">
      <alignment horizontal="left" vertical="center" shrinkToFit="1"/>
    </xf>
    <xf numFmtId="0" fontId="5" fillId="3" borderId="0" xfId="1" applyFill="1" applyBorder="1" applyAlignment="1" applyProtection="1">
      <alignment horizontal="center" vertical="center"/>
    </xf>
    <xf numFmtId="0" fontId="5" fillId="0" borderId="0" xfId="1" applyAlignment="1" applyProtection="1"/>
    <xf numFmtId="0" fontId="0" fillId="0" borderId="0" xfId="0"/>
    <xf numFmtId="0" fontId="0" fillId="0" borderId="35" xfId="0" applyBorder="1"/>
    <xf numFmtId="0" fontId="0" fillId="0" borderId="36" xfId="0" applyBorder="1"/>
    <xf numFmtId="0" fontId="0" fillId="0" borderId="37" xfId="0" applyBorder="1"/>
    <xf numFmtId="0" fontId="89" fillId="3" borderId="41" xfId="1" applyFont="1" applyFill="1" applyBorder="1" applyAlignment="1" applyProtection="1">
      <alignment horizontal="justify" vertical="top" wrapText="1"/>
    </xf>
    <xf numFmtId="0" fontId="90" fillId="3" borderId="41" xfId="1" applyFont="1" applyFill="1" applyBorder="1" applyAlignment="1" applyProtection="1">
      <alignment horizontal="justify" vertical="top" wrapText="1"/>
    </xf>
    <xf numFmtId="0" fontId="88" fillId="3" borderId="41" xfId="1" applyFont="1" applyFill="1" applyBorder="1" applyAlignment="1" applyProtection="1">
      <alignment horizontal="justify" vertical="top" wrapText="1"/>
    </xf>
    <xf numFmtId="0" fontId="93" fillId="3" borderId="0" xfId="1" applyFont="1" applyFill="1" applyBorder="1" applyAlignment="1" applyProtection="1">
      <alignment horizontal="justify" vertical="top" wrapText="1"/>
    </xf>
    <xf numFmtId="0" fontId="92" fillId="3" borderId="0" xfId="0" applyFont="1" applyFill="1" applyBorder="1" applyAlignment="1">
      <alignment horizontal="justify" vertical="top" wrapText="1"/>
    </xf>
    <xf numFmtId="0" fontId="63" fillId="7" borderId="0" xfId="1" applyFont="1" applyFill="1" applyAlignment="1" applyProtection="1">
      <alignment horizontal="right"/>
    </xf>
    <xf numFmtId="0" fontId="61" fillId="6" borderId="0" xfId="0" applyFont="1" applyFill="1" applyBorder="1" applyAlignment="1">
      <alignment vertical="center"/>
    </xf>
  </cellXfs>
  <cellStyles count="10">
    <cellStyle name="Hiperlink" xfId="1" builtinId="8"/>
    <cellStyle name="Moeda 2" xfId="2"/>
    <cellStyle name="Moeda 3" xfId="3"/>
    <cellStyle name="Normal" xfId="0" builtinId="0"/>
    <cellStyle name="Normal 2" xfId="4"/>
    <cellStyle name="Normal 3" xfId="5"/>
    <cellStyle name="Normal 3 2" xfId="6"/>
    <cellStyle name="Porcentagem 2" xfId="7"/>
    <cellStyle name="Separador de milhares 3 2" xfId="8"/>
    <cellStyle name="Vírgula 2" xfId="9"/>
  </cellStyles>
  <dxfs count="228">
    <dxf>
      <font>
        <b val="0"/>
        <i val="0"/>
        <color rgb="FFFF0000"/>
      </font>
      <border>
        <left/>
        <right/>
        <top/>
        <bottom/>
        <vertical/>
        <horizontal/>
      </border>
    </dxf>
    <dxf>
      <font>
        <b val="0"/>
        <i val="0"/>
        <color rgb="FFFF0000"/>
      </font>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patternFill>
          <bgColor rgb="FFFFFFCC"/>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ill>
        <patternFill patternType="lightTrellis">
          <bgColor theme="0"/>
        </patternFill>
      </fill>
    </dxf>
    <dxf>
      <fill>
        <patternFill>
          <bgColor rgb="FFFFFFCC"/>
        </patternFill>
      </fill>
    </dxf>
    <dxf>
      <fill>
        <patternFill patternType="lightTrellis">
          <bgColor theme="0"/>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theme="1" tint="0.34998626667073579"/>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patternFill>
          <bgColor rgb="FFFFFFCC"/>
        </patternFill>
      </fill>
    </dxf>
    <dxf>
      <font>
        <b/>
        <i val="0"/>
        <color theme="0"/>
      </font>
      <fill>
        <patternFill>
          <bgColor theme="1"/>
        </patternFill>
      </fill>
    </dxf>
    <dxf>
      <font>
        <color theme="1" tint="0.34998626667073579"/>
      </font>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patternFill>
          <bgColor rgb="FFFFFFCC"/>
        </patternFill>
      </fill>
    </dxf>
    <dxf>
      <font>
        <b/>
        <i val="0"/>
        <color theme="0"/>
      </font>
      <fill>
        <patternFill>
          <bgColor theme="1"/>
        </patternFill>
      </fill>
    </dxf>
    <dxf>
      <font>
        <color theme="1" tint="0.34998626667073579"/>
      </font>
    </dxf>
    <dxf>
      <font>
        <b/>
        <i val="0"/>
        <color theme="0"/>
      </font>
      <fill>
        <patternFill>
          <bgColor theme="1"/>
        </patternFill>
      </fill>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patternFill>
          <bgColor rgb="FFFFFFCC"/>
        </patternFill>
      </fill>
    </dxf>
    <dxf>
      <fill>
        <patternFill>
          <bgColor rgb="FFFFFFCC"/>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theme="1" tint="0.34998626667073579"/>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theme="1" tint="0.34998626667073579"/>
      </font>
    </dxf>
    <dxf>
      <font>
        <b/>
        <i val="0"/>
        <color theme="0"/>
      </font>
      <fill>
        <patternFill>
          <bgColor theme="1"/>
        </patternFill>
      </fill>
    </dxf>
    <dxf>
      <font>
        <color theme="1" tint="0.34998626667073579"/>
      </font>
    </dxf>
    <dxf>
      <font>
        <color theme="1" tint="0.34998626667073579"/>
      </font>
    </dxf>
    <dxf>
      <font>
        <b/>
        <i val="0"/>
        <color theme="0"/>
      </font>
      <fill>
        <patternFill>
          <bgColor theme="1"/>
        </patternFill>
      </fill>
    </dxf>
    <dxf>
      <font>
        <color theme="1" tint="0.34998626667073579"/>
      </font>
    </dxf>
    <dxf>
      <font>
        <b/>
        <i val="0"/>
        <color theme="0"/>
      </font>
      <fill>
        <patternFill>
          <bgColor theme="1"/>
        </patternFill>
      </fill>
    </dxf>
    <dxf>
      <fill>
        <patternFill>
          <bgColor rgb="FFFFFFCC"/>
        </patternFill>
      </fill>
    </dxf>
    <dxf>
      <font>
        <b/>
        <i val="0"/>
        <color theme="0"/>
      </font>
      <fill>
        <patternFill>
          <bgColor theme="1"/>
        </patternFill>
      </fill>
    </dxf>
    <dxf>
      <fill>
        <patternFill patternType="lightTrellis">
          <bgColor theme="0"/>
        </patternFill>
      </fill>
    </dxf>
    <dxf>
      <fill>
        <patternFill>
          <bgColor rgb="FFFFFFCC"/>
        </patternFill>
      </fill>
    </dxf>
    <dxf>
      <fill>
        <patternFill patternType="lightTrellis">
          <bgColor theme="0"/>
        </patternFill>
      </fill>
    </dxf>
    <dxf>
      <fill>
        <patternFill patternType="lightTrellis">
          <bgColor theme="0"/>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theme="1" tint="0.34998626667073579"/>
      </font>
    </dxf>
    <dxf>
      <fill>
        <gradientFill type="path" left="0.5" right="0.5" top="0.5" bottom="0.5">
          <stop position="0">
            <color theme="0"/>
          </stop>
          <stop position="1">
            <color rgb="FFFFFFCC"/>
          </stop>
        </gradientFill>
      </fill>
    </dxf>
    <dxf>
      <fill>
        <gradientFill type="path" left="0.5" right="0.5" top="0.5" bottom="0.5">
          <stop position="0">
            <color theme="0"/>
          </stop>
          <stop position="1">
            <color rgb="FFFFFFCC"/>
          </stop>
        </gradientFill>
      </fill>
      <border>
        <top style="thin">
          <color theme="0"/>
        </top>
      </border>
    </dxf>
    <dxf>
      <font>
        <color theme="1" tint="0.34998626667073579"/>
      </font>
    </dxf>
    <dxf>
      <font>
        <b/>
        <i val="0"/>
        <color theme="0"/>
      </font>
      <fill>
        <patternFill>
          <bgColor theme="1"/>
        </patternFill>
      </fill>
    </dxf>
    <dxf>
      <fill>
        <patternFill patternType="lightTrellis">
          <bgColor theme="0"/>
        </patternFill>
      </fill>
    </dxf>
    <dxf>
      <fill>
        <patternFill>
          <bgColor rgb="FFFFFFCC"/>
        </patternFill>
      </fill>
    </dxf>
    <dxf>
      <fill>
        <patternFill patternType="lightTrellis">
          <bgColor theme="0"/>
        </patternFill>
      </fill>
    </dxf>
    <dxf>
      <fill>
        <patternFill patternType="lightTrellis">
          <fgColor theme="1"/>
          <bgColor theme="0"/>
        </patternFill>
      </fill>
    </dxf>
    <dxf>
      <fill>
        <patternFill patternType="lightTrellis">
          <bgColor theme="0"/>
        </patternFill>
      </fill>
    </dxf>
    <dxf>
      <fill>
        <patternFill>
          <bgColor rgb="FFFFFFCC"/>
        </patternFill>
      </fill>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patternFill>
          <bgColor rgb="FFFFFFCC"/>
        </patternFill>
      </fill>
    </dxf>
    <dxf>
      <font>
        <color rgb="FF9C0006"/>
      </font>
      <fill>
        <patternFill>
          <bgColor rgb="FF66FF66"/>
        </patternFill>
      </fill>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patternFill>
          <bgColor rgb="FFFFFFCC"/>
        </patternFill>
      </fill>
    </dxf>
    <dxf>
      <font>
        <color rgb="FF9C0006"/>
      </font>
      <fill>
        <patternFill>
          <bgColor rgb="FF66FF66"/>
        </patternFill>
      </fill>
    </dxf>
    <dxf>
      <fill>
        <patternFill patternType="lightTrellis">
          <bgColor theme="0"/>
        </patternFill>
      </fill>
    </dxf>
    <dxf>
      <fill>
        <patternFill>
          <bgColor rgb="FFFFFFCC"/>
        </patternFill>
      </fill>
    </dxf>
    <dxf>
      <fill>
        <patternFill patternType="lightTrellis">
          <bgColor theme="0"/>
        </patternFill>
      </fill>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ont>
        <b/>
        <i val="0"/>
        <color theme="0"/>
      </font>
      <fill>
        <patternFill>
          <bgColor theme="1"/>
        </patternFill>
      </fill>
    </dxf>
    <dxf>
      <font>
        <color theme="1" tint="0.34998626667073579"/>
      </font>
    </dxf>
    <dxf>
      <fill>
        <patternFill>
          <bgColor rgb="FFFFFFCC"/>
        </patternFill>
      </fill>
    </dxf>
    <dxf>
      <font>
        <b val="0"/>
        <i val="0"/>
        <color rgb="FFFF0000"/>
      </font>
      <border>
        <left/>
        <right/>
        <top/>
        <bottom/>
        <vertical/>
        <horizontal/>
      </border>
    </dxf>
    <dxf>
      <font>
        <b val="0"/>
        <i val="0"/>
        <color rgb="FFFF0000"/>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ill>
        <patternFill>
          <bgColor rgb="FFFFFFCC"/>
        </patternFill>
      </fill>
    </dxf>
    <dxf>
      <fill>
        <patternFill patternType="lightTrellis">
          <bgColor theme="0"/>
        </patternFill>
      </fill>
    </dxf>
    <dxf>
      <fill>
        <patternFill patternType="lightTrellis">
          <bgColor theme="0"/>
        </patternFill>
      </fill>
    </dxf>
    <dxf>
      <font>
        <b/>
        <i val="0"/>
        <color theme="0"/>
      </font>
      <fill>
        <patternFill>
          <bgColor theme="1"/>
        </patternFill>
      </fill>
    </dxf>
    <dxf>
      <font>
        <color theme="1" tint="0.34998626667073579"/>
      </font>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bgColor theme="0"/>
        </patternFill>
      </fill>
    </dxf>
    <dxf>
      <fill>
        <patternFill>
          <bgColor rgb="FFFFFFCC"/>
        </patternFill>
      </fill>
    </dxf>
    <dxf>
      <fill>
        <patternFill patternType="lightTrellis">
          <bgColor theme="0"/>
        </patternFill>
      </fill>
    </dxf>
    <dxf>
      <font>
        <b/>
        <i val="0"/>
        <color theme="0"/>
      </font>
      <fill>
        <patternFill>
          <bgColor theme="1"/>
        </patternFill>
      </fill>
    </dxf>
    <dxf>
      <font>
        <b/>
        <i val="0"/>
        <color theme="0"/>
      </font>
      <fill>
        <patternFill>
          <bgColor theme="1"/>
        </patternFill>
      </fill>
    </dxf>
    <dxf>
      <fill>
        <patternFill>
          <bgColor rgb="FFFFFFCC"/>
        </patternFill>
      </fill>
    </dxf>
    <dxf>
      <fill>
        <patternFill patternType="lightTrellis"/>
      </fill>
    </dxf>
    <dxf>
      <font>
        <color rgb="FFFF0000"/>
      </font>
      <fill>
        <patternFill>
          <bgColor rgb="FFFFFF66"/>
        </patternFill>
      </fill>
      <border>
        <left style="dashDotDot">
          <color theme="1" tint="0.24994659260841701"/>
        </left>
        <right style="dashDotDot">
          <color theme="1" tint="0.24994659260841701"/>
        </right>
        <top style="dashDotDot">
          <color theme="1" tint="0.24994659260841701"/>
        </top>
        <bottom style="dashDotDot">
          <color theme="1" tint="0.24994659260841701"/>
        </bottom>
        <vertical/>
        <horizontal/>
      </border>
    </dxf>
    <dxf>
      <fill>
        <patternFill patternType="lightTrellis"/>
      </fill>
    </dxf>
    <dxf>
      <fill>
        <gradientFill type="path" left="0.5" right="0.5" top="0.5" bottom="0.5">
          <stop position="0">
            <color theme="0"/>
          </stop>
          <stop position="1">
            <color rgb="FFFFFFCC"/>
          </stop>
        </gradientFill>
      </fill>
    </dxf>
    <dxf>
      <fill>
        <gradientFill type="path" left="0.5" right="0.5" top="0.5" bottom="0.5">
          <stop position="0">
            <color theme="0"/>
          </stop>
          <stop position="1">
            <color rgb="FFFFFFCC"/>
          </stop>
        </gradientFill>
      </fill>
      <border>
        <top style="thin">
          <color theme="0"/>
        </top>
      </border>
    </dxf>
  </dxfs>
  <tableStyles count="0" defaultTableStyle="TableStyleMedium9" defaultPivotStyle="PivotStyleLight16"/>
  <colors>
    <mruColors>
      <color rgb="FF0066FF"/>
      <color rgb="FFFFFFCC"/>
      <color rgb="FF66FF66"/>
      <color rgb="FFFFFF66"/>
      <color rgb="FF0000FF"/>
      <color rgb="FF0033CC"/>
      <color rgb="FFFFFF99"/>
      <color rgb="FFFFCE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wmf"/></Relationships>
</file>

<file path=xl/drawings/_rels/drawing3.xml.rels><?xml version="1.0" encoding="UTF-8" standalone="yes"?>
<Relationships xmlns="http://schemas.openxmlformats.org/package/2006/relationships"><Relationship Id="rId1" Type="http://schemas.openxmlformats.org/officeDocument/2006/relationships/image" Target="../media/image4.wmf"/></Relationships>
</file>

<file path=xl/drawings/drawing1.xml><?xml version="1.0" encoding="utf-8"?>
<xdr:wsDr xmlns:xdr="http://schemas.openxmlformats.org/drawingml/2006/spreadsheetDrawing" xmlns:a="http://schemas.openxmlformats.org/drawingml/2006/main">
  <xdr:twoCellAnchor>
    <xdr:from>
      <xdr:col>3</xdr:col>
      <xdr:colOff>196849</xdr:colOff>
      <xdr:row>2</xdr:row>
      <xdr:rowOff>250591</xdr:rowOff>
    </xdr:from>
    <xdr:to>
      <xdr:col>16</xdr:col>
      <xdr:colOff>13608</xdr:colOff>
      <xdr:row>2</xdr:row>
      <xdr:rowOff>951443</xdr:rowOff>
    </xdr:to>
    <xdr:sp macro="" textlink="">
      <xdr:nvSpPr>
        <xdr:cNvPr id="2" name="Retângulo 1"/>
        <xdr:cNvSpPr/>
      </xdr:nvSpPr>
      <xdr:spPr>
        <a:xfrm>
          <a:off x="358774" y="641116"/>
          <a:ext cx="11342009" cy="700852"/>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numCol="1" spcCol="0" rtlCol="0" anchor="t"/>
        <a:lstStyle/>
        <a:p>
          <a:pPr algn="l"/>
          <a:r>
            <a:rPr lang="pt-BR" sz="3600">
              <a:solidFill>
                <a:srgbClr val="8FAADC"/>
              </a:solidFill>
              <a:effectLst>
                <a:outerShdw blurRad="63500" sx="101000" sy="101000" algn="ctr" rotWithShape="0">
                  <a:schemeClr val="bg1">
                    <a:lumMod val="85000"/>
                    <a:alpha val="40000"/>
                  </a:schemeClr>
                </a:outerShdw>
              </a:effectLst>
              <a:latin typeface="Segoe UI Light" panose="020B0502040204020203" pitchFamily="34" charset="0"/>
              <a:cs typeface="Segoe UI Light" panose="020B0502040204020203" pitchFamily="34" charset="0"/>
            </a:rPr>
            <a:t>Listas de Documentos</a:t>
          </a:r>
          <a:r>
            <a:rPr lang="pt-BR" sz="3600" baseline="0">
              <a:solidFill>
                <a:srgbClr val="8FAADC"/>
              </a:solidFill>
              <a:effectLst>
                <a:outerShdw blurRad="63500" sx="101000" sy="101000" algn="ctr" rotWithShape="0">
                  <a:schemeClr val="bg1">
                    <a:lumMod val="85000"/>
                    <a:alpha val="40000"/>
                  </a:schemeClr>
                </a:outerShdw>
              </a:effectLst>
              <a:latin typeface="Segoe UI Light" panose="020B0502040204020203" pitchFamily="34" charset="0"/>
              <a:cs typeface="Segoe UI Light" panose="020B0502040204020203" pitchFamily="34" charset="0"/>
            </a:rPr>
            <a:t> - Não Rural</a:t>
          </a:r>
          <a:endParaRPr lang="pt-BR" sz="3600">
            <a:solidFill>
              <a:srgbClr val="8FAADC"/>
            </a:solidFill>
            <a:effectLst>
              <a:outerShdw blurRad="63500" sx="101000" sy="101000" algn="ctr" rotWithShape="0">
                <a:schemeClr val="bg1">
                  <a:lumMod val="85000"/>
                  <a:alpha val="40000"/>
                </a:schemeClr>
              </a:outerShdw>
            </a:effectLst>
            <a:latin typeface="Segoe UI Light" panose="020B0502040204020203" pitchFamily="34" charset="0"/>
            <a:cs typeface="Segoe UI Light" panose="020B0502040204020203" pitchFamily="34" charset="0"/>
          </a:endParaRPr>
        </a:p>
      </xdr:txBody>
    </xdr:sp>
    <xdr:clientData/>
  </xdr:twoCellAnchor>
  <xdr:twoCellAnchor>
    <xdr:from>
      <xdr:col>7</xdr:col>
      <xdr:colOff>625928</xdr:colOff>
      <xdr:row>8</xdr:row>
      <xdr:rowOff>108875</xdr:rowOff>
    </xdr:from>
    <xdr:to>
      <xdr:col>8</xdr:col>
      <xdr:colOff>1587955</xdr:colOff>
      <xdr:row>18</xdr:row>
      <xdr:rowOff>81662</xdr:rowOff>
    </xdr:to>
    <xdr:grpSp>
      <xdr:nvGrpSpPr>
        <xdr:cNvPr id="3" name="Grupo 2"/>
        <xdr:cNvGrpSpPr/>
      </xdr:nvGrpSpPr>
      <xdr:grpSpPr>
        <a:xfrm>
          <a:off x="5252357" y="2081911"/>
          <a:ext cx="1683205" cy="2381251"/>
          <a:chOff x="5211536" y="2000250"/>
          <a:chExt cx="1683205" cy="2381251"/>
        </a:xfrm>
      </xdr:grpSpPr>
      <xdr:sp macro="[0]!Macro1" textlink="">
        <xdr:nvSpPr>
          <xdr:cNvPr id="4" name="CaixaDeTexto 3"/>
          <xdr:cNvSpPr txBox="1"/>
        </xdr:nvSpPr>
        <xdr:spPr>
          <a:xfrm>
            <a:off x="5252470" y="3561233"/>
            <a:ext cx="1642271" cy="820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600" i="0">
                <a:solidFill>
                  <a:schemeClr val="accent3">
                    <a:lumMod val="50000"/>
                  </a:schemeClr>
                </a:solidFill>
                <a:latin typeface="Leelawadee" pitchFamily="34" charset="-34"/>
                <a:cs typeface="Leelawadee" pitchFamily="34" charset="-34"/>
              </a:rPr>
              <a:t>Outros</a:t>
            </a:r>
          </a:p>
        </xdr:txBody>
      </xdr:sp>
      <xdr:pic macro="[0]!Macro1">
        <xdr:nvPicPr>
          <xdr:cNvPr id="5" name="Imagem 4"/>
          <xdr:cNvPicPr>
            <a:picLocks noChangeAspect="1"/>
          </xdr:cNvPicPr>
        </xdr:nvPicPr>
        <xdr:blipFill>
          <a:blip xmlns:r="http://schemas.openxmlformats.org/officeDocument/2006/relationships" r:embed="rId1" cstate="print"/>
          <a:stretch>
            <a:fillRect/>
          </a:stretch>
        </xdr:blipFill>
        <xdr:spPr>
          <a:xfrm>
            <a:off x="5211536" y="2000250"/>
            <a:ext cx="1649065" cy="1823357"/>
          </a:xfrm>
          <a:prstGeom prst="rect">
            <a:avLst/>
          </a:prstGeom>
        </xdr:spPr>
      </xdr:pic>
    </xdr:grpSp>
    <xdr:clientData/>
  </xdr:twoCellAnchor>
  <xdr:twoCellAnchor>
    <xdr:from>
      <xdr:col>5</xdr:col>
      <xdr:colOff>938895</xdr:colOff>
      <xdr:row>8</xdr:row>
      <xdr:rowOff>108878</xdr:rowOff>
    </xdr:from>
    <xdr:to>
      <xdr:col>6</xdr:col>
      <xdr:colOff>573768</xdr:colOff>
      <xdr:row>18</xdr:row>
      <xdr:rowOff>27234</xdr:rowOff>
    </xdr:to>
    <xdr:grpSp>
      <xdr:nvGrpSpPr>
        <xdr:cNvPr id="6" name="Grupo 5"/>
        <xdr:cNvGrpSpPr/>
      </xdr:nvGrpSpPr>
      <xdr:grpSpPr>
        <a:xfrm>
          <a:off x="2884716" y="2081914"/>
          <a:ext cx="1703159" cy="2326820"/>
          <a:chOff x="2884716" y="2000253"/>
          <a:chExt cx="1703159" cy="2326820"/>
        </a:xfrm>
      </xdr:grpSpPr>
      <xdr:sp macro="[0]!Macro2" textlink="">
        <xdr:nvSpPr>
          <xdr:cNvPr id="7" name="CaixaDeTexto 6"/>
          <xdr:cNvSpPr txBox="1"/>
        </xdr:nvSpPr>
        <xdr:spPr>
          <a:xfrm>
            <a:off x="2953807" y="3601925"/>
            <a:ext cx="1634068" cy="725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600" i="0">
                <a:solidFill>
                  <a:schemeClr val="accent3">
                    <a:lumMod val="50000"/>
                  </a:schemeClr>
                </a:solidFill>
                <a:latin typeface="Leelawadee" pitchFamily="34" charset="-34"/>
                <a:cs typeface="Leelawadee" pitchFamily="34" charset="-34"/>
              </a:rPr>
              <a:t>FDA</a:t>
            </a:r>
          </a:p>
        </xdr:txBody>
      </xdr:sp>
      <xdr:pic macro="[0]!Macro2">
        <xdr:nvPicPr>
          <xdr:cNvPr id="8" name="Imagem 7"/>
          <xdr:cNvPicPr>
            <a:picLocks noChangeAspect="1"/>
          </xdr:cNvPicPr>
        </xdr:nvPicPr>
        <xdr:blipFill>
          <a:blip xmlns:r="http://schemas.openxmlformats.org/officeDocument/2006/relationships" r:embed="rId2" cstate="print"/>
          <a:stretch>
            <a:fillRect/>
          </a:stretch>
        </xdr:blipFill>
        <xdr:spPr>
          <a:xfrm>
            <a:off x="2884716" y="2000253"/>
            <a:ext cx="1674234" cy="1823356"/>
          </a:xfrm>
          <a:prstGeom prst="rect">
            <a:avLst/>
          </a:prstGeom>
        </xdr:spPr>
      </xdr:pic>
    </xdr:grpSp>
    <xdr:clientData/>
  </xdr:twoCellAnchor>
  <xdr:twoCellAnchor editAs="oneCell">
    <xdr:from>
      <xdr:col>29</xdr:col>
      <xdr:colOff>1333500</xdr:colOff>
      <xdr:row>2</xdr:row>
      <xdr:rowOff>843645</xdr:rowOff>
    </xdr:from>
    <xdr:to>
      <xdr:col>16384</xdr:col>
      <xdr:colOff>609660</xdr:colOff>
      <xdr:row>10</xdr:row>
      <xdr:rowOff>176894</xdr:rowOff>
    </xdr:to>
    <xdr:pic>
      <xdr:nvPicPr>
        <xdr:cNvPr id="9" name="Imagem 8"/>
        <xdr:cNvPicPr>
          <a:picLocks noChangeAspect="1"/>
        </xdr:cNvPicPr>
      </xdr:nvPicPr>
      <xdr:blipFill>
        <a:blip xmlns:r="http://schemas.openxmlformats.org/officeDocument/2006/relationships" r:embed="rId3" cstate="print"/>
        <a:stretch>
          <a:fillRect/>
        </a:stretch>
      </xdr:blipFill>
      <xdr:spPr>
        <a:xfrm>
          <a:off x="18392775" y="1234170"/>
          <a:ext cx="609660" cy="17906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2</xdr:row>
      <xdr:rowOff>0</xdr:rowOff>
    </xdr:from>
    <xdr:to>
      <xdr:col>15</xdr:col>
      <xdr:colOff>1550355</xdr:colOff>
      <xdr:row>2</xdr:row>
      <xdr:rowOff>294589</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285750"/>
          <a:ext cx="1893255" cy="2945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0</xdr:colOff>
      <xdr:row>296</xdr:row>
      <xdr:rowOff>0</xdr:rowOff>
    </xdr:from>
    <xdr:to>
      <xdr:col>15</xdr:col>
      <xdr:colOff>1550355</xdr:colOff>
      <xdr:row>296</xdr:row>
      <xdr:rowOff>294589</xdr:rowOff>
    </xdr:to>
    <xdr:pic>
      <xdr:nvPicPr>
        <xdr:cNvPr id="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35099625"/>
          <a:ext cx="1893255" cy="2945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2</xdr:row>
      <xdr:rowOff>0</xdr:rowOff>
    </xdr:from>
    <xdr:to>
      <xdr:col>15</xdr:col>
      <xdr:colOff>1550355</xdr:colOff>
      <xdr:row>2</xdr:row>
      <xdr:rowOff>294589</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190500"/>
          <a:ext cx="1893255" cy="2945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rv2054\ACOMPANHAMENTO%20DE%20PROPOSTAS\publica\CARTEIRA%20DE%20AN&#193;LISE%20DE%20CR&#201;DITO\ANALISES%20FNO-PRONAF%202014\ELIAS\Fevereiro\MA_JOSE%20AGUID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ublica\CARTEIRA%20DE%20AN&#193;LISE%20DE%20CR&#201;DITO\ANALISES%20FNO-PRONAF%202014\ELIAS\Fevereiro\MA_JOSE%20AGUID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P"/>
      <sheetName val="Dados_Gerais"/>
      <sheetName val="ORÇAMENTO"/>
      <sheetName val="Individuais"/>
      <sheetName val="PREVISAO_PRODUCAO"/>
      <sheetName val="Crítica"/>
      <sheetName val="GARANTIA"/>
      <sheetName val="RECOR"/>
      <sheetName val="CXEmitentes"/>
      <sheetName val="CX_Intervenientes"/>
      <sheetName val="CxApres"/>
      <sheetName val="Plan2"/>
      <sheetName val="Cédula"/>
      <sheetName val="Receitas"/>
      <sheetName val="Custos"/>
      <sheetName val="Fluxo"/>
      <sheetName val="Declaracao "/>
      <sheetName val="DECLARAÇÃO DE POSSE"/>
      <sheetName val="Declaração Geral"/>
      <sheetName val="Evolução"/>
      <sheetName val="Suporte"/>
      <sheetName val="Relatório"/>
      <sheetName val="Carta"/>
      <sheetName val="Relação"/>
      <sheetName val="CACAU_REC"/>
    </sheetNames>
    <sheetDataSet>
      <sheetData sheetId="0">
        <row r="57">
          <cell r="IK57" t="str">
            <v>MA</v>
          </cell>
        </row>
      </sheetData>
      <sheetData sheetId="1" refreshError="1"/>
      <sheetData sheetId="2"/>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2">
          <cell r="CE2">
            <v>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P"/>
      <sheetName val="Dados_Gerais"/>
      <sheetName val="ORÇAMENTO"/>
      <sheetName val="Individuais"/>
      <sheetName val="PREVISAO_PRODUCAO"/>
      <sheetName val="Crítica"/>
      <sheetName val="GARANTIA"/>
      <sheetName val="RECOR"/>
      <sheetName val="CXEmitentes"/>
      <sheetName val="CX_Intervenientes"/>
      <sheetName val="CxApres"/>
      <sheetName val="Plan2"/>
      <sheetName val="Cédula"/>
      <sheetName val="Receitas"/>
      <sheetName val="Custos"/>
      <sheetName val="Fluxo"/>
      <sheetName val="Declaracao "/>
      <sheetName val="DECLARAÇÃO DE POSSE"/>
      <sheetName val="Declaração Geral"/>
      <sheetName val="Evolução"/>
      <sheetName val="Suporte"/>
      <sheetName val="Relatório"/>
      <sheetName val="Carta"/>
      <sheetName val="Relação"/>
      <sheetName val="CACAU_REC"/>
    </sheetNames>
    <sheetDataSet>
      <sheetData sheetId="0">
        <row r="57">
          <cell r="IK57" t="str">
            <v>MA</v>
          </cell>
        </row>
      </sheetData>
      <sheetData sheetId="1" refreshError="1"/>
      <sheetData sheetId="2"/>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ow r="2">
          <cell r="CE2">
            <v>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www.ibama.gov.br/phocadownload/Qualidade_Ambiental/in_06_cadastro.pdf" TargetMode="External"/><Relationship Id="rId3" Type="http://schemas.openxmlformats.org/officeDocument/2006/relationships/hyperlink" Target="http://www.receita.fazenda.gov.br/Aplicacoes/ATSPO/Certidao/CertInter/NIITR.asp" TargetMode="External"/><Relationship Id="rId7" Type="http://schemas.openxmlformats.org/officeDocument/2006/relationships/hyperlink" Target="https://servicos.ibama.gov.br/ctf/publico/certificado_regularidade.php" TargetMode="External"/><Relationship Id="rId2" Type="http://schemas.openxmlformats.org/officeDocument/2006/relationships/hyperlink" Target="https://servicos.ibama.gov.br/index.php/anuencia-e-autorizacoes/autorizacao-para-transporte-maritimo-e-interestadual-de-produtos-perigosos" TargetMode="External"/><Relationship Id="rId1" Type="http://schemas.openxmlformats.org/officeDocument/2006/relationships/hyperlink" Target="https://servicos.ibama.gov.br/index.php/anuencia-e-autorizacoes/autorizacao-para-transporte-maritimo-e-interestadual-de-produtos-perigosos" TargetMode="External"/><Relationship Id="rId6" Type="http://schemas.openxmlformats.org/officeDocument/2006/relationships/hyperlink" Target="http://www.ibama.gov.br/phocadownload/Qualidade_Ambiental/in_06_cadastro.pdf" TargetMode="External"/><Relationship Id="rId11" Type="http://schemas.openxmlformats.org/officeDocument/2006/relationships/printerSettings" Target="../printerSettings/printerSettings3.bin"/><Relationship Id="rId5" Type="http://schemas.openxmlformats.org/officeDocument/2006/relationships/hyperlink" Target="http://www.tst.jus.br/certidao/" TargetMode="External"/><Relationship Id="rId10" Type="http://schemas.openxmlformats.org/officeDocument/2006/relationships/hyperlink" Target="http://www.cadastur.turismo.gov.br/" TargetMode="External"/><Relationship Id="rId4" Type="http://schemas.openxmlformats.org/officeDocument/2006/relationships/hyperlink" Target="http://www.portaldatransparencia.gov.br/ceis/Consulta.seam" TargetMode="External"/><Relationship Id="rId9" Type="http://schemas.openxmlformats.org/officeDocument/2006/relationships/hyperlink" Target="https://servicos.ibama.gov.br/ctf/publico/areasembargadas/ConsultaPublicaAreasEmbargadas.ph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www.ibama.gov.br/phocadownload/Qualidade_Ambiental/in_06_cadastro.pdf" TargetMode="External"/><Relationship Id="rId3" Type="http://schemas.openxmlformats.org/officeDocument/2006/relationships/hyperlink" Target="http://www.cadastur.turismo.gov.br/" TargetMode="External"/><Relationship Id="rId7" Type="http://schemas.openxmlformats.org/officeDocument/2006/relationships/hyperlink" Target="https://servicos.ibama.gov.br/ctf/publico/areasembargadas/ConsultaPublicaAreasEmbargadas.php" TargetMode="External"/><Relationship Id="rId2" Type="http://schemas.openxmlformats.org/officeDocument/2006/relationships/hyperlink" Target="https://servicos.ibama.gov.br/index.php/anuencia-e-autorizacoes/autorizacao-para-transporte-maritimo-e-interestadual-de-produtos-perigosos" TargetMode="External"/><Relationship Id="rId1" Type="http://schemas.openxmlformats.org/officeDocument/2006/relationships/hyperlink" Target="https://servicos.ibama.gov.br/ctf/publico/certificado_regularidade.php" TargetMode="External"/><Relationship Id="rId6" Type="http://schemas.openxmlformats.org/officeDocument/2006/relationships/hyperlink" Target="http://www.ibama.gov.br/phocadownload/Qualidade_Ambiental/in_06_cadastro.pdf" TargetMode="External"/><Relationship Id="rId11" Type="http://schemas.openxmlformats.org/officeDocument/2006/relationships/printerSettings" Target="../printerSettings/printerSettings5.bin"/><Relationship Id="rId5" Type="http://schemas.openxmlformats.org/officeDocument/2006/relationships/hyperlink" Target="http://www.tst.jus.br/certidao/" TargetMode="External"/><Relationship Id="rId10" Type="http://schemas.openxmlformats.org/officeDocument/2006/relationships/hyperlink" Target="http://www.receita.fazenda.gov.br/Aplicacoes/ATSPO/Certidao/CertInter/NIITR.asp" TargetMode="External"/><Relationship Id="rId4" Type="http://schemas.openxmlformats.org/officeDocument/2006/relationships/hyperlink" Target="https://servicos.ibama.gov.br/index.php/anuencia-e-autorizacoes/autorizacao-para-transporte-maritimo-e-interestadual-de-produtos-perigosos" TargetMode="External"/><Relationship Id="rId9" Type="http://schemas.openxmlformats.org/officeDocument/2006/relationships/hyperlink" Target="http://www.portaltransparencia.gov.br/ceis/Consulta.sea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B1:AD63"/>
  <sheetViews>
    <sheetView showGridLines="0" showRowColHeaders="0" topLeftCell="C1" zoomScale="70" zoomScaleNormal="70" workbookViewId="0"/>
  </sheetViews>
  <sheetFormatPr defaultColWidth="0" defaultRowHeight="15" customHeight="1" zeroHeight="1"/>
  <cols>
    <col min="1" max="1" width="9.140625" style="358" hidden="1" customWidth="1"/>
    <col min="2" max="2" width="10" style="358" hidden="1" customWidth="1"/>
    <col min="3" max="3" width="2.42578125" style="358" customWidth="1"/>
    <col min="4" max="4" width="16" style="358" customWidth="1"/>
    <col min="5" max="5" width="10.85546875" style="358" customWidth="1"/>
    <col min="6" max="6" width="31" style="358" customWidth="1"/>
    <col min="7" max="7" width="9.140625" style="358" customWidth="1"/>
    <col min="8" max="8" width="10.85546875" style="358" customWidth="1"/>
    <col min="9" max="9" width="31" style="358" customWidth="1"/>
    <col min="10" max="27" width="9.140625" style="358" customWidth="1"/>
    <col min="28" max="29" width="9.140625" style="358" hidden="1" customWidth="1"/>
    <col min="30" max="30" width="63" style="358" hidden="1" customWidth="1"/>
    <col min="31" max="16384" width="9.140625" style="358" hidden="1"/>
  </cols>
  <sheetData>
    <row r="1" spans="3:27">
      <c r="C1" s="360"/>
      <c r="D1" s="361"/>
      <c r="E1" s="360"/>
      <c r="F1" s="360"/>
      <c r="G1" s="360"/>
      <c r="H1" s="360"/>
      <c r="I1" s="360"/>
      <c r="J1" s="360"/>
      <c r="K1" s="360"/>
      <c r="L1" s="360"/>
      <c r="M1" s="360"/>
      <c r="N1" s="360"/>
      <c r="O1" s="360"/>
      <c r="P1" s="360"/>
      <c r="Q1" s="360"/>
      <c r="R1" s="360"/>
      <c r="S1" s="360"/>
      <c r="T1" s="360"/>
      <c r="U1" s="360"/>
      <c r="V1" s="360"/>
      <c r="W1" s="360"/>
      <c r="X1" s="360"/>
      <c r="Y1" s="360"/>
      <c r="Z1" s="360"/>
      <c r="AA1" s="360"/>
    </row>
    <row r="2" spans="3:27" ht="15.75">
      <c r="C2" s="360"/>
      <c r="D2" s="362" t="s">
        <v>592</v>
      </c>
      <c r="E2" s="360"/>
      <c r="F2" s="360"/>
      <c r="G2" s="360"/>
      <c r="H2" s="360"/>
      <c r="I2" s="360"/>
      <c r="J2" s="360"/>
      <c r="K2" s="360"/>
      <c r="L2" s="360"/>
      <c r="M2" s="360"/>
      <c r="N2" s="360"/>
      <c r="O2" s="360"/>
      <c r="P2" s="360"/>
      <c r="Q2" s="360"/>
      <c r="R2" s="360"/>
      <c r="S2" s="360"/>
      <c r="T2" s="360"/>
      <c r="U2" s="360"/>
      <c r="V2" s="360"/>
      <c r="W2" s="360"/>
      <c r="X2" s="360"/>
      <c r="Y2" s="360"/>
      <c r="Z2" s="360"/>
      <c r="AA2" s="360"/>
    </row>
    <row r="3" spans="3:27" ht="78.75" customHeight="1">
      <c r="C3" s="360"/>
      <c r="D3" s="360"/>
      <c r="E3" s="360"/>
      <c r="F3" s="360"/>
      <c r="G3" s="360"/>
      <c r="H3" s="360"/>
      <c r="I3" s="360"/>
      <c r="J3" s="360"/>
      <c r="K3" s="360"/>
      <c r="L3" s="360"/>
      <c r="M3" s="360"/>
      <c r="N3" s="360"/>
      <c r="O3" s="360"/>
      <c r="P3" s="360"/>
      <c r="Q3" s="360"/>
      <c r="R3" s="360"/>
      <c r="S3" s="360"/>
      <c r="T3" s="360"/>
      <c r="U3" s="360"/>
      <c r="V3" s="360"/>
      <c r="W3" s="360"/>
      <c r="X3" s="360"/>
      <c r="Y3" s="360"/>
      <c r="Z3" s="360"/>
      <c r="AA3" s="360"/>
    </row>
    <row r="4" spans="3:27" hidden="1">
      <c r="C4" s="360"/>
      <c r="D4" s="360"/>
      <c r="E4" s="360"/>
      <c r="F4" s="360"/>
      <c r="G4" s="360"/>
      <c r="H4" s="360"/>
      <c r="I4" s="360"/>
      <c r="J4" s="360"/>
      <c r="K4" s="360"/>
      <c r="L4" s="360"/>
      <c r="M4" s="360"/>
      <c r="N4" s="360"/>
      <c r="O4" s="360"/>
      <c r="P4" s="360"/>
      <c r="Q4" s="360"/>
      <c r="R4" s="360"/>
      <c r="S4" s="360"/>
      <c r="T4" s="360"/>
      <c r="U4" s="360"/>
      <c r="V4" s="360"/>
      <c r="W4" s="360"/>
      <c r="X4" s="360"/>
      <c r="Y4" s="360"/>
      <c r="Z4" s="360"/>
      <c r="AA4" s="360"/>
    </row>
    <row r="5" spans="3:27" hidden="1">
      <c r="C5" s="360"/>
      <c r="D5" s="360"/>
      <c r="E5" s="360"/>
      <c r="F5" s="360"/>
      <c r="G5" s="360"/>
      <c r="H5" s="360"/>
      <c r="I5" s="360"/>
      <c r="J5" s="360"/>
      <c r="K5" s="360"/>
      <c r="L5" s="360"/>
      <c r="M5" s="360"/>
      <c r="N5" s="360"/>
      <c r="O5" s="360"/>
      <c r="P5" s="360"/>
      <c r="Q5" s="360"/>
      <c r="R5" s="360"/>
      <c r="S5" s="360"/>
      <c r="T5" s="360"/>
      <c r="U5" s="360"/>
      <c r="V5" s="360"/>
      <c r="W5" s="360"/>
      <c r="X5" s="360"/>
      <c r="Y5" s="360"/>
      <c r="Z5" s="360"/>
      <c r="AA5" s="360"/>
    </row>
    <row r="6" spans="3:27">
      <c r="C6" s="360"/>
      <c r="D6" s="360"/>
      <c r="E6" s="383"/>
      <c r="F6" s="383"/>
      <c r="G6" s="383"/>
      <c r="H6" s="383"/>
      <c r="I6" s="383"/>
      <c r="J6" s="383"/>
      <c r="K6" s="383"/>
      <c r="L6" s="360"/>
      <c r="M6" s="360"/>
      <c r="N6" s="360"/>
      <c r="O6" s="360"/>
      <c r="P6" s="360"/>
      <c r="Q6" s="360"/>
      <c r="R6" s="360"/>
      <c r="S6" s="360"/>
      <c r="T6" s="360"/>
      <c r="U6" s="360"/>
      <c r="V6" s="360"/>
      <c r="W6" s="360"/>
      <c r="X6" s="360"/>
      <c r="Y6" s="360"/>
      <c r="Z6" s="360"/>
      <c r="AA6" s="360"/>
    </row>
    <row r="7" spans="3:27">
      <c r="C7" s="360"/>
      <c r="D7" s="360"/>
      <c r="E7" s="383"/>
      <c r="F7" s="383"/>
      <c r="G7" s="383"/>
      <c r="H7" s="383"/>
      <c r="I7" s="383"/>
      <c r="J7" s="383"/>
      <c r="K7" s="383"/>
      <c r="L7" s="360"/>
      <c r="M7" s="360"/>
      <c r="N7" s="360"/>
      <c r="O7" s="360"/>
      <c r="P7" s="360"/>
      <c r="Q7" s="360"/>
      <c r="R7" s="360"/>
      <c r="S7" s="360"/>
      <c r="T7" s="360"/>
      <c r="U7" s="360"/>
      <c r="V7" s="360"/>
      <c r="W7" s="360"/>
      <c r="X7" s="360"/>
      <c r="Y7" s="360"/>
      <c r="Z7" s="360"/>
      <c r="AA7" s="360"/>
    </row>
    <row r="8" spans="3:27">
      <c r="C8" s="360"/>
      <c r="D8" s="360"/>
      <c r="E8" s="383"/>
      <c r="F8" s="383"/>
      <c r="G8" s="383"/>
      <c r="H8" s="383"/>
      <c r="I8" s="383"/>
      <c r="J8" s="383"/>
      <c r="K8" s="383"/>
      <c r="L8" s="360"/>
      <c r="M8" s="360"/>
      <c r="N8" s="360"/>
      <c r="O8" s="360"/>
      <c r="P8" s="360"/>
      <c r="Q8" s="360"/>
      <c r="R8" s="360"/>
      <c r="S8" s="360"/>
      <c r="T8" s="360"/>
      <c r="U8" s="360"/>
      <c r="V8" s="360"/>
      <c r="W8" s="360"/>
      <c r="X8" s="360"/>
      <c r="Y8" s="360"/>
      <c r="Z8" s="360"/>
      <c r="AA8" s="360"/>
    </row>
    <row r="9" spans="3:27" ht="54.75" customHeight="1">
      <c r="C9" s="360"/>
      <c r="D9" s="360"/>
      <c r="E9" s="383"/>
      <c r="F9" s="383"/>
      <c r="G9" s="383"/>
      <c r="H9" s="383"/>
      <c r="I9" s="383"/>
      <c r="J9" s="383"/>
      <c r="K9" s="383"/>
      <c r="L9" s="360"/>
      <c r="M9" s="360"/>
      <c r="N9" s="360"/>
      <c r="O9" s="360"/>
      <c r="P9" s="360"/>
      <c r="Q9" s="360"/>
      <c r="R9" s="360"/>
      <c r="S9" s="360"/>
      <c r="T9" s="360"/>
      <c r="U9" s="360"/>
      <c r="V9" s="360"/>
      <c r="W9" s="360"/>
      <c r="X9" s="360"/>
      <c r="Y9" s="360"/>
      <c r="Z9" s="360"/>
      <c r="AA9" s="360"/>
    </row>
    <row r="10" spans="3:27">
      <c r="C10" s="360"/>
      <c r="D10" s="360"/>
      <c r="E10" s="363"/>
      <c r="F10" s="363"/>
      <c r="G10" s="360"/>
      <c r="H10" s="363"/>
      <c r="I10" s="363"/>
      <c r="J10" s="383"/>
      <c r="K10" s="383"/>
      <c r="L10" s="360"/>
      <c r="M10" s="360"/>
      <c r="N10" s="360"/>
      <c r="O10" s="360"/>
      <c r="P10" s="360"/>
      <c r="Q10" s="360"/>
      <c r="R10" s="360"/>
      <c r="S10" s="360"/>
      <c r="T10" s="360"/>
      <c r="U10" s="360"/>
      <c r="V10" s="360"/>
      <c r="W10" s="360"/>
      <c r="X10" s="360"/>
      <c r="Y10" s="360"/>
      <c r="Z10" s="360"/>
      <c r="AA10" s="360"/>
    </row>
    <row r="11" spans="3:27">
      <c r="C11" s="360"/>
      <c r="D11" s="360"/>
      <c r="E11" s="363"/>
      <c r="F11" s="363"/>
      <c r="G11" s="360"/>
      <c r="H11" s="363"/>
      <c r="I11" s="363"/>
      <c r="J11" s="360"/>
      <c r="K11" s="360"/>
      <c r="L11" s="360"/>
      <c r="M11" s="360"/>
      <c r="N11" s="360"/>
      <c r="O11" s="360"/>
      <c r="P11" s="360"/>
      <c r="Q11" s="360"/>
      <c r="R11" s="360"/>
      <c r="S11" s="360"/>
      <c r="T11" s="360"/>
      <c r="U11" s="360"/>
      <c r="V11" s="360"/>
      <c r="W11" s="360"/>
      <c r="X11" s="360"/>
      <c r="Y11" s="360"/>
      <c r="Z11" s="360"/>
      <c r="AA11" s="360"/>
    </row>
    <row r="12" spans="3:27">
      <c r="C12" s="360"/>
      <c r="D12" s="360"/>
      <c r="E12" s="363"/>
      <c r="F12" s="363"/>
      <c r="G12" s="360"/>
      <c r="H12" s="363"/>
      <c r="I12" s="363"/>
      <c r="J12" s="360"/>
      <c r="K12" s="360"/>
      <c r="L12" s="360"/>
      <c r="M12" s="360"/>
      <c r="N12" s="360"/>
      <c r="O12" s="360"/>
      <c r="P12" s="360"/>
      <c r="Q12" s="360"/>
      <c r="R12" s="360"/>
      <c r="S12" s="360"/>
      <c r="T12" s="360"/>
      <c r="U12" s="360"/>
      <c r="V12" s="360"/>
      <c r="W12" s="360"/>
      <c r="X12" s="360"/>
      <c r="Y12" s="360"/>
      <c r="Z12" s="360"/>
      <c r="AA12" s="360"/>
    </row>
    <row r="13" spans="3:27">
      <c r="C13" s="360"/>
      <c r="D13" s="360"/>
      <c r="E13" s="363"/>
      <c r="F13" s="363"/>
      <c r="G13" s="360"/>
      <c r="H13" s="363"/>
      <c r="I13" s="363"/>
      <c r="J13" s="360"/>
      <c r="K13" s="360"/>
      <c r="L13" s="360"/>
      <c r="M13" s="360"/>
      <c r="N13" s="360"/>
      <c r="O13" s="360"/>
      <c r="P13" s="360"/>
      <c r="Q13" s="360"/>
      <c r="R13" s="360"/>
      <c r="S13" s="360"/>
      <c r="T13" s="360"/>
      <c r="U13" s="360"/>
      <c r="V13" s="360"/>
      <c r="W13" s="360"/>
      <c r="X13" s="360"/>
      <c r="Y13" s="360"/>
      <c r="Z13" s="360"/>
      <c r="AA13" s="360"/>
    </row>
    <row r="14" spans="3:27">
      <c r="C14" s="360"/>
      <c r="D14" s="360"/>
      <c r="E14" s="363"/>
      <c r="F14" s="363"/>
      <c r="G14" s="360"/>
      <c r="H14" s="363"/>
      <c r="I14" s="363"/>
      <c r="J14" s="360"/>
      <c r="K14" s="360"/>
      <c r="L14" s="360"/>
      <c r="M14" s="360"/>
      <c r="N14" s="360"/>
      <c r="O14" s="360"/>
      <c r="P14" s="360"/>
      <c r="Q14" s="360"/>
      <c r="R14" s="360"/>
      <c r="S14" s="360"/>
      <c r="T14" s="360"/>
      <c r="U14" s="360"/>
      <c r="V14" s="360"/>
      <c r="W14" s="360"/>
      <c r="X14" s="360"/>
      <c r="Y14" s="360"/>
      <c r="Z14" s="360"/>
      <c r="AA14" s="360"/>
    </row>
    <row r="15" spans="3:27">
      <c r="C15" s="360"/>
      <c r="D15" s="360"/>
      <c r="E15" s="363"/>
      <c r="F15" s="363"/>
      <c r="G15" s="360"/>
      <c r="H15" s="363"/>
      <c r="I15" s="363"/>
      <c r="J15" s="360"/>
      <c r="K15" s="360"/>
      <c r="L15" s="360"/>
      <c r="M15" s="360"/>
      <c r="N15" s="360"/>
      <c r="O15" s="360"/>
      <c r="P15" s="360"/>
      <c r="Q15" s="360"/>
      <c r="R15" s="360"/>
      <c r="S15" s="360"/>
      <c r="T15" s="360"/>
      <c r="U15" s="360"/>
      <c r="V15" s="360"/>
      <c r="W15" s="360"/>
      <c r="X15" s="360"/>
      <c r="Y15" s="360"/>
      <c r="Z15" s="360"/>
      <c r="AA15" s="360"/>
    </row>
    <row r="16" spans="3:27">
      <c r="C16" s="360"/>
      <c r="D16" s="360"/>
      <c r="E16" s="363"/>
      <c r="F16" s="363"/>
      <c r="G16" s="360"/>
      <c r="H16" s="363"/>
      <c r="I16" s="363"/>
      <c r="J16" s="360"/>
      <c r="K16" s="360"/>
      <c r="L16" s="360"/>
      <c r="M16" s="360"/>
      <c r="N16" s="360"/>
      <c r="O16" s="360"/>
      <c r="P16" s="360"/>
      <c r="Q16" s="360"/>
      <c r="R16" s="360"/>
      <c r="S16" s="360"/>
      <c r="T16" s="360"/>
      <c r="U16" s="360"/>
      <c r="V16" s="360"/>
      <c r="W16" s="360"/>
      <c r="X16" s="360"/>
      <c r="Y16" s="360"/>
      <c r="Z16" s="360"/>
      <c r="AA16" s="360"/>
    </row>
    <row r="17" spans="3:27">
      <c r="C17" s="360"/>
      <c r="D17" s="360"/>
      <c r="E17" s="363"/>
      <c r="F17" s="363"/>
      <c r="G17" s="360"/>
      <c r="H17" s="363"/>
      <c r="I17" s="363"/>
      <c r="J17" s="360"/>
      <c r="K17" s="360"/>
      <c r="L17" s="360"/>
      <c r="M17" s="360"/>
      <c r="N17" s="360"/>
      <c r="O17" s="360"/>
      <c r="P17" s="360"/>
      <c r="Q17" s="360"/>
      <c r="R17" s="360"/>
      <c r="S17" s="360"/>
      <c r="T17" s="360"/>
      <c r="U17" s="360"/>
      <c r="V17" s="360"/>
      <c r="W17" s="360"/>
      <c r="X17" s="360"/>
      <c r="Y17" s="360"/>
      <c r="Z17" s="360"/>
      <c r="AA17" s="360"/>
    </row>
    <row r="18" spans="3:27">
      <c r="C18" s="360"/>
      <c r="D18" s="360"/>
      <c r="E18" s="363"/>
      <c r="F18" s="363"/>
      <c r="G18" s="360"/>
      <c r="H18" s="363"/>
      <c r="I18" s="363"/>
      <c r="J18" s="360"/>
      <c r="K18" s="360"/>
      <c r="L18" s="360"/>
      <c r="M18" s="360"/>
      <c r="N18" s="360"/>
      <c r="O18" s="360"/>
      <c r="P18" s="360"/>
      <c r="Q18" s="360"/>
      <c r="R18" s="360"/>
      <c r="S18" s="360"/>
      <c r="T18" s="360"/>
      <c r="U18" s="360"/>
      <c r="V18" s="360"/>
      <c r="W18" s="360"/>
      <c r="X18" s="360"/>
      <c r="Y18" s="360"/>
      <c r="Z18" s="360"/>
      <c r="AA18" s="360"/>
    </row>
    <row r="19" spans="3:27">
      <c r="C19" s="360"/>
      <c r="D19" s="360"/>
      <c r="E19" s="363"/>
      <c r="F19" s="363"/>
      <c r="G19" s="360"/>
      <c r="H19" s="363"/>
      <c r="I19" s="363"/>
      <c r="J19" s="360"/>
      <c r="K19" s="360"/>
      <c r="L19" s="360"/>
      <c r="M19" s="360"/>
      <c r="N19" s="360"/>
      <c r="O19" s="360"/>
      <c r="P19" s="360"/>
      <c r="Q19" s="360"/>
      <c r="R19" s="360"/>
      <c r="S19" s="360"/>
      <c r="T19" s="360"/>
      <c r="U19" s="360"/>
      <c r="V19" s="360"/>
      <c r="W19" s="360"/>
      <c r="X19" s="360"/>
      <c r="Y19" s="360"/>
      <c r="Z19" s="360"/>
      <c r="AA19" s="360"/>
    </row>
    <row r="20" spans="3:27">
      <c r="C20" s="360"/>
      <c r="D20" s="360"/>
      <c r="E20" s="363"/>
      <c r="F20" s="363"/>
      <c r="G20" s="360"/>
      <c r="H20" s="363"/>
      <c r="I20" s="363"/>
      <c r="J20" s="360"/>
      <c r="K20" s="360"/>
      <c r="L20" s="360"/>
      <c r="M20" s="360"/>
      <c r="N20" s="360"/>
      <c r="O20" s="360"/>
      <c r="P20" s="360"/>
      <c r="Q20" s="360"/>
      <c r="R20" s="360"/>
      <c r="S20" s="360"/>
      <c r="T20" s="360"/>
      <c r="U20" s="360"/>
      <c r="V20" s="360"/>
      <c r="W20" s="360"/>
      <c r="X20" s="360"/>
      <c r="Y20" s="360"/>
      <c r="Z20" s="360"/>
      <c r="AA20" s="360"/>
    </row>
    <row r="21" spans="3:27">
      <c r="C21" s="360"/>
      <c r="D21" s="360"/>
      <c r="E21" s="363"/>
      <c r="F21" s="363"/>
      <c r="G21" s="360"/>
      <c r="H21" s="363"/>
      <c r="I21" s="363"/>
      <c r="J21" s="360"/>
      <c r="K21" s="360"/>
      <c r="L21" s="360"/>
      <c r="M21" s="360"/>
      <c r="N21" s="360"/>
      <c r="O21" s="360"/>
      <c r="P21" s="360"/>
      <c r="Q21" s="360"/>
      <c r="R21" s="360"/>
      <c r="S21" s="360"/>
      <c r="T21" s="360"/>
      <c r="U21" s="360"/>
      <c r="V21" s="360"/>
      <c r="W21" s="360"/>
      <c r="X21" s="360"/>
      <c r="Y21" s="360"/>
      <c r="Z21" s="360"/>
      <c r="AA21" s="360"/>
    </row>
    <row r="22" spans="3:27">
      <c r="C22" s="360"/>
      <c r="D22" s="360"/>
      <c r="E22" s="363"/>
      <c r="F22" s="363"/>
      <c r="G22" s="360"/>
      <c r="H22" s="363"/>
      <c r="I22" s="363"/>
      <c r="J22" s="360"/>
      <c r="K22" s="360"/>
      <c r="L22" s="360"/>
      <c r="M22" s="360"/>
      <c r="N22" s="360"/>
      <c r="O22" s="360"/>
      <c r="P22" s="360"/>
      <c r="Q22" s="360"/>
      <c r="R22" s="360"/>
      <c r="S22" s="360"/>
      <c r="T22" s="360"/>
      <c r="U22" s="360"/>
      <c r="V22" s="360"/>
      <c r="W22" s="360"/>
      <c r="X22" s="360"/>
      <c r="Y22" s="360"/>
      <c r="Z22" s="360"/>
      <c r="AA22" s="360"/>
    </row>
    <row r="23" spans="3:27">
      <c r="C23" s="360"/>
      <c r="D23" s="360"/>
      <c r="E23" s="363"/>
      <c r="F23" s="363"/>
      <c r="G23" s="360"/>
      <c r="H23" s="363"/>
      <c r="I23" s="363"/>
      <c r="J23" s="360"/>
      <c r="K23" s="360"/>
      <c r="L23" s="360"/>
      <c r="M23" s="360"/>
      <c r="N23" s="360"/>
      <c r="O23" s="360"/>
      <c r="P23" s="360"/>
      <c r="Q23" s="360"/>
      <c r="R23" s="360"/>
      <c r="S23" s="360"/>
      <c r="T23" s="360"/>
      <c r="U23" s="360"/>
      <c r="V23" s="360"/>
      <c r="W23" s="360"/>
      <c r="X23" s="360"/>
      <c r="Y23" s="360"/>
      <c r="Z23" s="360"/>
      <c r="AA23" s="360"/>
    </row>
    <row r="24" spans="3:27" ht="21.75" customHeight="1">
      <c r="C24" s="360"/>
      <c r="D24" s="360"/>
      <c r="E24" s="360"/>
      <c r="F24" s="363"/>
      <c r="G24" s="360"/>
      <c r="H24" s="363"/>
      <c r="I24" s="363"/>
      <c r="J24" s="383"/>
      <c r="K24" s="383"/>
      <c r="L24" s="360"/>
      <c r="M24" s="360"/>
      <c r="N24" s="360"/>
      <c r="O24" s="360"/>
      <c r="P24" s="360"/>
      <c r="Q24" s="360"/>
      <c r="R24" s="360"/>
      <c r="S24" s="360"/>
      <c r="T24" s="360"/>
      <c r="U24" s="360"/>
      <c r="V24" s="360"/>
      <c r="W24" s="360"/>
      <c r="X24" s="360"/>
      <c r="Y24" s="360"/>
      <c r="Z24" s="360"/>
      <c r="AA24" s="360"/>
    </row>
    <row r="25" spans="3:27" ht="49.5" customHeight="1">
      <c r="C25" s="360"/>
      <c r="D25" s="360"/>
      <c r="E25" s="364" t="s">
        <v>576</v>
      </c>
      <c r="F25" s="363"/>
      <c r="G25" s="360"/>
      <c r="H25" s="363"/>
      <c r="I25" s="363"/>
      <c r="J25" s="383"/>
      <c r="K25" s="383"/>
      <c r="L25" s="360"/>
      <c r="M25" s="360"/>
      <c r="N25" s="365"/>
      <c r="O25" s="360"/>
      <c r="P25" s="360"/>
      <c r="Q25" s="360"/>
      <c r="R25" s="360"/>
      <c r="S25" s="360"/>
      <c r="T25" s="360"/>
      <c r="U25" s="360"/>
      <c r="V25" s="360"/>
      <c r="W25" s="360"/>
      <c r="X25" s="360"/>
      <c r="Y25" s="360"/>
      <c r="Z25" s="360"/>
      <c r="AA25" s="360"/>
    </row>
    <row r="26" spans="3:27" ht="21.75" customHeight="1">
      <c r="C26" s="360"/>
      <c r="D26" s="360"/>
      <c r="E26" s="360"/>
      <c r="F26" s="366"/>
      <c r="G26" s="360"/>
      <c r="H26" s="363"/>
      <c r="I26" s="363"/>
      <c r="J26" s="383"/>
      <c r="K26" s="383"/>
      <c r="L26" s="360"/>
      <c r="M26" s="360"/>
      <c r="N26" s="360"/>
      <c r="O26" s="360"/>
      <c r="P26" s="360"/>
      <c r="Q26" s="360"/>
      <c r="R26" s="360"/>
      <c r="S26" s="360"/>
      <c r="T26" s="360"/>
      <c r="U26" s="360"/>
      <c r="V26" s="360"/>
      <c r="W26" s="360"/>
      <c r="X26" s="360"/>
      <c r="Y26" s="360"/>
      <c r="Z26" s="360"/>
      <c r="AA26" s="360"/>
    </row>
    <row r="27" spans="3:27" ht="225.75" customHeight="1">
      <c r="C27" s="360"/>
      <c r="D27" s="360"/>
      <c r="E27" s="364" t="s">
        <v>577</v>
      </c>
      <c r="F27" s="366"/>
      <c r="G27" s="360"/>
      <c r="H27" s="363"/>
      <c r="I27" s="363"/>
      <c r="J27" s="383"/>
      <c r="K27" s="383"/>
      <c r="L27" s="360"/>
      <c r="M27" s="360"/>
      <c r="N27" s="360"/>
      <c r="O27" s="360"/>
      <c r="P27" s="360"/>
      <c r="Q27" s="360"/>
      <c r="R27" s="360"/>
      <c r="S27" s="360"/>
      <c r="T27" s="360"/>
      <c r="U27" s="360"/>
      <c r="V27" s="360"/>
      <c r="W27" s="360"/>
      <c r="X27" s="360"/>
      <c r="Y27" s="360"/>
      <c r="Z27" s="360"/>
      <c r="AA27" s="360"/>
    </row>
    <row r="28" spans="3:27">
      <c r="C28" s="360"/>
      <c r="D28" s="360"/>
      <c r="E28" s="383"/>
      <c r="F28" s="383"/>
      <c r="G28" s="383"/>
      <c r="H28" s="383"/>
      <c r="I28" s="383"/>
      <c r="J28" s="383"/>
      <c r="K28" s="383"/>
      <c r="L28" s="360"/>
      <c r="M28" s="360"/>
      <c r="N28" s="360"/>
      <c r="O28" s="360"/>
      <c r="P28" s="360"/>
      <c r="Q28" s="360"/>
      <c r="R28" s="360"/>
      <c r="S28" s="360"/>
      <c r="T28" s="360"/>
      <c r="U28" s="360"/>
      <c r="V28" s="360"/>
      <c r="W28" s="360"/>
      <c r="X28" s="360"/>
      <c r="Y28" s="360"/>
      <c r="Z28" s="360"/>
      <c r="AA28" s="360"/>
    </row>
    <row r="29" spans="3:27">
      <c r="C29" s="360"/>
      <c r="D29" s="360"/>
      <c r="E29" s="383"/>
      <c r="F29" s="383"/>
      <c r="G29" s="383"/>
      <c r="H29" s="383"/>
      <c r="I29" s="383"/>
      <c r="J29" s="383"/>
      <c r="K29" s="383"/>
      <c r="L29" s="360"/>
      <c r="M29" s="360"/>
      <c r="N29" s="360"/>
      <c r="O29" s="360"/>
      <c r="P29" s="360"/>
      <c r="Q29" s="360"/>
      <c r="R29" s="360"/>
      <c r="S29" s="360"/>
      <c r="T29" s="360"/>
      <c r="U29" s="360"/>
      <c r="V29" s="360"/>
      <c r="W29" s="360"/>
      <c r="X29" s="360"/>
      <c r="Y29" s="360"/>
      <c r="Z29" s="360"/>
      <c r="AA29" s="360"/>
    </row>
    <row r="30" spans="3:27">
      <c r="C30" s="360"/>
      <c r="D30" s="360"/>
      <c r="E30" s="383"/>
      <c r="F30" s="383"/>
      <c r="G30" s="383"/>
      <c r="H30" s="383"/>
      <c r="I30" s="383"/>
      <c r="J30" s="383"/>
      <c r="K30" s="383"/>
      <c r="L30" s="360"/>
      <c r="M30" s="360"/>
      <c r="N30" s="360"/>
      <c r="O30" s="360"/>
      <c r="P30" s="360"/>
      <c r="Q30" s="360"/>
      <c r="R30" s="360"/>
      <c r="S30" s="360"/>
      <c r="T30" s="360"/>
      <c r="U30" s="360"/>
      <c r="V30" s="360"/>
      <c r="W30" s="360"/>
      <c r="X30" s="360"/>
      <c r="Y30" s="360"/>
      <c r="Z30" s="360"/>
      <c r="AA30" s="360"/>
    </row>
    <row r="31" spans="3:27">
      <c r="C31" s="360"/>
      <c r="D31" s="360"/>
      <c r="E31" s="383"/>
      <c r="F31" s="383"/>
      <c r="G31" s="383"/>
      <c r="H31" s="383"/>
      <c r="I31" s="383"/>
      <c r="J31" s="383"/>
      <c r="K31" s="383"/>
      <c r="L31" s="360"/>
      <c r="M31" s="360"/>
      <c r="N31" s="360"/>
      <c r="O31" s="360"/>
      <c r="P31" s="360"/>
      <c r="Q31" s="360"/>
      <c r="R31" s="360"/>
      <c r="S31" s="360"/>
      <c r="T31" s="360"/>
      <c r="U31" s="360"/>
      <c r="V31" s="360"/>
      <c r="W31" s="360"/>
      <c r="X31" s="360"/>
      <c r="Y31" s="360"/>
      <c r="Z31" s="360"/>
      <c r="AA31" s="360"/>
    </row>
    <row r="32" spans="3:27">
      <c r="C32" s="360"/>
      <c r="D32" s="360"/>
      <c r="E32" s="383"/>
      <c r="F32" s="383"/>
      <c r="G32" s="383"/>
      <c r="H32" s="383"/>
      <c r="I32" s="383"/>
      <c r="J32" s="383"/>
      <c r="K32" s="383"/>
      <c r="L32" s="360"/>
      <c r="M32" s="360"/>
      <c r="N32" s="360"/>
      <c r="O32" s="360"/>
      <c r="P32" s="360"/>
      <c r="Q32" s="360"/>
      <c r="R32" s="360"/>
      <c r="S32" s="360"/>
      <c r="T32" s="360"/>
      <c r="U32" s="360"/>
      <c r="V32" s="360"/>
      <c r="W32" s="360"/>
      <c r="X32" s="360"/>
      <c r="Y32" s="360"/>
      <c r="Z32" s="360"/>
      <c r="AA32" s="360"/>
    </row>
    <row r="33" spans="3:27">
      <c r="C33" s="360"/>
      <c r="D33" s="360"/>
      <c r="E33" s="383"/>
      <c r="F33" s="383"/>
      <c r="G33" s="383"/>
      <c r="H33" s="383"/>
      <c r="I33" s="383"/>
      <c r="J33" s="383"/>
      <c r="K33" s="383"/>
      <c r="L33" s="360"/>
      <c r="M33" s="360"/>
      <c r="N33" s="360"/>
      <c r="O33" s="360"/>
      <c r="P33" s="360"/>
      <c r="Q33" s="360"/>
      <c r="R33" s="360"/>
      <c r="S33" s="360"/>
      <c r="T33" s="360"/>
      <c r="U33" s="360"/>
      <c r="V33" s="360"/>
      <c r="W33" s="360"/>
      <c r="X33" s="360"/>
      <c r="Y33" s="360"/>
      <c r="Z33" s="360"/>
      <c r="AA33" s="360"/>
    </row>
    <row r="34" spans="3:27">
      <c r="C34" s="360"/>
      <c r="D34" s="360"/>
      <c r="E34" s="360"/>
      <c r="F34" s="360"/>
      <c r="G34" s="360"/>
      <c r="H34" s="363"/>
      <c r="I34" s="360"/>
      <c r="J34" s="360"/>
      <c r="K34" s="360"/>
      <c r="L34" s="360"/>
      <c r="M34" s="360"/>
      <c r="N34" s="360"/>
      <c r="O34" s="360"/>
      <c r="P34" s="360"/>
      <c r="Q34" s="360"/>
      <c r="R34" s="360"/>
      <c r="S34" s="360"/>
      <c r="T34" s="360"/>
      <c r="U34" s="360"/>
      <c r="V34" s="360"/>
      <c r="W34" s="360"/>
      <c r="X34" s="360"/>
      <c r="Y34" s="360"/>
      <c r="Z34" s="360"/>
      <c r="AA34" s="360"/>
    </row>
    <row r="35" spans="3:27">
      <c r="C35" s="360"/>
      <c r="D35" s="360"/>
      <c r="E35" s="360"/>
      <c r="F35" s="360"/>
      <c r="G35" s="360"/>
      <c r="H35" s="363"/>
      <c r="I35" s="360"/>
      <c r="J35" s="360"/>
      <c r="K35" s="360"/>
      <c r="L35" s="360"/>
      <c r="M35" s="360"/>
      <c r="N35" s="360"/>
      <c r="O35" s="360"/>
      <c r="P35" s="360"/>
      <c r="Q35" s="360"/>
      <c r="R35" s="360"/>
      <c r="S35" s="360"/>
      <c r="T35" s="360"/>
      <c r="U35" s="360"/>
      <c r="V35" s="360"/>
      <c r="W35" s="360"/>
      <c r="X35" s="360"/>
      <c r="Y35" s="360"/>
      <c r="Z35" s="360"/>
      <c r="AA35" s="360"/>
    </row>
    <row r="36" spans="3:27">
      <c r="C36" s="360"/>
      <c r="D36" s="360"/>
      <c r="E36" s="360"/>
      <c r="F36" s="360"/>
      <c r="G36" s="360"/>
      <c r="H36" s="363"/>
      <c r="I36" s="360"/>
      <c r="J36" s="360"/>
      <c r="K36" s="360"/>
      <c r="L36" s="360"/>
      <c r="M36" s="360"/>
      <c r="N36" s="360"/>
      <c r="O36" s="360"/>
      <c r="P36" s="360"/>
      <c r="Q36" s="360"/>
      <c r="R36" s="360"/>
      <c r="S36" s="360"/>
      <c r="T36" s="360"/>
      <c r="U36" s="360"/>
      <c r="V36" s="360"/>
      <c r="W36" s="360"/>
      <c r="X36" s="360"/>
      <c r="Y36" s="360"/>
      <c r="Z36" s="360"/>
      <c r="AA36" s="360"/>
    </row>
    <row r="37" spans="3:27">
      <c r="C37" s="360"/>
      <c r="D37" s="360"/>
      <c r="E37" s="360"/>
      <c r="F37" s="360"/>
      <c r="G37" s="360"/>
      <c r="H37" s="360"/>
      <c r="I37" s="360"/>
      <c r="J37" s="360"/>
      <c r="K37" s="360"/>
      <c r="L37" s="360"/>
      <c r="M37" s="360"/>
      <c r="N37" s="360"/>
      <c r="O37" s="360"/>
      <c r="P37" s="360"/>
      <c r="Q37" s="360"/>
      <c r="R37" s="360"/>
      <c r="S37" s="360"/>
      <c r="T37" s="360"/>
      <c r="U37" s="360"/>
      <c r="V37" s="360"/>
      <c r="W37" s="360"/>
      <c r="X37" s="360"/>
      <c r="Y37" s="360"/>
      <c r="Z37" s="360"/>
      <c r="AA37" s="360"/>
    </row>
    <row r="38" spans="3:27">
      <c r="C38" s="360"/>
      <c r="D38" s="360"/>
      <c r="E38" s="360"/>
      <c r="F38" s="360"/>
      <c r="G38" s="360"/>
      <c r="H38" s="360"/>
      <c r="I38" s="360"/>
      <c r="J38" s="360"/>
      <c r="K38" s="360"/>
      <c r="L38" s="360"/>
      <c r="M38" s="360"/>
      <c r="N38" s="360"/>
      <c r="O38" s="360"/>
      <c r="P38" s="360"/>
      <c r="Q38" s="360"/>
      <c r="R38" s="360"/>
      <c r="S38" s="360"/>
      <c r="T38" s="360"/>
      <c r="U38" s="360"/>
      <c r="V38" s="360"/>
      <c r="W38" s="360"/>
      <c r="X38" s="360"/>
      <c r="Y38" s="360"/>
      <c r="Z38" s="360"/>
      <c r="AA38" s="360"/>
    </row>
    <row r="39" spans="3:27">
      <c r="C39" s="360"/>
      <c r="D39" s="360"/>
      <c r="E39" s="360"/>
      <c r="F39" s="360"/>
      <c r="G39" s="360"/>
      <c r="H39" s="360"/>
      <c r="I39" s="360"/>
      <c r="J39" s="360"/>
      <c r="K39" s="360"/>
      <c r="L39" s="360"/>
      <c r="M39" s="360"/>
      <c r="N39" s="360"/>
      <c r="O39" s="360"/>
      <c r="P39" s="360"/>
      <c r="Q39" s="360"/>
      <c r="R39" s="360"/>
      <c r="S39" s="360"/>
      <c r="T39" s="360"/>
      <c r="U39" s="360"/>
      <c r="V39" s="360"/>
      <c r="W39" s="360"/>
      <c r="X39" s="360"/>
      <c r="Y39" s="360"/>
      <c r="Z39" s="360"/>
      <c r="AA39" s="360"/>
    </row>
    <row r="40" spans="3:27" hidden="1">
      <c r="C40" s="360"/>
      <c r="D40" s="360"/>
      <c r="E40" s="360"/>
      <c r="F40" s="360"/>
      <c r="G40" s="360"/>
      <c r="H40" s="360"/>
      <c r="I40" s="360"/>
      <c r="J40" s="360"/>
      <c r="K40" s="360"/>
      <c r="L40" s="360"/>
      <c r="M40" s="360"/>
      <c r="N40" s="360"/>
      <c r="O40" s="360"/>
      <c r="P40" s="360"/>
      <c r="Q40" s="360"/>
      <c r="R40" s="360"/>
      <c r="S40" s="360"/>
      <c r="T40" s="360"/>
      <c r="U40" s="360"/>
      <c r="V40" s="360"/>
      <c r="W40" s="360"/>
      <c r="X40" s="360"/>
      <c r="Y40" s="360"/>
      <c r="Z40" s="360"/>
      <c r="AA40" s="360"/>
    </row>
    <row r="41" spans="3:27" hidden="1">
      <c r="C41" s="360"/>
      <c r="D41" s="360"/>
      <c r="E41" s="360"/>
      <c r="F41" s="360"/>
      <c r="G41" s="360"/>
      <c r="H41" s="360"/>
      <c r="I41" s="360"/>
      <c r="J41" s="360"/>
      <c r="K41" s="360"/>
      <c r="L41" s="360"/>
      <c r="M41" s="360"/>
      <c r="N41" s="360"/>
      <c r="O41" s="360"/>
      <c r="P41" s="360"/>
      <c r="Q41" s="360"/>
      <c r="R41" s="360"/>
      <c r="S41" s="360"/>
      <c r="T41" s="360"/>
      <c r="U41" s="360"/>
      <c r="V41" s="360"/>
      <c r="W41" s="360"/>
      <c r="X41" s="360"/>
      <c r="Y41" s="360"/>
      <c r="Z41" s="360"/>
      <c r="AA41" s="360"/>
    </row>
    <row r="42" spans="3:27" hidden="1">
      <c r="C42" s="360"/>
      <c r="D42" s="360"/>
      <c r="E42" s="360"/>
      <c r="F42" s="360"/>
      <c r="G42" s="360"/>
      <c r="H42" s="360"/>
      <c r="I42" s="360"/>
      <c r="J42" s="360"/>
      <c r="K42" s="360"/>
      <c r="L42" s="360"/>
      <c r="M42" s="360"/>
      <c r="N42" s="360"/>
      <c r="O42" s="360"/>
      <c r="P42" s="360"/>
      <c r="Q42" s="360"/>
      <c r="R42" s="360"/>
      <c r="S42" s="360"/>
      <c r="T42" s="360"/>
      <c r="U42" s="360"/>
      <c r="V42" s="360"/>
      <c r="W42" s="360"/>
      <c r="X42" s="360"/>
      <c r="Y42" s="360"/>
      <c r="Z42" s="360"/>
      <c r="AA42" s="360"/>
    </row>
    <row r="43" spans="3:27" hidden="1">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row>
    <row r="44" spans="3:27" hidden="1">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row>
    <row r="45" spans="3:27" hidden="1">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row>
    <row r="46" spans="3:27" hidden="1">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row>
    <row r="47" spans="3:27" hidden="1">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row>
    <row r="48" spans="3:27" hidden="1">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row>
    <row r="49" spans="3:27" hidden="1">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row>
    <row r="50" spans="3:27" hidden="1">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row>
    <row r="51" spans="3:27" hidden="1">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row>
    <row r="52" spans="3:27" hidden="1">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row>
    <row r="53" spans="3:27" hidden="1">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row>
    <row r="54" spans="3:27" hidden="1">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row>
    <row r="55" spans="3:27" hidden="1">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row>
    <row r="56" spans="3:27" hidden="1">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row>
    <row r="57" spans="3:27" hidden="1">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row>
    <row r="58" spans="3:27" hidden="1">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row>
    <row r="59" spans="3:27" hidden="1">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row>
    <row r="60" spans="3:27" hidden="1">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row>
    <row r="61" spans="3:27" hidden="1">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row>
    <row r="62" spans="3:27" hidden="1">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row>
    <row r="63" spans="3:27" hidden="1">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row>
  </sheetData>
  <sheetProtection password="E863" sheet="1" objects="1" scenarios="1"/>
  <mergeCells count="21">
    <mergeCell ref="E29:I29"/>
    <mergeCell ref="J29:K29"/>
    <mergeCell ref="E6:K6"/>
    <mergeCell ref="E7:K7"/>
    <mergeCell ref="E8:K8"/>
    <mergeCell ref="E9:K9"/>
    <mergeCell ref="J10:K10"/>
    <mergeCell ref="J24:K24"/>
    <mergeCell ref="J25:K25"/>
    <mergeCell ref="J26:K26"/>
    <mergeCell ref="J27:K27"/>
    <mergeCell ref="E28:I28"/>
    <mergeCell ref="J28:K28"/>
    <mergeCell ref="E33:I33"/>
    <mergeCell ref="J33:K33"/>
    <mergeCell ref="E30:I30"/>
    <mergeCell ref="J30:K30"/>
    <mergeCell ref="E31:I31"/>
    <mergeCell ref="J31:K31"/>
    <mergeCell ref="E32:I32"/>
    <mergeCell ref="J32:K32"/>
  </mergeCells>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2" tint="-0.499984740745262"/>
  </sheetPr>
  <dimension ref="A1:BC487"/>
  <sheetViews>
    <sheetView showGridLines="0" showRowColHeaders="0" tabSelected="1" topLeftCell="M2" zoomScaleNormal="100" zoomScaleSheetLayoutView="100" workbookViewId="0">
      <selection activeCell="V3" sqref="V3:AG3"/>
    </sheetView>
  </sheetViews>
  <sheetFormatPr defaultColWidth="0" defaultRowHeight="0" customHeight="1" zeroHeight="1"/>
  <cols>
    <col min="1" max="1" width="9.140625" style="1" hidden="1" customWidth="1"/>
    <col min="2" max="9" width="9.7109375" style="2" hidden="1" customWidth="1"/>
    <col min="10" max="10" width="9.7109375" style="3" hidden="1" customWidth="1"/>
    <col min="11" max="11" width="9.7109375" style="2" hidden="1" customWidth="1"/>
    <col min="12" max="12" width="5.7109375" style="2" hidden="1" customWidth="1"/>
    <col min="13" max="13" width="10" style="187" customWidth="1"/>
    <col min="14" max="14" width="0.5703125" customWidth="1"/>
    <col min="15" max="15" width="5.140625" customWidth="1"/>
    <col min="16" max="16" width="27.7109375" customWidth="1"/>
    <col min="17" max="17" width="2.7109375" customWidth="1"/>
    <col min="18" max="18" width="21.5703125" customWidth="1"/>
    <col min="19" max="19" width="2.28515625" customWidth="1"/>
    <col min="20" max="20" width="14.28515625" customWidth="1"/>
    <col min="21" max="21" width="2.7109375" customWidth="1"/>
    <col min="22" max="22" width="6.5703125" customWidth="1"/>
    <col min="23" max="23" width="2.7109375" customWidth="1"/>
    <col min="24" max="24" width="5.5703125" customWidth="1"/>
    <col min="25" max="25" width="2.28515625" customWidth="1"/>
    <col min="26" max="26" width="0.7109375" customWidth="1"/>
    <col min="27" max="27" width="4.28515625" customWidth="1"/>
    <col min="28" max="28" width="0.7109375" customWidth="1"/>
    <col min="29" max="29" width="3.42578125" customWidth="1"/>
    <col min="30" max="30" width="0.7109375" customWidth="1"/>
    <col min="31" max="31" width="4.5703125" customWidth="1"/>
    <col min="32" max="32" width="0.7109375" customWidth="1"/>
    <col min="33" max="33" width="4.28515625" customWidth="1"/>
    <col min="34" max="34" width="0.5703125" style="2" customWidth="1"/>
    <col min="35" max="35" width="2.28515625" style="2" customWidth="1"/>
    <col min="36" max="36" width="9.140625" style="1" hidden="1" customWidth="1"/>
    <col min="37" max="37" width="9.140625" style="2" hidden="1" customWidth="1"/>
    <col min="38" max="44" width="9.140625" style="1" hidden="1" customWidth="1"/>
    <col min="45" max="16384" width="9.140625" style="2" hidden="1"/>
  </cols>
  <sheetData>
    <row r="1" spans="13:52" ht="15.75" hidden="1" customHeight="1">
      <c r="N1" s="1"/>
      <c r="O1" s="2" t="s">
        <v>104</v>
      </c>
      <c r="P1" s="2"/>
      <c r="Q1" s="2"/>
      <c r="R1" s="2"/>
      <c r="S1" s="2"/>
      <c r="T1" s="2"/>
      <c r="U1" s="2"/>
      <c r="V1" s="2"/>
      <c r="W1" s="2"/>
      <c r="X1" s="2"/>
      <c r="Y1" s="2"/>
      <c r="Z1" s="2"/>
      <c r="AA1" s="3" t="s">
        <v>3</v>
      </c>
      <c r="AB1" s="3"/>
      <c r="AC1" s="3" t="s">
        <v>152</v>
      </c>
      <c r="AD1" s="4"/>
      <c r="AE1" s="2"/>
      <c r="AF1" s="2"/>
      <c r="AG1" s="2"/>
    </row>
    <row r="2" spans="13:52" ht="22.5" customHeight="1">
      <c r="N2" s="1"/>
      <c r="O2" s="425" t="s">
        <v>457</v>
      </c>
      <c r="P2" s="425"/>
      <c r="Q2" s="359"/>
      <c r="R2" s="359"/>
      <c r="S2" s="359"/>
      <c r="T2" s="359"/>
      <c r="U2" s="359"/>
      <c r="V2" s="359"/>
      <c r="W2" s="359"/>
      <c r="X2" s="359"/>
      <c r="Y2" s="359"/>
      <c r="Z2" s="359"/>
      <c r="AA2" s="359"/>
      <c r="AB2" s="359"/>
      <c r="AC2" s="359"/>
      <c r="AD2" s="359"/>
      <c r="AE2" s="426" t="s">
        <v>575</v>
      </c>
      <c r="AF2" s="426"/>
      <c r="AG2" s="426"/>
    </row>
    <row r="3" spans="13:52" ht="40.5" customHeight="1">
      <c r="N3" s="125"/>
      <c r="O3" s="125"/>
      <c r="P3" s="126"/>
      <c r="Q3" s="122"/>
      <c r="R3" s="122"/>
      <c r="S3" s="122"/>
      <c r="T3" s="122"/>
      <c r="U3" s="122"/>
      <c r="V3" s="427" t="s">
        <v>4</v>
      </c>
      <c r="W3" s="427"/>
      <c r="X3" s="427"/>
      <c r="Y3" s="427"/>
      <c r="Z3" s="427"/>
      <c r="AA3" s="427"/>
      <c r="AB3" s="427"/>
      <c r="AC3" s="427"/>
      <c r="AD3" s="427"/>
      <c r="AE3" s="427"/>
      <c r="AF3" s="427"/>
      <c r="AG3" s="427"/>
      <c r="AJ3" s="2"/>
      <c r="AL3" s="2"/>
      <c r="AM3" s="2"/>
      <c r="AN3" s="2"/>
      <c r="AO3" s="2"/>
      <c r="AP3" s="2"/>
      <c r="AQ3" s="2"/>
      <c r="AR3" s="2"/>
    </row>
    <row r="4" spans="13:52" ht="3" hidden="1" customHeight="1">
      <c r="M4" s="247"/>
      <c r="N4" s="5"/>
      <c r="O4" s="5"/>
      <c r="P4" s="5"/>
      <c r="Q4" s="5"/>
      <c r="R4" s="5"/>
      <c r="S4" s="5"/>
      <c r="T4" s="5"/>
      <c r="U4" s="5"/>
      <c r="V4" s="5"/>
      <c r="W4" s="5"/>
      <c r="X4" s="5"/>
      <c r="Y4" s="5"/>
      <c r="Z4" s="5"/>
      <c r="AA4" s="5"/>
      <c r="AB4" s="5"/>
      <c r="AC4" s="5"/>
      <c r="AD4" s="5"/>
      <c r="AE4" s="5"/>
      <c r="AF4" s="5"/>
      <c r="AG4" s="5"/>
      <c r="AJ4" s="2"/>
      <c r="AL4" s="2"/>
      <c r="AM4" s="2"/>
      <c r="AN4" s="2"/>
      <c r="AO4" s="2"/>
      <c r="AP4" s="2"/>
      <c r="AQ4" s="2"/>
      <c r="AR4" s="2"/>
    </row>
    <row r="5" spans="13:52" ht="3" hidden="1" customHeight="1">
      <c r="M5" s="248"/>
      <c r="N5" s="127"/>
      <c r="O5" s="127"/>
      <c r="P5" s="127"/>
      <c r="Q5" s="127"/>
      <c r="R5" s="127"/>
      <c r="S5" s="127"/>
      <c r="T5" s="127"/>
      <c r="U5" s="127"/>
      <c r="V5" s="127"/>
      <c r="W5" s="127"/>
      <c r="X5" s="127"/>
      <c r="Y5" s="127"/>
      <c r="Z5" s="127"/>
      <c r="AA5" s="127"/>
      <c r="AB5" s="127"/>
      <c r="AC5" s="127"/>
      <c r="AD5" s="127"/>
      <c r="AE5" s="127"/>
      <c r="AF5" s="127"/>
      <c r="AG5" s="127"/>
      <c r="AJ5" s="2"/>
      <c r="AL5" s="2"/>
      <c r="AM5" s="2"/>
      <c r="AN5" s="2"/>
      <c r="AO5" s="2"/>
      <c r="AP5" s="2"/>
      <c r="AQ5" s="2"/>
      <c r="AR5" s="2"/>
    </row>
    <row r="6" spans="13:52" ht="15.75" customHeight="1">
      <c r="M6" s="249">
        <f>IF(O6&lt;&gt;"Proposta de Financiamento › Não Rural › Micro e Pequena Empresa",0,1)</f>
        <v>0</v>
      </c>
      <c r="N6" s="1"/>
      <c r="O6" s="443" t="s">
        <v>426</v>
      </c>
      <c r="P6" s="443"/>
      <c r="Q6" s="443"/>
      <c r="R6" s="443"/>
      <c r="S6" s="443"/>
      <c r="T6" s="443"/>
      <c r="U6" s="443"/>
      <c r="V6" s="443"/>
      <c r="W6" s="443"/>
      <c r="X6" s="443"/>
      <c r="Y6" s="443"/>
      <c r="Z6" s="443"/>
      <c r="AA6" s="443"/>
      <c r="AB6" s="443"/>
      <c r="AC6" s="443"/>
      <c r="AD6" s="443"/>
      <c r="AE6" s="443"/>
      <c r="AF6" s="443"/>
      <c r="AG6" s="443"/>
      <c r="AN6" s="2"/>
      <c r="AO6" s="2"/>
      <c r="AP6" s="2"/>
      <c r="AQ6" s="2"/>
      <c r="AR6" s="2"/>
    </row>
    <row r="7" spans="13:52" ht="4.5" customHeight="1">
      <c r="N7" s="429"/>
      <c r="O7" s="429"/>
      <c r="P7" s="429"/>
      <c r="Q7" s="429"/>
      <c r="R7" s="429"/>
      <c r="S7" s="429"/>
      <c r="T7" s="429"/>
      <c r="U7" s="429"/>
      <c r="V7" s="429"/>
      <c r="W7" s="429"/>
      <c r="X7" s="429"/>
      <c r="Y7" s="429"/>
      <c r="Z7" s="429"/>
      <c r="AA7" s="429"/>
      <c r="AB7" s="429"/>
      <c r="AC7" s="429"/>
      <c r="AD7" s="429"/>
      <c r="AE7" s="429"/>
      <c r="AF7" s="2"/>
      <c r="AG7" s="2"/>
    </row>
    <row r="8" spans="13:52" ht="11.25" customHeight="1">
      <c r="N8" s="1"/>
      <c r="O8" s="139" t="s">
        <v>179</v>
      </c>
      <c r="P8" s="7"/>
      <c r="Q8" s="7"/>
      <c r="R8" s="7"/>
      <c r="S8" s="7"/>
      <c r="T8" s="7"/>
      <c r="U8" s="2"/>
      <c r="V8" s="139" t="s">
        <v>180</v>
      </c>
      <c r="W8" s="7"/>
      <c r="X8" s="7"/>
      <c r="Y8" s="7"/>
      <c r="Z8" s="7"/>
      <c r="AA8" s="2"/>
      <c r="AB8" s="141" t="s">
        <v>5</v>
      </c>
      <c r="AC8" s="138"/>
      <c r="AD8" s="99"/>
      <c r="AE8" s="7"/>
      <c r="AF8" s="7"/>
      <c r="AG8" s="7"/>
      <c r="AY8" s="2" t="s">
        <v>59</v>
      </c>
      <c r="AZ8" s="2" t="s">
        <v>590</v>
      </c>
    </row>
    <row r="9" spans="13:52" ht="15" customHeight="1">
      <c r="N9" s="1"/>
      <c r="O9" s="444"/>
      <c r="P9" s="445"/>
      <c r="Q9" s="445"/>
      <c r="R9" s="445"/>
      <c r="S9" s="445"/>
      <c r="T9" s="445"/>
      <c r="U9" s="57"/>
      <c r="V9" s="440"/>
      <c r="W9" s="441"/>
      <c r="X9" s="441"/>
      <c r="Y9" s="442"/>
      <c r="Z9" s="442"/>
      <c r="AA9" s="2"/>
      <c r="AB9" s="415">
        <f ca="1">TODAY()</f>
        <v>42864</v>
      </c>
      <c r="AC9" s="439"/>
      <c r="AD9" s="439"/>
      <c r="AE9" s="439"/>
      <c r="AF9" s="439"/>
      <c r="AG9" s="439"/>
      <c r="AY9" s="2" t="s">
        <v>426</v>
      </c>
      <c r="AZ9" s="2" t="s">
        <v>455</v>
      </c>
    </row>
    <row r="10" spans="13:52" ht="3" customHeight="1">
      <c r="N10" s="1"/>
      <c r="O10" s="2"/>
      <c r="P10" s="2"/>
      <c r="Q10" s="2"/>
      <c r="R10" s="2"/>
      <c r="S10" s="2"/>
      <c r="T10" s="2"/>
      <c r="U10" s="2"/>
      <c r="V10" s="2"/>
      <c r="W10" s="2"/>
      <c r="X10" s="2"/>
      <c r="Y10" s="2"/>
      <c r="Z10" s="2"/>
      <c r="AA10" s="2"/>
      <c r="AB10" s="2"/>
      <c r="AC10" s="2"/>
      <c r="AD10" s="4"/>
      <c r="AE10" s="2"/>
      <c r="AF10" s="2"/>
      <c r="AG10" s="2"/>
      <c r="AZ10" s="2" t="s">
        <v>456</v>
      </c>
    </row>
    <row r="11" spans="13:52" ht="11.25" customHeight="1">
      <c r="N11" s="1"/>
      <c r="O11" s="140" t="s">
        <v>365</v>
      </c>
      <c r="P11" s="7"/>
      <c r="Q11" s="2"/>
      <c r="R11" s="140" t="s">
        <v>6</v>
      </c>
      <c r="S11" s="137"/>
      <c r="T11" s="137"/>
      <c r="U11" s="137"/>
      <c r="V11" s="137"/>
      <c r="W11" s="2"/>
      <c r="X11" s="140" t="s">
        <v>7</v>
      </c>
      <c r="Y11" s="137"/>
      <c r="Z11" s="137"/>
      <c r="AA11" s="7"/>
      <c r="AB11" s="7"/>
      <c r="AC11" s="7"/>
      <c r="AD11" s="99"/>
      <c r="AE11" s="7"/>
      <c r="AF11" s="7"/>
      <c r="AG11" s="7"/>
      <c r="AZ11" s="2" t="s">
        <v>454</v>
      </c>
    </row>
    <row r="12" spans="13:52" ht="15">
      <c r="N12" s="1"/>
      <c r="O12" s="434"/>
      <c r="P12" s="435"/>
      <c r="Q12" s="2"/>
      <c r="R12" s="434"/>
      <c r="S12" s="435"/>
      <c r="T12" s="435"/>
      <c r="U12" s="435"/>
      <c r="V12" s="435"/>
      <c r="W12" s="6"/>
      <c r="X12" s="436"/>
      <c r="Y12" s="437"/>
      <c r="Z12" s="437"/>
      <c r="AA12" s="437"/>
      <c r="AB12" s="437"/>
      <c r="AC12" s="437"/>
      <c r="AD12" s="437"/>
      <c r="AE12" s="437"/>
      <c r="AF12" s="438"/>
      <c r="AG12" s="438"/>
      <c r="AZ12" s="2" t="s">
        <v>582</v>
      </c>
    </row>
    <row r="13" spans="13:52" ht="3" customHeight="1">
      <c r="N13" s="1"/>
      <c r="O13" s="2"/>
      <c r="P13" s="2"/>
      <c r="Q13" s="2"/>
      <c r="R13" s="2"/>
      <c r="S13" s="2"/>
      <c r="T13" s="2"/>
      <c r="U13" s="2"/>
      <c r="V13" s="2"/>
      <c r="W13" s="2"/>
      <c r="X13" s="2"/>
      <c r="Y13" s="2"/>
      <c r="Z13" s="2"/>
      <c r="AA13" s="2"/>
      <c r="AB13" s="2"/>
      <c r="AC13" s="2"/>
      <c r="AD13" s="4"/>
      <c r="AE13" s="2"/>
      <c r="AF13" s="2"/>
      <c r="AG13" s="2"/>
      <c r="AZ13" s="2" t="s">
        <v>453</v>
      </c>
    </row>
    <row r="14" spans="13:52" ht="11.25" customHeight="1">
      <c r="N14" s="1"/>
      <c r="O14" s="140" t="s">
        <v>8</v>
      </c>
      <c r="P14" s="7"/>
      <c r="Q14" s="7"/>
      <c r="R14" s="7"/>
      <c r="S14" s="7"/>
      <c r="T14" s="7"/>
      <c r="U14" s="7"/>
      <c r="V14" s="7"/>
      <c r="W14" s="7"/>
      <c r="X14" s="7"/>
      <c r="Y14" s="2"/>
      <c r="Z14" s="2"/>
      <c r="AA14" s="140" t="s">
        <v>331</v>
      </c>
      <c r="AB14" s="7"/>
      <c r="AC14" s="7"/>
      <c r="AD14" s="99"/>
      <c r="AE14" s="7"/>
      <c r="AF14" s="7"/>
      <c r="AG14" s="7"/>
      <c r="AH14" s="187">
        <v>0</v>
      </c>
      <c r="AZ14" s="2" t="s">
        <v>591</v>
      </c>
    </row>
    <row r="15" spans="13:52" ht="15" customHeight="1">
      <c r="M15" s="249">
        <f>IF(OR(O15="FNO - Amazônia Sustentável - Investimento Fixo (Construção)",O15="FNO MPE - Investimento Fixo (Construção)",O15="BNDES Cerealista (Construção)",O15="FAT - Investimento Fixo (Construção)",O15="BNDES - Investimento Fixo (Construção)",O15="BNDES Automático (Construção)"),0,1)</f>
        <v>1</v>
      </c>
      <c r="N15" s="1"/>
      <c r="O15" s="434"/>
      <c r="P15" s="435"/>
      <c r="Q15" s="435"/>
      <c r="R15" s="435"/>
      <c r="S15" s="435"/>
      <c r="T15" s="435"/>
      <c r="U15" s="435"/>
      <c r="V15" s="435"/>
      <c r="W15" s="435"/>
      <c r="X15" s="435"/>
      <c r="Y15" s="43"/>
      <c r="Z15" s="43"/>
      <c r="AA15" s="446"/>
      <c r="AB15" s="447"/>
      <c r="AC15" s="447"/>
      <c r="AD15" s="447"/>
      <c r="AE15" s="447"/>
      <c r="AF15" s="448"/>
      <c r="AG15" s="448"/>
      <c r="AP15" s="1" t="str">
        <f>IF(IF(O9="",1,0)+IF(V9="",1,0)+IF(O12="",1,0)+IF(R12="",1,0)+IF(X12="",1,0)+IF(O15="",1,0)+IF(AA15="",1,0)&gt;0,"XX",1)</f>
        <v>XX</v>
      </c>
      <c r="AZ15" s="2" t="s">
        <v>452</v>
      </c>
    </row>
    <row r="16" spans="13:52" ht="17.25" customHeight="1">
      <c r="N16" s="2"/>
      <c r="O16" s="424" t="str">
        <f>IF(O272&lt;&gt;"","››› PROPOSTA NÃO ESTÁ PRONTA PARA INTERNALIZAÇÃO AO BANCO ‹‹‹","")</f>
        <v/>
      </c>
      <c r="P16" s="424"/>
      <c r="Q16" s="424"/>
      <c r="R16" s="424"/>
      <c r="S16" s="424"/>
      <c r="T16" s="424"/>
      <c r="U16" s="424"/>
      <c r="V16" s="424"/>
      <c r="W16" s="424"/>
      <c r="X16" s="424"/>
      <c r="Y16" s="424"/>
      <c r="Z16" s="424"/>
      <c r="AA16" s="424"/>
      <c r="AB16" s="424"/>
      <c r="AC16" s="424"/>
      <c r="AD16" s="424"/>
      <c r="AE16" s="424"/>
      <c r="AF16" s="424"/>
      <c r="AG16" s="424"/>
      <c r="AZ16" s="2" t="s">
        <v>451</v>
      </c>
    </row>
    <row r="17" spans="1:52" ht="20.25" customHeight="1">
      <c r="K17" s="150" t="s">
        <v>392</v>
      </c>
      <c r="L17" s="7"/>
      <c r="M17" s="250"/>
      <c r="N17" s="11"/>
      <c r="O17" s="449" t="s">
        <v>9</v>
      </c>
      <c r="P17" s="449"/>
      <c r="Q17" s="449"/>
      <c r="R17" s="449"/>
      <c r="S17" s="449"/>
      <c r="T17" s="449"/>
      <c r="U17" s="449"/>
      <c r="V17" s="449"/>
      <c r="W17" s="449"/>
      <c r="X17" s="449"/>
      <c r="Y17" s="449"/>
      <c r="Z17" s="449"/>
      <c r="AA17" s="449"/>
      <c r="AB17" s="147"/>
      <c r="AC17" s="148" t="s">
        <v>10</v>
      </c>
      <c r="AD17" s="149"/>
      <c r="AE17" s="148" t="s">
        <v>11</v>
      </c>
      <c r="AF17" s="147"/>
      <c r="AG17" s="148" t="s">
        <v>185</v>
      </c>
      <c r="AZ17" s="2" t="s">
        <v>589</v>
      </c>
    </row>
    <row r="18" spans="1:52" ht="3" customHeight="1" thickBot="1">
      <c r="B18" s="1"/>
      <c r="L18" s="7"/>
      <c r="M18" s="250"/>
      <c r="N18" s="68"/>
      <c r="O18" s="31"/>
      <c r="P18" s="31"/>
      <c r="Q18" s="32"/>
      <c r="R18" s="32"/>
      <c r="S18" s="32"/>
      <c r="T18" s="32"/>
      <c r="U18" s="32"/>
      <c r="V18" s="32"/>
      <c r="W18" s="32"/>
      <c r="X18" s="32"/>
      <c r="Y18" s="32"/>
      <c r="Z18" s="32"/>
      <c r="AA18" s="32"/>
      <c r="AB18" s="12"/>
      <c r="AC18" s="16"/>
      <c r="AD18" s="8"/>
      <c r="AE18" s="11"/>
      <c r="AF18" s="7"/>
      <c r="AG18" s="2"/>
      <c r="AZ18" s="2" t="s">
        <v>450</v>
      </c>
    </row>
    <row r="19" spans="1:52" ht="14.25" customHeight="1">
      <c r="B19" s="1"/>
      <c r="G19" s="2">
        <v>1</v>
      </c>
      <c r="J19" s="71">
        <f>SUM($G$17:G19)</f>
        <v>1</v>
      </c>
      <c r="K19" s="2" t="s">
        <v>56</v>
      </c>
      <c r="L19" s="7"/>
      <c r="M19" s="250"/>
      <c r="N19" s="11"/>
      <c r="O19" s="432" t="str">
        <f>CONCATENATE(J19,". ",K19)</f>
        <v>1. Do Projeto:</v>
      </c>
      <c r="P19" s="432"/>
      <c r="Q19" s="432"/>
      <c r="R19" s="432"/>
      <c r="S19" s="432"/>
      <c r="T19" s="432"/>
      <c r="U19" s="432"/>
      <c r="V19" s="432"/>
      <c r="W19" s="432"/>
      <c r="X19" s="432"/>
      <c r="Y19" s="432"/>
      <c r="Z19" s="432"/>
      <c r="AA19" s="432"/>
      <c r="AB19" s="142"/>
      <c r="AC19" s="143"/>
      <c r="AD19" s="144"/>
      <c r="AE19" s="145" t="s">
        <v>389</v>
      </c>
      <c r="AF19" s="146"/>
      <c r="AG19" s="146"/>
      <c r="AU19" s="1">
        <f>IF(AND(AC19&lt;&gt;"",AE19&lt;&gt;"",AG19&lt;&gt;""),4,IF(AND(AE19&lt;&gt;"",AG19&lt;&gt;""),4,IF(AND(AC19&lt;&gt;"",AG19&lt;&gt;""),4,IF(AND(AC19&lt;&gt;"",AE19&lt;&gt;""),4,IF(AG19&lt;&gt;"",4,0)))))</f>
        <v>0</v>
      </c>
      <c r="AZ19" s="2" t="s">
        <v>583</v>
      </c>
    </row>
    <row r="20" spans="1:52" ht="3" customHeight="1">
      <c r="B20" s="1"/>
      <c r="J20" s="72"/>
      <c r="L20" s="7"/>
      <c r="M20" s="250"/>
      <c r="N20" s="11"/>
      <c r="O20" s="9"/>
      <c r="P20" s="9"/>
      <c r="Q20" s="9"/>
      <c r="R20" s="9"/>
      <c r="S20" s="9"/>
      <c r="T20" s="9"/>
      <c r="U20" s="9"/>
      <c r="V20" s="9"/>
      <c r="W20" s="9"/>
      <c r="X20" s="9"/>
      <c r="Y20" s="9"/>
      <c r="Z20" s="9"/>
      <c r="AA20" s="9"/>
      <c r="AB20" s="9"/>
      <c r="AC20" s="10"/>
      <c r="AD20" s="8"/>
      <c r="AE20" s="11"/>
      <c r="AF20" s="7"/>
      <c r="AG20" s="2"/>
      <c r="AU20" s="1"/>
      <c r="AZ20" s="2" t="s">
        <v>448</v>
      </c>
    </row>
    <row r="21" spans="1:52" ht="14.25" customHeight="1">
      <c r="B21" s="1"/>
      <c r="H21" s="2">
        <v>1</v>
      </c>
      <c r="J21" s="71" t="str">
        <f>CONCATENATE(SUM($G$17:G21),".",SUM($H$17:H21))</f>
        <v>1.1</v>
      </c>
      <c r="K21" s="2" t="s">
        <v>186</v>
      </c>
      <c r="L21" s="7"/>
      <c r="M21" s="250"/>
      <c r="N21" s="11"/>
      <c r="O21" s="384" t="str">
        <f>CONCATENATE(J21,". ",K21,$K$17)</f>
        <v>1.1. Projeto Econômico e Plano de Aplicação/Orçamento detalhado; (impresso e eletrônico grav. em CD ROM)------------------------------------------------------------------------------------------------------------------------------------------------------------------------</v>
      </c>
      <c r="P21" s="384"/>
      <c r="Q21" s="384"/>
      <c r="R21" s="384"/>
      <c r="S21" s="384"/>
      <c r="T21" s="384"/>
      <c r="U21" s="384"/>
      <c r="V21" s="384"/>
      <c r="W21" s="384"/>
      <c r="X21" s="384"/>
      <c r="Y21" s="384"/>
      <c r="Z21" s="384"/>
      <c r="AA21" s="384"/>
      <c r="AB21" s="384"/>
      <c r="AC21" s="384"/>
      <c r="AD21" s="8"/>
      <c r="AE21" s="378"/>
      <c r="AF21" s="7"/>
      <c r="AG21" s="80"/>
      <c r="AJ21" s="13">
        <v>1</v>
      </c>
      <c r="AK21" s="14"/>
      <c r="AL21" s="13">
        <f>IF(AND(AC21&lt;&gt;"",AE21&lt;&gt;""),4,IF(AC21&lt;&gt;"",1,IF(AE21&lt;&gt;"",2,0)))</f>
        <v>0</v>
      </c>
      <c r="AM21" s="13"/>
      <c r="AN21" s="13">
        <f>IF(AND(AC21&lt;&gt;"",AE21&lt;&gt;""),1,IF(OR(AC21&lt;&gt;"",AE21&lt;&gt;""),0,1))</f>
        <v>1</v>
      </c>
      <c r="AO21" s="13">
        <f>SUM($AN$21:AN21)</f>
        <v>1</v>
      </c>
      <c r="AP21" s="13" t="str">
        <f>IF(AE21&lt;&gt;"",1,"XX")</f>
        <v>XX</v>
      </c>
      <c r="AQ21" s="13">
        <f>AE21</f>
        <v>0</v>
      </c>
      <c r="AR21" s="13">
        <f>IF(SUM(AE23:$AE$348)&gt;0,MIN(AE23:$AE$348),10000)</f>
        <v>10000</v>
      </c>
      <c r="AS21" s="14"/>
      <c r="AT21" s="14"/>
      <c r="AU21" s="13">
        <f>IF(AND(AC21&lt;&gt;"",AE21&lt;&gt;"",AG21&lt;&gt;""),4,IF(AND(AE21&lt;&gt;"",AG21&lt;&gt;""),4,IF(AND(AC21&lt;&gt;"",AG21&lt;&gt;""),4,IF(AND(AC21&lt;&gt;"",AE21&lt;&gt;""),4,IF(AG21&lt;&gt;"",4,0)))))</f>
        <v>0</v>
      </c>
      <c r="AV21" s="2" t="e">
        <f>IF(AND(AL21&lt;&gt;1,AL21&lt;&gt;3,AL21&lt;&gt;4),AP21+1,XX)</f>
        <v>#VALUE!</v>
      </c>
      <c r="AW21" s="2">
        <f>IF(AND(AL21&lt;&gt;1,AL21&lt;&gt;3,AL21&lt;&gt;4),AR21-1,XX)</f>
        <v>9999</v>
      </c>
      <c r="AZ21" s="2" t="s">
        <v>449</v>
      </c>
    </row>
    <row r="22" spans="1:52" ht="3" customHeight="1">
      <c r="B22" s="1"/>
      <c r="J22" s="72"/>
      <c r="L22" s="7"/>
      <c r="M22" s="250"/>
      <c r="N22" s="11"/>
      <c r="O22" s="34"/>
      <c r="P22" s="34"/>
      <c r="Q22" s="34"/>
      <c r="R22" s="34"/>
      <c r="S22" s="34"/>
      <c r="T22" s="34"/>
      <c r="U22" s="34"/>
      <c r="V22" s="34"/>
      <c r="W22" s="34"/>
      <c r="X22" s="34"/>
      <c r="Y22" s="34"/>
      <c r="Z22" s="34"/>
      <c r="AA22" s="34"/>
      <c r="AB22" s="9"/>
      <c r="AC22" s="10"/>
      <c r="AD22" s="8"/>
      <c r="AE22" s="11"/>
      <c r="AF22" s="7"/>
      <c r="AG22" s="1"/>
      <c r="AJ22" s="13"/>
      <c r="AK22" s="14"/>
      <c r="AL22" s="13"/>
      <c r="AM22" s="13"/>
      <c r="AN22" s="13"/>
      <c r="AO22" s="13"/>
      <c r="AP22" s="13"/>
      <c r="AQ22" s="13"/>
      <c r="AR22" s="13"/>
      <c r="AS22" s="14"/>
      <c r="AT22" s="14"/>
      <c r="AU22" s="13"/>
      <c r="AZ22" s="2" t="s">
        <v>584</v>
      </c>
    </row>
    <row r="23" spans="1:52" ht="14.25" customHeight="1">
      <c r="B23" s="1"/>
      <c r="H23" s="2">
        <v>1</v>
      </c>
      <c r="J23" s="71" t="str">
        <f>CONCATENATE(SUM($G$17:G23),".",SUM($H$17:H23))</f>
        <v>1.2</v>
      </c>
      <c r="K23" s="2" t="s">
        <v>12</v>
      </c>
      <c r="L23" s="7"/>
      <c r="M23" s="250"/>
      <c r="N23" s="11"/>
      <c r="O23" s="384" t="str">
        <f>CONCATENATE(J23,". ",K23,$K$17)</f>
        <v>1.2. Cronograma físico-financeiro do empreendimento;------------------------------------------------------------------------------------------------------------------------------------------------------------------------</v>
      </c>
      <c r="P23" s="384"/>
      <c r="Q23" s="384"/>
      <c r="R23" s="384"/>
      <c r="S23" s="384"/>
      <c r="T23" s="384"/>
      <c r="U23" s="384"/>
      <c r="V23" s="384"/>
      <c r="W23" s="384"/>
      <c r="X23" s="384"/>
      <c r="Y23" s="384"/>
      <c r="Z23" s="384"/>
      <c r="AA23" s="384"/>
      <c r="AB23" s="384"/>
      <c r="AC23" s="384"/>
      <c r="AD23" s="65"/>
      <c r="AE23" s="379"/>
      <c r="AF23" s="7"/>
      <c r="AG23" s="80"/>
      <c r="AJ23" s="13">
        <v>1</v>
      </c>
      <c r="AK23" s="14"/>
      <c r="AL23" s="13">
        <f>IF(AND(AC23&lt;&gt;"",AE23&lt;&gt;""),4,IF(AC23&lt;&gt;"",1,IF(AE23&lt;&gt;"",2,0)))</f>
        <v>0</v>
      </c>
      <c r="AM23" s="13"/>
      <c r="AN23" s="188">
        <f>IF(AND(AC23&lt;&gt;"",AE23&lt;&gt;""),1,IF(AL23&lt;&gt;0,0,1))</f>
        <v>1</v>
      </c>
      <c r="AO23" s="75">
        <f ca="1">SUM($AN$21:OFFSET(AO23,-2,-1))</f>
        <v>1</v>
      </c>
      <c r="AP23" s="75" t="str">
        <f ca="1">IF(AND(OFFSET(AP23,0,-18)="",AO23=0),AQ23,"XX")</f>
        <v>XX</v>
      </c>
      <c r="AQ23" s="75">
        <f>MAX($AE$21:AE21)</f>
        <v>0</v>
      </c>
      <c r="AR23" s="13">
        <f>IF(SUM(AE25:$AE$348)&gt;0,MIN(AE25:$AE$348),10000)</f>
        <v>10000</v>
      </c>
      <c r="AS23" s="14"/>
      <c r="AT23" s="14"/>
      <c r="AU23" s="75">
        <f>IF(AND(AC23&lt;&gt;"",AE23&lt;&gt;""),4,0)</f>
        <v>0</v>
      </c>
      <c r="AV23" s="2" t="e">
        <f ca="1">IF(AND(AL23&lt;&gt;1,AL23&lt;&gt;3,AL23&lt;&gt;4),AP23+1,XX)</f>
        <v>#VALUE!</v>
      </c>
      <c r="AW23" s="2">
        <f>IF(AND(AL23&lt;&gt;1,AL23&lt;&gt;3,AL23&lt;&gt;4),AR23-1,XX)</f>
        <v>9999</v>
      </c>
      <c r="AZ23" s="2" t="s">
        <v>447</v>
      </c>
    </row>
    <row r="24" spans="1:52" ht="3" customHeight="1">
      <c r="A24" s="123"/>
      <c r="B24" s="123"/>
      <c r="C24" s="123"/>
      <c r="D24" s="123"/>
      <c r="E24" s="123"/>
      <c r="F24" s="123"/>
      <c r="G24" s="123"/>
      <c r="J24" s="72"/>
      <c r="L24" s="7"/>
      <c r="M24" s="250"/>
      <c r="N24" s="2"/>
      <c r="O24" s="36"/>
      <c r="P24" s="36"/>
      <c r="Q24" s="36"/>
      <c r="R24" s="36"/>
      <c r="S24" s="36"/>
      <c r="T24" s="36"/>
      <c r="U24" s="36"/>
      <c r="V24" s="36"/>
      <c r="W24" s="36"/>
      <c r="X24" s="36"/>
      <c r="Y24" s="36"/>
      <c r="Z24" s="36"/>
      <c r="AA24" s="36"/>
      <c r="AB24" s="9"/>
      <c r="AC24" s="164"/>
      <c r="AD24" s="162"/>
      <c r="AE24" s="165"/>
      <c r="AF24" s="7"/>
      <c r="AG24" s="123"/>
      <c r="AJ24" s="160"/>
      <c r="AK24" s="161"/>
      <c r="AL24" s="160"/>
      <c r="AM24" s="13"/>
      <c r="AN24" s="160"/>
      <c r="AO24" s="160"/>
      <c r="AP24" s="160"/>
      <c r="AQ24" s="160"/>
      <c r="AR24" s="13"/>
      <c r="AS24" s="161"/>
      <c r="AT24" s="161"/>
      <c r="AU24" s="160"/>
      <c r="AV24" s="161"/>
      <c r="AW24" s="161"/>
      <c r="AZ24" s="2" t="s">
        <v>587</v>
      </c>
    </row>
    <row r="25" spans="1:52" ht="14.25" customHeight="1">
      <c r="A25" s="123"/>
      <c r="B25" s="123"/>
      <c r="C25" s="123"/>
      <c r="D25" s="123"/>
      <c r="E25" s="123"/>
      <c r="F25" s="123"/>
      <c r="G25" s="123"/>
      <c r="H25" s="2">
        <f>IF($M$6=1,0,1)</f>
        <v>1</v>
      </c>
      <c r="J25" s="256" t="str">
        <f>CONCATENATE(SUM($G$17:G25),".",SUM($H$17:H25))</f>
        <v>1.3</v>
      </c>
      <c r="K25" s="2" t="s">
        <v>403</v>
      </c>
      <c r="L25" s="7"/>
      <c r="M25" s="250"/>
      <c r="N25" s="2"/>
      <c r="O25" s="384" t="str">
        <f>CONCATENATE(J25,". ",K25,$K$17)</f>
        <v>1.3. Estudo de Mercado;------------------------------------------------------------------------------------------------------------------------------------------------------------------------</v>
      </c>
      <c r="P25" s="384"/>
      <c r="Q25" s="384"/>
      <c r="R25" s="384"/>
      <c r="S25" s="384"/>
      <c r="T25" s="384"/>
      <c r="U25" s="384"/>
      <c r="V25" s="384"/>
      <c r="W25" s="384"/>
      <c r="X25" s="384"/>
      <c r="Y25" s="384"/>
      <c r="Z25" s="384"/>
      <c r="AA25" s="384"/>
      <c r="AB25" s="384"/>
      <c r="AC25" s="384"/>
      <c r="AD25" s="162"/>
      <c r="AE25" s="379"/>
      <c r="AF25" s="7"/>
      <c r="AG25" s="80"/>
      <c r="AJ25" s="160">
        <f>IF($M$6=0,1,0)</f>
        <v>1</v>
      </c>
      <c r="AK25" s="161"/>
      <c r="AL25" s="58">
        <f>IF(AND(AC25&lt;&gt;"",AE25&lt;&gt;""),4,IF(AC25&lt;&gt;"",1,IF(AE25&lt;&gt;"",2,IF($M$6=1,3,0))))</f>
        <v>0</v>
      </c>
      <c r="AM25" s="13"/>
      <c r="AN25" s="188">
        <f>IF(AND(AC25&lt;&gt;"",AE25&lt;&gt;""),1,IF(AL25&lt;&gt;0,0,1))</f>
        <v>1</v>
      </c>
      <c r="AO25" s="75">
        <f ca="1">SUM($AN$21:OFFSET(AO25,-2,-1))</f>
        <v>2</v>
      </c>
      <c r="AP25" s="75" t="str">
        <f t="shared" ref="AP25" ca="1" si="0">IF(AND(OFFSET(AP25,0,-18)="",AO25=0),AQ25,"XX")</f>
        <v>XX</v>
      </c>
      <c r="AQ25" s="75">
        <f>MAX($AE$21:AE23)</f>
        <v>0</v>
      </c>
      <c r="AR25" s="13">
        <f>IF(SUM(AE27:$AE$348)&gt;0,MIN(AE27:$AE$348),10000)</f>
        <v>10000</v>
      </c>
      <c r="AS25" s="14"/>
      <c r="AT25" s="14"/>
      <c r="AU25" s="75">
        <f t="shared" ref="AU25" si="1">IF(AND(AC25&lt;&gt;"",AE25&lt;&gt;""),4,0)</f>
        <v>0</v>
      </c>
      <c r="AV25" s="2" t="e">
        <f ca="1">IF(AND(AL25&lt;&gt;1,AL25&lt;&gt;3,AL25&lt;&gt;4),AP25+1,XX)</f>
        <v>#VALUE!</v>
      </c>
      <c r="AW25" s="2">
        <f>IF(AND(AL25&lt;&gt;1,AL25&lt;&gt;3,AL25&lt;&gt;4),AR25-1,XX)</f>
        <v>9999</v>
      </c>
    </row>
    <row r="26" spans="1:52" ht="3" customHeight="1">
      <c r="A26" s="116"/>
      <c r="B26" s="116"/>
      <c r="J26" s="72"/>
      <c r="L26" s="7"/>
      <c r="M26" s="250"/>
      <c r="N26" s="11"/>
      <c r="O26" s="34"/>
      <c r="P26" s="34"/>
      <c r="Q26" s="34"/>
      <c r="R26" s="34"/>
      <c r="S26" s="34"/>
      <c r="T26" s="34"/>
      <c r="U26" s="34"/>
      <c r="V26" s="34"/>
      <c r="W26" s="34"/>
      <c r="X26" s="34"/>
      <c r="Y26" s="34"/>
      <c r="Z26" s="34"/>
      <c r="AA26" s="34"/>
      <c r="AB26" s="9"/>
      <c r="AC26" s="10"/>
      <c r="AD26" s="8"/>
      <c r="AE26" s="11"/>
      <c r="AF26" s="7"/>
      <c r="AG26" s="116"/>
      <c r="AJ26" s="13"/>
      <c r="AK26" s="14"/>
      <c r="AL26" s="13"/>
      <c r="AM26" s="13"/>
      <c r="AN26" s="160"/>
      <c r="AO26" s="160"/>
      <c r="AP26" s="160"/>
      <c r="AQ26" s="160"/>
      <c r="AR26" s="13"/>
      <c r="AS26" s="161"/>
      <c r="AT26" s="161"/>
      <c r="AU26" s="160"/>
      <c r="AV26" s="161"/>
      <c r="AW26" s="161"/>
    </row>
    <row r="27" spans="1:52" ht="14.25" customHeight="1">
      <c r="A27" s="116"/>
      <c r="B27" s="116"/>
      <c r="H27" s="2">
        <v>1</v>
      </c>
      <c r="J27" s="71" t="str">
        <f>CONCATENATE(SUM($G$17:G27),".",SUM($H$17:H27))</f>
        <v>1.4</v>
      </c>
      <c r="K27" s="2" t="s">
        <v>581</v>
      </c>
      <c r="L27" s="7"/>
      <c r="M27" s="250"/>
      <c r="N27" s="11"/>
      <c r="O27" s="433" t="str">
        <f>CONCATENATE(J27,". ",K27,$K$17)</f>
        <v>1.4. Correspondência indicando o Limite/Percentual de Participação do Banco no financiamento;------------------------------------------------------------------------------------------------------------------------------------------------------------------------</v>
      </c>
      <c r="P27" s="433"/>
      <c r="Q27" s="433"/>
      <c r="R27" s="433"/>
      <c r="S27" s="433"/>
      <c r="T27" s="433"/>
      <c r="U27" s="433"/>
      <c r="V27" s="433"/>
      <c r="W27" s="433"/>
      <c r="X27" s="433"/>
      <c r="Y27" s="433"/>
      <c r="Z27" s="433"/>
      <c r="AA27" s="433"/>
      <c r="AC27" s="380"/>
      <c r="AD27" s="117"/>
      <c r="AE27" s="379"/>
      <c r="AF27" s="7"/>
      <c r="AG27" s="80"/>
      <c r="AJ27" s="13">
        <v>1</v>
      </c>
      <c r="AK27" s="160" t="str">
        <f>IF(AND(AE27="",AC27=""),"X","")</f>
        <v>X</v>
      </c>
      <c r="AL27" s="13">
        <f>IF(AND(AC27&lt;&gt;"",AE27&lt;&gt;""),4,IF(AC27&lt;&gt;"",1,IF(AE27&lt;&gt;"",2,0)))</f>
        <v>0</v>
      </c>
      <c r="AM27" s="13"/>
      <c r="AN27" s="188">
        <f t="shared" ref="AN27" si="2">IF(AND(AC27&lt;&gt;"",AE27&lt;&gt;""),1,IF(AL27&lt;&gt;0,0,1))</f>
        <v>1</v>
      </c>
      <c r="AO27" s="75">
        <f ca="1">SUM($AN$21:OFFSET(AO27,-2,-1))</f>
        <v>3</v>
      </c>
      <c r="AP27" s="75" t="str">
        <f t="shared" ref="AP27" ca="1" si="3">IF(AND(OFFSET(AP27,0,-18)="",AO27=0),AQ27,"XX")</f>
        <v>XX</v>
      </c>
      <c r="AQ27" s="75">
        <f>MAX($AE$21:AE25)</f>
        <v>0</v>
      </c>
      <c r="AR27" s="13">
        <f>IF(SUM(AE29:$AE$348)&gt;0,MIN(AE29:$AE$348),10000)</f>
        <v>10000</v>
      </c>
      <c r="AS27" s="14"/>
      <c r="AT27" s="14"/>
      <c r="AU27" s="75">
        <f t="shared" ref="AU27" si="4">IF(AND(AC27&lt;&gt;"",AE27&lt;&gt;""),4,0)</f>
        <v>0</v>
      </c>
      <c r="AV27" s="2" t="e">
        <f ca="1">IF(AND(AL27&lt;&gt;1,AL27&lt;&gt;3,AL27&lt;&gt;4),AP27+1,XX)</f>
        <v>#VALUE!</v>
      </c>
      <c r="AW27" s="2">
        <f>IF(AND(AL27&lt;&gt;1,AL27&lt;&gt;3,AL27&lt;&gt;4),AR27-1,XX)</f>
        <v>9999</v>
      </c>
    </row>
    <row r="28" spans="1:52" ht="3" customHeight="1">
      <c r="A28" s="118"/>
      <c r="B28" s="118"/>
      <c r="J28" s="72"/>
      <c r="L28" s="7"/>
      <c r="M28" s="250"/>
      <c r="N28" s="11"/>
      <c r="O28" s="34"/>
      <c r="P28" s="34"/>
      <c r="Q28" s="34"/>
      <c r="R28" s="34"/>
      <c r="S28" s="34"/>
      <c r="T28" s="34"/>
      <c r="U28" s="34"/>
      <c r="V28" s="34"/>
      <c r="W28" s="34"/>
      <c r="X28" s="34"/>
      <c r="Y28" s="34"/>
      <c r="Z28" s="34"/>
      <c r="AA28" s="34"/>
      <c r="AB28" s="9"/>
      <c r="AC28" s="10"/>
      <c r="AD28" s="8"/>
      <c r="AF28" s="7"/>
      <c r="AG28" s="118"/>
      <c r="AJ28" s="13"/>
      <c r="AK28" s="14"/>
      <c r="AL28" s="13"/>
      <c r="AM28" s="13"/>
      <c r="AN28" s="160"/>
      <c r="AO28" s="160"/>
      <c r="AP28" s="160"/>
      <c r="AQ28" s="160"/>
      <c r="AR28" s="13"/>
      <c r="AS28" s="161"/>
      <c r="AT28" s="161"/>
      <c r="AU28" s="160"/>
      <c r="AV28" s="161"/>
      <c r="AW28" s="161"/>
    </row>
    <row r="29" spans="1:52" ht="14.25" customHeight="1">
      <c r="A29" s="118"/>
      <c r="B29" s="118"/>
      <c r="H29" s="2">
        <v>1</v>
      </c>
      <c r="J29" s="71" t="str">
        <f>CONCATENATE(SUM($G$17:G29),".",SUM($H$17:H29))</f>
        <v>1.5</v>
      </c>
      <c r="K29" s="2" t="s">
        <v>385</v>
      </c>
      <c r="L29" s="7"/>
      <c r="M29" s="250"/>
      <c r="N29" s="11"/>
      <c r="O29" s="433" t="str">
        <f>CONCATENATE(J29,". ",K29,$K$17)</f>
        <v>1.5. Quadro de endividamento com base no SCR;------------------------------------------------------------------------------------------------------------------------------------------------------------------------</v>
      </c>
      <c r="P29" s="433"/>
      <c r="Q29" s="433"/>
      <c r="R29" s="433"/>
      <c r="S29" s="433"/>
      <c r="T29" s="433"/>
      <c r="U29" s="433"/>
      <c r="V29" s="433"/>
      <c r="W29" s="433"/>
      <c r="X29" s="433"/>
      <c r="Y29" s="433"/>
      <c r="Z29" s="433"/>
      <c r="AA29" s="433"/>
      <c r="AB29" s="433"/>
      <c r="AC29" s="433"/>
      <c r="AD29" s="120"/>
      <c r="AE29" s="379"/>
      <c r="AF29" s="7"/>
      <c r="AG29" s="80"/>
      <c r="AJ29" s="13">
        <v>1</v>
      </c>
      <c r="AK29" s="14"/>
      <c r="AL29" s="13">
        <f>IF(AND(AC29&lt;&gt;"",AE29&lt;&gt;""),4,IF(AC29&lt;&gt;"",1,IF(AE29&lt;&gt;"",2,0)))</f>
        <v>0</v>
      </c>
      <c r="AM29" s="13"/>
      <c r="AN29" s="188">
        <f t="shared" ref="AN29" si="5">IF(AND(AC29&lt;&gt;"",AE29&lt;&gt;""),1,IF(AL29&lt;&gt;0,0,1))</f>
        <v>1</v>
      </c>
      <c r="AO29" s="75">
        <f ca="1">SUM($AN$21:OFFSET(AO29,-2,-1))</f>
        <v>4</v>
      </c>
      <c r="AP29" s="75" t="str">
        <f t="shared" ref="AP29" ca="1" si="6">IF(AND(OFFSET(AP29,0,-18)="",AO29=0),AQ29,"XX")</f>
        <v>XX</v>
      </c>
      <c r="AQ29" s="75">
        <f>MAX($AE$21:AE27)</f>
        <v>0</v>
      </c>
      <c r="AR29" s="13">
        <f>IF(SUM(AE31:$AE$348)&gt;0,MIN(AE31:$AE$348),10000)</f>
        <v>10000</v>
      </c>
      <c r="AS29" s="14"/>
      <c r="AT29" s="14"/>
      <c r="AU29" s="75">
        <f t="shared" ref="AU29" si="7">IF(AND(AC29&lt;&gt;"",AE29&lt;&gt;""),4,0)</f>
        <v>0</v>
      </c>
      <c r="AV29" s="2" t="e">
        <f ca="1">IF(AND(AL29&lt;&gt;1,AL29&lt;&gt;3,AL29&lt;&gt;4),AP29+1,XX)</f>
        <v>#VALUE!</v>
      </c>
      <c r="AW29" s="2">
        <f>IF(AND(AL29&lt;&gt;1,AL29&lt;&gt;3,AL29&lt;&gt;4),AR29-1,XX)</f>
        <v>9999</v>
      </c>
    </row>
    <row r="30" spans="1:52" ht="3" customHeight="1">
      <c r="B30" s="1"/>
      <c r="J30" s="72"/>
      <c r="L30" s="7"/>
      <c r="M30" s="250"/>
      <c r="N30" s="11"/>
      <c r="O30" s="36"/>
      <c r="P30" s="36"/>
      <c r="Q30" s="37"/>
      <c r="R30" s="37"/>
      <c r="S30" s="37"/>
      <c r="T30" s="37"/>
      <c r="U30" s="37"/>
      <c r="V30" s="37"/>
      <c r="W30" s="37"/>
      <c r="X30" s="37"/>
      <c r="Y30" s="37"/>
      <c r="Z30" s="37"/>
      <c r="AA30" s="37"/>
      <c r="AB30" s="12"/>
      <c r="AC30" s="10"/>
      <c r="AD30" s="8"/>
      <c r="AE30" s="11"/>
      <c r="AF30" s="7"/>
      <c r="AG30" s="1"/>
      <c r="AJ30" s="13"/>
      <c r="AK30" s="14"/>
      <c r="AL30" s="13"/>
      <c r="AM30" s="13"/>
      <c r="AN30" s="160"/>
      <c r="AO30" s="160"/>
      <c r="AP30" s="160"/>
      <c r="AQ30" s="160"/>
      <c r="AR30" s="13"/>
      <c r="AS30" s="161"/>
      <c r="AT30" s="161"/>
      <c r="AU30" s="160"/>
      <c r="AV30" s="161"/>
      <c r="AW30" s="161"/>
    </row>
    <row r="31" spans="1:52" ht="14.25" customHeight="1">
      <c r="B31" s="1"/>
      <c r="H31" s="2">
        <v>1</v>
      </c>
      <c r="J31" s="71" t="str">
        <f>CONCATENATE(SUM($G$17:G31),".",SUM($H$17:H31))</f>
        <v>1.6</v>
      </c>
      <c r="K31" s="2" t="s">
        <v>222</v>
      </c>
      <c r="L31" s="7"/>
      <c r="M31" s="250"/>
      <c r="N31" s="11"/>
      <c r="O31" s="384" t="str">
        <f>CONCATENATE(J31,". ",K31,$K$17)</f>
        <v>1.6. Contrato de prestação de serviços entre proponente e projetista;------------------------------------------------------------------------------------------------------------------------------------------------------------------------</v>
      </c>
      <c r="P31" s="384"/>
      <c r="Q31" s="384"/>
      <c r="R31" s="384"/>
      <c r="S31" s="384"/>
      <c r="T31" s="384"/>
      <c r="U31" s="384"/>
      <c r="V31" s="384"/>
      <c r="W31" s="384"/>
      <c r="X31" s="384"/>
      <c r="Y31" s="384"/>
      <c r="Z31" s="384"/>
      <c r="AA31" s="384"/>
      <c r="AB31" s="384"/>
      <c r="AC31" s="384"/>
      <c r="AD31" s="8"/>
      <c r="AE31" s="379"/>
      <c r="AF31" s="7"/>
      <c r="AG31" s="80"/>
      <c r="AJ31" s="13">
        <v>1</v>
      </c>
      <c r="AK31" s="14"/>
      <c r="AL31" s="13">
        <f>IF(AND(AC31&lt;&gt;"",AE31&lt;&gt;""),4,IF(AC31&lt;&gt;"",1,IF(AE31&lt;&gt;"",2,0)))</f>
        <v>0</v>
      </c>
      <c r="AM31" s="13"/>
      <c r="AN31" s="188">
        <f t="shared" ref="AN31" si="8">IF(AND(AC31&lt;&gt;"",AE31&lt;&gt;""),1,IF(AL31&lt;&gt;0,0,1))</f>
        <v>1</v>
      </c>
      <c r="AO31" s="75">
        <f ca="1">SUM($AN$21:OFFSET(AO31,-2,-1))</f>
        <v>5</v>
      </c>
      <c r="AP31" s="75" t="str">
        <f t="shared" ref="AP31" ca="1" si="9">IF(AND(OFFSET(AP31,0,-18)="",AO31=0),AQ31,"XX")</f>
        <v>XX</v>
      </c>
      <c r="AQ31" s="75">
        <f>MAX($AE$21:AE29)</f>
        <v>0</v>
      </c>
      <c r="AR31" s="13">
        <f>IF(SUM(AE33:$AE$348)&gt;0,MIN(AE33:$AE$348),10000)</f>
        <v>10000</v>
      </c>
      <c r="AS31" s="14"/>
      <c r="AT31" s="14"/>
      <c r="AU31" s="75">
        <f t="shared" ref="AU31" si="10">IF(AND(AC31&lt;&gt;"",AE31&lt;&gt;""),4,0)</f>
        <v>0</v>
      </c>
      <c r="AV31" s="2" t="e">
        <f ca="1">IF(AND(AL31&lt;&gt;1,AL31&lt;&gt;3,AL31&lt;&gt;4),AP31+1,XX)</f>
        <v>#VALUE!</v>
      </c>
      <c r="AW31" s="2">
        <f>IF(AND(AL31&lt;&gt;1,AL31&lt;&gt;3,AL31&lt;&gt;4),AR31-1,XX)</f>
        <v>9999</v>
      </c>
    </row>
    <row r="32" spans="1:52" ht="3" customHeight="1">
      <c r="B32" s="1"/>
      <c r="J32" s="70"/>
      <c r="L32" s="7"/>
      <c r="M32" s="250"/>
      <c r="N32" s="11"/>
      <c r="O32" s="36"/>
      <c r="P32" s="36"/>
      <c r="Q32" s="37"/>
      <c r="R32" s="37"/>
      <c r="S32" s="37"/>
      <c r="T32" s="37"/>
      <c r="U32" s="37"/>
      <c r="V32" s="37"/>
      <c r="W32" s="37"/>
      <c r="X32" s="37"/>
      <c r="Y32" s="37"/>
      <c r="Z32" s="37"/>
      <c r="AA32" s="37"/>
      <c r="AB32" s="12"/>
      <c r="AC32" s="16"/>
      <c r="AD32" s="8"/>
      <c r="AE32" s="11"/>
      <c r="AF32" s="7"/>
      <c r="AG32" s="1"/>
      <c r="AJ32" s="13"/>
      <c r="AK32" s="14"/>
      <c r="AL32" s="13"/>
      <c r="AM32" s="13"/>
      <c r="AN32" s="160"/>
      <c r="AO32" s="160"/>
      <c r="AP32" s="160"/>
      <c r="AQ32" s="160"/>
      <c r="AR32" s="13"/>
      <c r="AS32" s="161"/>
      <c r="AT32" s="161"/>
      <c r="AU32" s="160"/>
      <c r="AV32" s="161"/>
      <c r="AW32" s="161"/>
    </row>
    <row r="33" spans="1:49" ht="14.25" customHeight="1">
      <c r="B33" s="1"/>
      <c r="G33" s="2">
        <v>1</v>
      </c>
      <c r="J33" s="71">
        <f>SUM($G$17:G33)</f>
        <v>2</v>
      </c>
      <c r="K33" s="2" t="s">
        <v>57</v>
      </c>
      <c r="L33" s="7"/>
      <c r="M33" s="250"/>
      <c r="N33" s="11"/>
      <c r="O33" s="451" t="str">
        <f>CONCATENATE(J33,". ",K33)</f>
        <v>2. Da Proponente:</v>
      </c>
      <c r="P33" s="451"/>
      <c r="Q33" s="451"/>
      <c r="R33" s="451"/>
      <c r="S33" s="451"/>
      <c r="T33" s="451"/>
      <c r="U33" s="451"/>
      <c r="V33" s="451"/>
      <c r="W33" s="451"/>
      <c r="X33" s="451"/>
      <c r="Y33" s="451"/>
      <c r="Z33" s="451"/>
      <c r="AA33" s="451"/>
      <c r="AB33" s="63"/>
      <c r="AC33" s="64"/>
      <c r="AD33" s="8"/>
      <c r="AE33" s="136" t="s">
        <v>389</v>
      </c>
      <c r="AF33" s="7"/>
      <c r="AG33" s="2"/>
      <c r="AJ33" s="13"/>
      <c r="AK33" s="14"/>
      <c r="AL33" s="13"/>
      <c r="AM33" s="13"/>
      <c r="AN33" s="188"/>
      <c r="AO33" s="75">
        <f ca="1">SUM($AN$21:OFFSET(AO33,-2,-1))</f>
        <v>6</v>
      </c>
      <c r="AP33" s="75"/>
      <c r="AQ33" s="75"/>
      <c r="AR33" s="13"/>
      <c r="AS33" s="14"/>
      <c r="AT33" s="14"/>
      <c r="AU33" s="75"/>
    </row>
    <row r="34" spans="1:49" s="6" customFormat="1" ht="3" hidden="1" customHeight="1">
      <c r="A34" s="1"/>
      <c r="B34" s="25"/>
      <c r="J34" s="73"/>
      <c r="L34" s="28"/>
      <c r="M34" s="251"/>
      <c r="N34" s="28"/>
      <c r="O34" s="35"/>
      <c r="P34" s="35"/>
      <c r="Q34" s="35"/>
      <c r="R34" s="35"/>
      <c r="S34" s="35"/>
      <c r="T34" s="35"/>
      <c r="U34" s="35"/>
      <c r="V34" s="35"/>
      <c r="W34" s="35"/>
      <c r="X34" s="35"/>
      <c r="Y34" s="35"/>
      <c r="Z34" s="35"/>
      <c r="AA34" s="35"/>
      <c r="AB34" s="26"/>
      <c r="AC34" s="42"/>
      <c r="AD34" s="27"/>
      <c r="AE34" s="41"/>
      <c r="AF34" s="28"/>
      <c r="AG34" s="1"/>
      <c r="AJ34" s="13"/>
      <c r="AK34" s="55"/>
      <c r="AL34" s="56"/>
      <c r="AM34" s="13"/>
      <c r="AN34" s="160"/>
      <c r="AO34" s="160"/>
      <c r="AP34" s="160"/>
      <c r="AQ34" s="160"/>
      <c r="AR34" s="13"/>
      <c r="AS34" s="161"/>
      <c r="AT34" s="161"/>
      <c r="AU34" s="160"/>
      <c r="AV34" s="161"/>
      <c r="AW34" s="161"/>
    </row>
    <row r="35" spans="1:49" ht="14.25" hidden="1" customHeight="1">
      <c r="B35" s="1"/>
      <c r="H35" s="2">
        <f>IF($M$6=0,0,1)</f>
        <v>0</v>
      </c>
      <c r="J35" s="377" t="str">
        <f>CONCATENATE(SUM($G$17:G35),".",SUM($H$33:H35))</f>
        <v>2.0</v>
      </c>
      <c r="K35" s="2" t="s">
        <v>280</v>
      </c>
      <c r="M35" s="250"/>
      <c r="N35" s="11"/>
      <c r="O35" s="433" t="str">
        <f>CONCATENATE(J35,". ",K35,$K$17)</f>
        <v>2.0. Levantamentos extra contábeis ou Balanço com DRE do último exercício e Balancete;------------------------------------------------------------------------------------------------------------------------------------------------------------------------</v>
      </c>
      <c r="P35" s="433"/>
      <c r="Q35" s="433"/>
      <c r="R35" s="433"/>
      <c r="S35" s="433"/>
      <c r="T35" s="433"/>
      <c r="U35" s="433"/>
      <c r="V35" s="433"/>
      <c r="W35" s="433"/>
      <c r="X35" s="433"/>
      <c r="Y35" s="433"/>
      <c r="Z35" s="433"/>
      <c r="AA35" s="433"/>
      <c r="AB35" s="433"/>
      <c r="AC35" s="433"/>
      <c r="AD35" s="8"/>
      <c r="AE35" s="156"/>
      <c r="AF35" s="7"/>
      <c r="AG35" s="80"/>
      <c r="AJ35" s="13">
        <f>IF($M$6=0,0,1)</f>
        <v>0</v>
      </c>
      <c r="AK35" s="14"/>
      <c r="AL35" s="369">
        <f>IF(AND(AC35&lt;&gt;"",AE35&lt;&gt;""),4,IF(AC35&lt;&gt;"",1,IF(AE35&lt;&gt;"",2,IF($M$6=0,3,0))))</f>
        <v>3</v>
      </c>
      <c r="AM35" s="13"/>
      <c r="AN35" s="188">
        <f>IF(AND(AC35&lt;&gt;"",AE35&lt;&gt;""),1,IF(AL35&lt;&gt;0,0,1))</f>
        <v>0</v>
      </c>
      <c r="AO35" s="75">
        <f ca="1">SUM($AN$21:OFFSET(AO35,-2,-1))</f>
        <v>6</v>
      </c>
      <c r="AP35" s="75" t="str">
        <f t="shared" ref="AP35" ca="1" si="11">IF(AND(OFFSET(AP35,0,-18)="",AO35=0),AQ35,"XX")</f>
        <v>XX</v>
      </c>
      <c r="AQ35" s="75">
        <f>MAX($AE$21:AE33)</f>
        <v>0</v>
      </c>
      <c r="AR35" s="13">
        <f>IF(SUM(AE37:$AE$348)&gt;0,MIN(AE37:$AE$348),10000)</f>
        <v>10000</v>
      </c>
      <c r="AS35" s="14"/>
      <c r="AT35" s="14"/>
      <c r="AU35" s="75">
        <f t="shared" ref="AU35" si="12">IF(AND(AC35&lt;&gt;"",AE35&lt;&gt;""),4,0)</f>
        <v>0</v>
      </c>
      <c r="AV35" s="2" t="e">
        <f>IF(AND(AL35&lt;&gt;1,AL35&lt;&gt;3,AL35&lt;&gt;4),AP35+1,XX)</f>
        <v>#NAME?</v>
      </c>
      <c r="AW35" s="2" t="e">
        <f>IF(AND(AL35&lt;&gt;1,AL35&lt;&gt;3,AL35&lt;&gt;4),AR35-1,XX)</f>
        <v>#NAME?</v>
      </c>
    </row>
    <row r="36" spans="1:49" ht="3" hidden="1" customHeight="1">
      <c r="B36" s="1"/>
      <c r="J36" s="72"/>
      <c r="L36" s="7"/>
      <c r="M36" s="250"/>
      <c r="N36" s="11"/>
      <c r="O36" s="34"/>
      <c r="P36" s="34"/>
      <c r="Q36" s="34"/>
      <c r="R36" s="34"/>
      <c r="S36" s="34"/>
      <c r="T36" s="34"/>
      <c r="U36" s="34"/>
      <c r="V36" s="34"/>
      <c r="W36" s="34"/>
      <c r="X36" s="34"/>
      <c r="Y36" s="34"/>
      <c r="Z36" s="34"/>
      <c r="AA36" s="34"/>
      <c r="AB36" s="9"/>
      <c r="AC36" s="10"/>
      <c r="AD36" s="8"/>
      <c r="AE36" s="11"/>
      <c r="AF36" s="7"/>
      <c r="AG36" s="2"/>
      <c r="AJ36" s="13"/>
      <c r="AK36" s="14"/>
      <c r="AL36" s="13"/>
      <c r="AM36" s="13"/>
      <c r="AN36" s="160"/>
      <c r="AO36" s="160"/>
      <c r="AP36" s="160"/>
      <c r="AQ36" s="160"/>
      <c r="AR36" s="13"/>
      <c r="AS36" s="161"/>
      <c r="AT36" s="161"/>
      <c r="AU36" s="160"/>
      <c r="AV36" s="161"/>
      <c r="AW36" s="161"/>
    </row>
    <row r="37" spans="1:49" ht="14.25" hidden="1" customHeight="1">
      <c r="B37" s="1"/>
      <c r="H37" s="2">
        <f>IF($M$6=0,0,1)</f>
        <v>0</v>
      </c>
      <c r="J37" s="377" t="str">
        <f>CONCATENATE(SUM($G$17:G37),".",SUM($H$33:H37))</f>
        <v>2.0</v>
      </c>
      <c r="K37" s="2" t="s">
        <v>15</v>
      </c>
      <c r="L37" s="7"/>
      <c r="M37" s="250"/>
      <c r="N37" s="11"/>
      <c r="O37" s="384" t="str">
        <f>CONCATENATE(J37,". ",K37,$K$17)</f>
        <v>2.0. Ato constitutivo da sociedade e suas modificações ou Requerimento de Empresário Individual;------------------------------------------------------------------------------------------------------------------------------------------------------------------------</v>
      </c>
      <c r="P37" s="384"/>
      <c r="Q37" s="384"/>
      <c r="R37" s="384"/>
      <c r="S37" s="384"/>
      <c r="T37" s="384"/>
      <c r="U37" s="384"/>
      <c r="V37" s="384"/>
      <c r="W37" s="384"/>
      <c r="X37" s="384"/>
      <c r="Y37" s="384"/>
      <c r="Z37" s="384"/>
      <c r="AA37" s="384"/>
      <c r="AB37" s="384"/>
      <c r="AC37" s="384"/>
      <c r="AD37" s="8"/>
      <c r="AE37" s="379"/>
      <c r="AF37" s="7"/>
      <c r="AG37" s="80"/>
      <c r="AJ37" s="13">
        <f>IF($M$6=0,0,1)</f>
        <v>0</v>
      </c>
      <c r="AK37" s="14"/>
      <c r="AL37" s="369">
        <f>IF(AND(AC37&lt;&gt;"",AE37&lt;&gt;""),4,IF(AC37&lt;&gt;"",1,IF(AE37&lt;&gt;"",2,IF($M$6=0,3,0))))</f>
        <v>3</v>
      </c>
      <c r="AM37" s="13"/>
      <c r="AN37" s="188">
        <f t="shared" ref="AN37" si="13">IF(AND(AC37&lt;&gt;"",AE37&lt;&gt;""),1,IF(AL37&lt;&gt;0,0,1))</f>
        <v>0</v>
      </c>
      <c r="AO37" s="75">
        <f ca="1">SUM($AN$21:OFFSET(AO37,-2,-1))</f>
        <v>6</v>
      </c>
      <c r="AP37" s="75" t="str">
        <f t="shared" ref="AP37" ca="1" si="14">IF(AND(OFFSET(AP37,0,-18)="",AO37=0),AQ37,"XX")</f>
        <v>XX</v>
      </c>
      <c r="AQ37" s="75">
        <f>MAX($AE$21:AE35)</f>
        <v>0</v>
      </c>
      <c r="AR37" s="13">
        <f>IF(SUM(AE39:$AE$348)&gt;0,MIN(AE39:$AE$348),10000)</f>
        <v>10000</v>
      </c>
      <c r="AS37" s="14"/>
      <c r="AT37" s="14"/>
      <c r="AU37" s="75">
        <f t="shared" ref="AU37" si="15">IF(AND(AC37&lt;&gt;"",AE37&lt;&gt;""),4,0)</f>
        <v>0</v>
      </c>
      <c r="AV37" s="2" t="e">
        <f>IF(AND(AL37&lt;&gt;1,AL37&lt;&gt;3,AL37&lt;&gt;4),AP37+1,XX)</f>
        <v>#NAME?</v>
      </c>
      <c r="AW37" s="2" t="e">
        <f>IF(AND(AL37&lt;&gt;1,AL37&lt;&gt;3,AL37&lt;&gt;4),AR37-1,XX)</f>
        <v>#NAME?</v>
      </c>
    </row>
    <row r="38" spans="1:49" s="6" customFormat="1" ht="3" customHeight="1">
      <c r="A38" s="123"/>
      <c r="B38" s="123"/>
      <c r="C38" s="123"/>
      <c r="D38" s="123"/>
      <c r="E38" s="123"/>
      <c r="F38" s="123"/>
      <c r="G38" s="25"/>
      <c r="J38" s="167"/>
      <c r="L38" s="28"/>
      <c r="M38" s="251"/>
      <c r="O38" s="35"/>
      <c r="P38" s="35"/>
      <c r="Q38" s="35"/>
      <c r="R38" s="35"/>
      <c r="S38" s="35"/>
      <c r="T38" s="35"/>
      <c r="U38" s="35"/>
      <c r="V38" s="35"/>
      <c r="W38" s="35"/>
      <c r="X38" s="35"/>
      <c r="Y38" s="35"/>
      <c r="Z38" s="35"/>
      <c r="AA38" s="35"/>
      <c r="AB38" s="26"/>
      <c r="AC38" s="168"/>
      <c r="AD38" s="169"/>
      <c r="AE38" s="170"/>
      <c r="AF38" s="28"/>
      <c r="AG38" s="123"/>
      <c r="AJ38" s="160"/>
      <c r="AK38" s="171"/>
      <c r="AL38" s="172"/>
      <c r="AM38" s="13"/>
      <c r="AN38" s="160"/>
      <c r="AO38" s="160"/>
      <c r="AP38" s="160"/>
      <c r="AQ38" s="160"/>
      <c r="AR38" s="13"/>
      <c r="AS38" s="161"/>
      <c r="AT38" s="161"/>
      <c r="AU38" s="160"/>
      <c r="AV38" s="161"/>
      <c r="AW38" s="161"/>
    </row>
    <row r="39" spans="1:49" ht="14.25" customHeight="1">
      <c r="A39" s="123"/>
      <c r="B39" s="123"/>
      <c r="C39" s="123"/>
      <c r="D39" s="123"/>
      <c r="E39" s="123"/>
      <c r="F39" s="123"/>
      <c r="G39" s="123"/>
      <c r="H39" s="2">
        <f>IF($M$6=0,1,0)</f>
        <v>1</v>
      </c>
      <c r="J39" s="256" t="str">
        <f>CONCATENATE(SUM($G$17:G39),".",SUM($H$33:H39))</f>
        <v>2.1</v>
      </c>
      <c r="K39" s="2" t="s">
        <v>404</v>
      </c>
      <c r="L39" s="7"/>
      <c r="M39" s="250"/>
      <c r="N39" s="2"/>
      <c r="O39" s="384" t="str">
        <f>CONCATENATE(J39,". ",K39,$K$17)</f>
        <v>2.1. Balanço com DRE do último exercício e Balancete;------------------------------------------------------------------------------------------------------------------------------------------------------------------------</v>
      </c>
      <c r="P39" s="384"/>
      <c r="Q39" s="384"/>
      <c r="R39" s="384"/>
      <c r="S39" s="384"/>
      <c r="T39" s="384"/>
      <c r="U39" s="384"/>
      <c r="V39" s="384"/>
      <c r="W39" s="384"/>
      <c r="X39" s="384"/>
      <c r="Y39" s="384"/>
      <c r="Z39" s="384"/>
      <c r="AA39" s="384"/>
      <c r="AB39" s="384"/>
      <c r="AC39" s="384"/>
      <c r="AD39" s="162"/>
      <c r="AE39" s="379"/>
      <c r="AF39" s="7"/>
      <c r="AG39" s="80"/>
      <c r="AJ39" s="160">
        <f>IF($M$6=0,1,0)</f>
        <v>1</v>
      </c>
      <c r="AK39" s="161"/>
      <c r="AL39" s="58">
        <f>IF(AND(AC39&lt;&gt;"",AE39&lt;&gt;""),4,IF(AC39&lt;&gt;"",1,IF(AE39&lt;&gt;"",2,IF($M$6=1,3,0))))</f>
        <v>0</v>
      </c>
      <c r="AM39" s="13"/>
      <c r="AN39" s="188">
        <f>IF(AND(AC39&lt;&gt;"",AE39&lt;&gt;""),1,IF(AL39&lt;&gt;0,0,1))</f>
        <v>1</v>
      </c>
      <c r="AO39" s="75">
        <f ca="1">SUM($AN$21:OFFSET(AO39,-2,-1))</f>
        <v>6</v>
      </c>
      <c r="AP39" s="75" t="str">
        <f t="shared" ref="AP39" ca="1" si="16">IF(AND(OFFSET(AP39,0,-18)="",AO39=0),AQ39,"XX")</f>
        <v>XX</v>
      </c>
      <c r="AQ39" s="75">
        <f>MAX($AE$21:AE37)</f>
        <v>0</v>
      </c>
      <c r="AR39" s="13">
        <f>IF(SUM(AE41:$AE$348)&gt;0,MIN(AE41:$AE$348),10000)</f>
        <v>10000</v>
      </c>
      <c r="AS39" s="14"/>
      <c r="AT39" s="14"/>
      <c r="AU39" s="75">
        <f t="shared" ref="AU39" si="17">IF(AND(AC39&lt;&gt;"",AE39&lt;&gt;""),4,0)</f>
        <v>0</v>
      </c>
      <c r="AV39" s="2" t="e">
        <f ca="1">IF(AND(AL39&lt;&gt;1,AL39&lt;&gt;3,AL39&lt;&gt;4),AP39+1,XX)</f>
        <v>#VALUE!</v>
      </c>
      <c r="AW39" s="2">
        <f>IF(AND(AL39&lt;&gt;1,AL39&lt;&gt;3,AL39&lt;&gt;4),AR39-1,XX)</f>
        <v>9999</v>
      </c>
    </row>
    <row r="40" spans="1:49" ht="3" customHeight="1">
      <c r="A40" s="123"/>
      <c r="B40" s="123"/>
      <c r="C40" s="123"/>
      <c r="D40" s="123"/>
      <c r="E40" s="123"/>
      <c r="F40" s="123"/>
      <c r="G40" s="123"/>
      <c r="J40" s="258"/>
      <c r="L40" s="7"/>
      <c r="M40" s="250"/>
      <c r="N40" s="2"/>
      <c r="O40" s="34"/>
      <c r="P40" s="34"/>
      <c r="Q40" s="34"/>
      <c r="R40" s="34"/>
      <c r="S40" s="34"/>
      <c r="T40" s="34"/>
      <c r="U40" s="34"/>
      <c r="V40" s="34"/>
      <c r="W40" s="34"/>
      <c r="X40" s="34"/>
      <c r="Y40" s="34"/>
      <c r="Z40" s="34"/>
      <c r="AA40" s="34"/>
      <c r="AB40" s="9"/>
      <c r="AC40" s="164"/>
      <c r="AD40" s="162"/>
      <c r="AE40" s="165"/>
      <c r="AF40" s="7"/>
      <c r="AG40" s="2"/>
      <c r="AJ40" s="160"/>
      <c r="AK40" s="161"/>
      <c r="AL40" s="58"/>
      <c r="AM40" s="13"/>
      <c r="AN40" s="160"/>
      <c r="AO40" s="160"/>
      <c r="AP40" s="160"/>
      <c r="AQ40" s="160"/>
      <c r="AR40" s="13"/>
      <c r="AS40" s="161"/>
      <c r="AT40" s="161"/>
      <c r="AU40" s="160"/>
      <c r="AV40" s="161"/>
      <c r="AW40" s="161"/>
    </row>
    <row r="41" spans="1:49" ht="14.25" customHeight="1">
      <c r="A41" s="123"/>
      <c r="B41" s="123"/>
      <c r="C41" s="123"/>
      <c r="D41" s="123"/>
      <c r="E41" s="123"/>
      <c r="F41" s="123"/>
      <c r="G41" s="123"/>
      <c r="H41" s="2">
        <f>IF($M$6=0,1,0)</f>
        <v>1</v>
      </c>
      <c r="J41" s="256" t="str">
        <f>CONCATENATE(SUM($G$17:G41),".",SUM($H$33:H41))</f>
        <v>2.2</v>
      </c>
      <c r="K41" s="2" t="s">
        <v>405</v>
      </c>
      <c r="L41" s="7"/>
      <c r="M41" s="250"/>
      <c r="N41" s="2"/>
      <c r="O41" s="384" t="str">
        <f>CONCATENATE(J41,". ",K41,$K$17)</f>
        <v>2.2. Estatuto/Contrato Social, com respectivas alterações;------------------------------------------------------------------------------------------------------------------------------------------------------------------------</v>
      </c>
      <c r="P41" s="384"/>
      <c r="Q41" s="384"/>
      <c r="R41" s="384"/>
      <c r="S41" s="384"/>
      <c r="T41" s="384"/>
      <c r="U41" s="384"/>
      <c r="V41" s="384"/>
      <c r="W41" s="384"/>
      <c r="X41" s="384"/>
      <c r="Y41" s="384"/>
      <c r="Z41" s="384"/>
      <c r="AA41" s="384"/>
      <c r="AB41" s="384"/>
      <c r="AC41" s="384"/>
      <c r="AD41" s="162"/>
      <c r="AE41" s="379"/>
      <c r="AF41" s="7"/>
      <c r="AG41" s="80"/>
      <c r="AJ41" s="160">
        <f>IF($M$6=0,1,0)</f>
        <v>1</v>
      </c>
      <c r="AK41" s="161"/>
      <c r="AL41" s="58">
        <f>IF(AND(AC41&lt;&gt;"",AE41&lt;&gt;""),4,IF(AC41&lt;&gt;"",1,IF(AE41&lt;&gt;"",2,IF($M$6=1,3,0))))</f>
        <v>0</v>
      </c>
      <c r="AM41" s="13"/>
      <c r="AN41" s="188">
        <f t="shared" ref="AN41" si="18">IF(AND(AC41&lt;&gt;"",AE41&lt;&gt;""),1,IF(AL41&lt;&gt;0,0,1))</f>
        <v>1</v>
      </c>
      <c r="AO41" s="75">
        <f ca="1">SUM($AN$21:OFFSET(AO41,-2,-1))</f>
        <v>7</v>
      </c>
      <c r="AP41" s="75" t="str">
        <f t="shared" ref="AP41" ca="1" si="19">IF(AND(OFFSET(AP41,0,-18)="",AO41=0),AQ41,"XX")</f>
        <v>XX</v>
      </c>
      <c r="AQ41" s="75">
        <f>MAX($AE$21:AE39)</f>
        <v>0</v>
      </c>
      <c r="AR41" s="13">
        <f>IF(SUM(AE43:$AE$348)&gt;0,MIN(AE43:$AE$348),10000)</f>
        <v>10000</v>
      </c>
      <c r="AS41" s="14"/>
      <c r="AT41" s="14"/>
      <c r="AU41" s="75">
        <f t="shared" ref="AU41" si="20">IF(AND(AC41&lt;&gt;"",AE41&lt;&gt;""),4,0)</f>
        <v>0</v>
      </c>
      <c r="AV41" s="2" t="e">
        <f ca="1">IF(AND(AL41&lt;&gt;1,AL41&lt;&gt;3,AL41&lt;&gt;4),AP41+1,XX)</f>
        <v>#VALUE!</v>
      </c>
      <c r="AW41" s="2">
        <f>IF(AND(AL41&lt;&gt;1,AL41&lt;&gt;3,AL41&lt;&gt;4),AR41-1,XX)</f>
        <v>9999</v>
      </c>
    </row>
    <row r="42" spans="1:49" ht="3" customHeight="1">
      <c r="A42" s="123"/>
      <c r="B42" s="123"/>
      <c r="C42" s="123"/>
      <c r="D42" s="123"/>
      <c r="E42" s="123"/>
      <c r="F42" s="123"/>
      <c r="G42" s="123"/>
      <c r="H42" s="6"/>
      <c r="J42" s="258"/>
      <c r="L42" s="7"/>
      <c r="M42" s="250"/>
      <c r="N42" s="2"/>
      <c r="O42" s="34"/>
      <c r="P42" s="34"/>
      <c r="Q42" s="34"/>
      <c r="R42" s="34"/>
      <c r="S42" s="34"/>
      <c r="T42" s="34"/>
      <c r="U42" s="34"/>
      <c r="V42" s="34"/>
      <c r="W42" s="34"/>
      <c r="X42" s="34"/>
      <c r="Y42" s="34"/>
      <c r="Z42" s="34"/>
      <c r="AA42" s="34"/>
      <c r="AB42" s="9"/>
      <c r="AC42" s="164"/>
      <c r="AD42" s="162"/>
      <c r="AE42" s="165"/>
      <c r="AF42" s="7"/>
      <c r="AG42" s="2"/>
      <c r="AJ42" s="160"/>
      <c r="AK42" s="161"/>
      <c r="AL42" s="58"/>
      <c r="AM42" s="13"/>
      <c r="AN42" s="160"/>
      <c r="AO42" s="160"/>
      <c r="AP42" s="160"/>
      <c r="AQ42" s="160"/>
      <c r="AR42" s="13"/>
      <c r="AS42" s="161"/>
      <c r="AT42" s="161"/>
      <c r="AU42" s="160"/>
      <c r="AV42" s="161"/>
      <c r="AW42" s="161"/>
    </row>
    <row r="43" spans="1:49" ht="14.25" customHeight="1">
      <c r="A43" s="123"/>
      <c r="B43" s="123"/>
      <c r="C43" s="123"/>
      <c r="D43" s="123"/>
      <c r="E43" s="123"/>
      <c r="F43" s="123"/>
      <c r="G43" s="123"/>
      <c r="H43" s="2">
        <f>IF($M$6=0,1,0)</f>
        <v>1</v>
      </c>
      <c r="J43" s="256" t="str">
        <f>CONCATENATE(SUM($G$17:G43),".",SUM($H$33:H43))</f>
        <v>2.3</v>
      </c>
      <c r="K43" s="2" t="s">
        <v>406</v>
      </c>
      <c r="L43" s="7"/>
      <c r="M43" s="250"/>
      <c r="N43" s="2"/>
      <c r="O43" s="433" t="str">
        <f>CONCATENATE(J43,". ",K43,$K$17)</f>
        <v>2.3. Ata da Assembléia que elegeu a atual diretoria e conselho de administração - Em caso de S.A.; ------------------------------------------------------------------------------------------------------------------------------------------------------------------------</v>
      </c>
      <c r="P43" s="433"/>
      <c r="Q43" s="433"/>
      <c r="R43" s="433"/>
      <c r="S43" s="433"/>
      <c r="T43" s="433"/>
      <c r="U43" s="433"/>
      <c r="V43" s="433"/>
      <c r="W43" s="433"/>
      <c r="X43" s="433"/>
      <c r="Y43" s="433"/>
      <c r="Z43" s="433"/>
      <c r="AA43" s="433"/>
      <c r="AB43" s="9"/>
      <c r="AC43" s="381"/>
      <c r="AD43" s="162"/>
      <c r="AE43" s="379"/>
      <c r="AF43" s="7"/>
      <c r="AG43" s="80"/>
      <c r="AJ43" s="160">
        <f>IF($M$6=0,1,0)</f>
        <v>1</v>
      </c>
      <c r="AK43" s="160" t="str">
        <f>IF(AND(AE43="",AC43=""),"X","")</f>
        <v>X</v>
      </c>
      <c r="AL43" s="58">
        <f>IF(AND(AC43&lt;&gt;"",AE43&lt;&gt;""),4,IF(AC43&lt;&gt;"",1,IF(AE43&lt;&gt;"",2,IF($M$6=1,3,0))))</f>
        <v>0</v>
      </c>
      <c r="AM43" s="13"/>
      <c r="AN43" s="188">
        <f t="shared" ref="AN43" si="21">IF(AND(AC43&lt;&gt;"",AE43&lt;&gt;""),1,IF(AL43&lt;&gt;0,0,1))</f>
        <v>1</v>
      </c>
      <c r="AO43" s="75">
        <f ca="1">SUM($AN$21:OFFSET(AO43,-2,-1))</f>
        <v>8</v>
      </c>
      <c r="AP43" s="75" t="str">
        <f t="shared" ref="AP43" ca="1" si="22">IF(AND(OFFSET(AP43,0,-18)="",AO43=0),AQ43,"XX")</f>
        <v>XX</v>
      </c>
      <c r="AQ43" s="75">
        <f>MAX($AE$21:AE41)</f>
        <v>0</v>
      </c>
      <c r="AR43" s="13">
        <f>IF(SUM(AE45:$AE$348)&gt;0,MIN(AE45:$AE$348),10000)</f>
        <v>10000</v>
      </c>
      <c r="AS43" s="14"/>
      <c r="AT43" s="14"/>
      <c r="AU43" s="75">
        <f t="shared" ref="AU43" si="23">IF(AND(AC43&lt;&gt;"",AE43&lt;&gt;""),4,0)</f>
        <v>0</v>
      </c>
      <c r="AV43" s="2" t="e">
        <f ca="1">IF(AND(AL43&lt;&gt;1,AL43&lt;&gt;3,AL43&lt;&gt;4),AP43+1,XX)</f>
        <v>#VALUE!</v>
      </c>
      <c r="AW43" s="2">
        <f>IF(AND(AL43&lt;&gt;1,AL43&lt;&gt;3,AL43&lt;&gt;4),AR43-1,XX)</f>
        <v>9999</v>
      </c>
    </row>
    <row r="44" spans="1:49" ht="3" customHeight="1">
      <c r="B44" s="1"/>
      <c r="J44" s="167"/>
      <c r="L44" s="7"/>
      <c r="M44" s="250"/>
      <c r="N44" s="11"/>
      <c r="O44" s="34"/>
      <c r="P44" s="34"/>
      <c r="Q44" s="34"/>
      <c r="R44" s="34"/>
      <c r="S44" s="34"/>
      <c r="T44" s="34"/>
      <c r="U44" s="34"/>
      <c r="V44" s="34"/>
      <c r="W44" s="34"/>
      <c r="X44" s="34"/>
      <c r="Y44" s="34"/>
      <c r="Z44" s="34"/>
      <c r="AA44" s="34"/>
      <c r="AB44" s="9"/>
      <c r="AC44" s="10"/>
      <c r="AD44" s="8"/>
      <c r="AE44" s="11"/>
      <c r="AF44" s="7"/>
      <c r="AG44" s="2"/>
      <c r="AJ44" s="13"/>
      <c r="AK44" s="14"/>
      <c r="AL44" s="13"/>
      <c r="AM44" s="13"/>
      <c r="AN44" s="160"/>
      <c r="AO44" s="160"/>
      <c r="AP44" s="160"/>
      <c r="AQ44" s="160"/>
      <c r="AR44" s="13"/>
      <c r="AS44" s="161"/>
      <c r="AT44" s="161"/>
      <c r="AU44" s="160"/>
      <c r="AV44" s="161"/>
      <c r="AW44" s="161"/>
    </row>
    <row r="45" spans="1:49" ht="14.25" customHeight="1">
      <c r="B45" s="1"/>
      <c r="H45" s="2">
        <v>1</v>
      </c>
      <c r="J45" s="71" t="str">
        <f>CONCATENATE(SUM($G$17:G45),".",SUM($H$33:H45))</f>
        <v>2.4</v>
      </c>
      <c r="K45" s="2" t="s">
        <v>14</v>
      </c>
      <c r="L45" s="7"/>
      <c r="M45" s="250"/>
      <c r="N45" s="11"/>
      <c r="O45" s="433" t="str">
        <f>CONCATENATE(J45,". ",K45,$K$17)</f>
        <v>2.4. Alvará de Funcionamento; (se empresa em atividade)------------------------------------------------------------------------------------------------------------------------------------------------------------------------</v>
      </c>
      <c r="P45" s="433"/>
      <c r="Q45" s="433"/>
      <c r="R45" s="433"/>
      <c r="S45" s="433"/>
      <c r="T45" s="433"/>
      <c r="U45" s="433"/>
      <c r="V45" s="433"/>
      <c r="W45" s="433"/>
      <c r="X45" s="433"/>
      <c r="Y45" s="433"/>
      <c r="Z45" s="433"/>
      <c r="AA45" s="433"/>
      <c r="AB45" s="9"/>
      <c r="AC45" s="380"/>
      <c r="AD45" s="8"/>
      <c r="AE45" s="379"/>
      <c r="AF45" s="7"/>
      <c r="AG45" s="80"/>
      <c r="AJ45" s="13">
        <v>1</v>
      </c>
      <c r="AK45" s="13" t="str">
        <f>IF(AND(AE45="",AC45=""),"X","")</f>
        <v>X</v>
      </c>
      <c r="AL45" s="13">
        <f>IF(AND(AC45&lt;&gt;"",AE45&lt;&gt;""),4,IF(AC45&lt;&gt;"",1,IF(AE45&lt;&gt;"",2,0)))</f>
        <v>0</v>
      </c>
      <c r="AM45" s="13"/>
      <c r="AN45" s="188">
        <f t="shared" ref="AN45" si="24">IF(AND(AC45&lt;&gt;"",AE45&lt;&gt;""),1,IF(AL45&lt;&gt;0,0,1))</f>
        <v>1</v>
      </c>
      <c r="AO45" s="75">
        <f ca="1">SUM($AN$21:OFFSET(AO45,-2,-1))</f>
        <v>9</v>
      </c>
      <c r="AP45" s="75" t="str">
        <f t="shared" ref="AP45" ca="1" si="25">IF(AND(OFFSET(AP45,0,-18)="",AO45=0),AQ45,"XX")</f>
        <v>XX</v>
      </c>
      <c r="AQ45" s="75">
        <f>MAX($AE$21:AE43)</f>
        <v>0</v>
      </c>
      <c r="AR45" s="13">
        <f>IF(SUM(AE47:$AE$348)&gt;0,MIN(AE47:$AE$348),10000)</f>
        <v>10000</v>
      </c>
      <c r="AS45" s="14"/>
      <c r="AT45" s="14"/>
      <c r="AU45" s="75">
        <f t="shared" ref="AU45" si="26">IF(AND(AC45&lt;&gt;"",AE45&lt;&gt;""),4,0)</f>
        <v>0</v>
      </c>
      <c r="AV45" s="2" t="e">
        <f ca="1">IF(AND(AL45&lt;&gt;1,AL45&lt;&gt;3,AL45&lt;&gt;4),AP45+1,XX)</f>
        <v>#VALUE!</v>
      </c>
      <c r="AW45" s="2">
        <f>IF(AND(AL45&lt;&gt;1,AL45&lt;&gt;3,AL45&lt;&gt;4),AR45-1,XX)</f>
        <v>9999</v>
      </c>
    </row>
    <row r="46" spans="1:49" ht="3" customHeight="1">
      <c r="B46" s="1"/>
      <c r="H46" s="6"/>
      <c r="J46" s="167"/>
      <c r="L46" s="7"/>
      <c r="M46" s="250"/>
      <c r="N46" s="11"/>
      <c r="O46" s="34"/>
      <c r="P46" s="34"/>
      <c r="Q46" s="34"/>
      <c r="R46" s="34"/>
      <c r="S46" s="34"/>
      <c r="T46" s="34"/>
      <c r="U46" s="34"/>
      <c r="V46" s="34"/>
      <c r="W46" s="34"/>
      <c r="X46" s="34"/>
      <c r="Y46" s="34"/>
      <c r="Z46" s="34"/>
      <c r="AA46" s="34"/>
      <c r="AB46" s="9"/>
      <c r="AC46" s="10"/>
      <c r="AD46" s="8"/>
      <c r="AE46" s="11"/>
      <c r="AF46" s="7"/>
      <c r="AG46" s="1"/>
      <c r="AJ46" s="13"/>
      <c r="AK46" s="14"/>
      <c r="AL46" s="13"/>
      <c r="AM46" s="13"/>
      <c r="AN46" s="160"/>
      <c r="AO46" s="160"/>
      <c r="AP46" s="160"/>
      <c r="AQ46" s="160"/>
      <c r="AR46" s="13"/>
      <c r="AS46" s="161"/>
      <c r="AT46" s="161"/>
      <c r="AU46" s="160"/>
      <c r="AV46" s="161"/>
      <c r="AW46" s="161"/>
    </row>
    <row r="47" spans="1:49" ht="14.25" customHeight="1">
      <c r="B47" s="1"/>
      <c r="H47" s="2">
        <v>1</v>
      </c>
      <c r="J47" s="71" t="str">
        <f>CONCATENATE(SUM($G$17:G47),".",SUM($H$33:H47))</f>
        <v>2.5</v>
      </c>
      <c r="K47" s="2" t="s">
        <v>13</v>
      </c>
      <c r="L47" s="7"/>
      <c r="M47" s="250"/>
      <c r="N47" s="11"/>
      <c r="O47" s="433" t="str">
        <f>CONCATENATE(J47,". ",K47,$K$17)</f>
        <v>2.5. Comprovação da capacidade de aporte de recursos próprios; ------------------------------------------------------------------------------------------------------------------------------------------------------------------------</v>
      </c>
      <c r="P47" s="433"/>
      <c r="Q47" s="433"/>
      <c r="R47" s="433"/>
      <c r="S47" s="433"/>
      <c r="T47" s="433"/>
      <c r="U47" s="433"/>
      <c r="V47" s="433"/>
      <c r="W47" s="433"/>
      <c r="X47" s="433"/>
      <c r="Y47" s="433"/>
      <c r="Z47" s="433"/>
      <c r="AA47" s="433"/>
      <c r="AB47" s="9"/>
      <c r="AC47" s="380"/>
      <c r="AD47" s="8"/>
      <c r="AE47" s="379"/>
      <c r="AF47" s="7"/>
      <c r="AG47" s="80"/>
      <c r="AJ47" s="13">
        <v>1</v>
      </c>
      <c r="AK47" s="13" t="str">
        <f>IF(AND(AE47="",AC47=""),"X","")</f>
        <v>X</v>
      </c>
      <c r="AL47" s="13">
        <f>IF(AND(AC47&lt;&gt;"",AE47&lt;&gt;""),4,IF(AC47&lt;&gt;"",1,IF(AE47&lt;&gt;"",2,0)))</f>
        <v>0</v>
      </c>
      <c r="AM47" s="13"/>
      <c r="AN47" s="188">
        <f t="shared" ref="AN47" si="27">IF(AND(AC47&lt;&gt;"",AE47&lt;&gt;""),1,IF(AL47&lt;&gt;0,0,1))</f>
        <v>1</v>
      </c>
      <c r="AO47" s="75">
        <f ca="1">SUM($AN$21:OFFSET(AO47,-2,-1))</f>
        <v>10</v>
      </c>
      <c r="AP47" s="75" t="str">
        <f t="shared" ref="AP47" ca="1" si="28">IF(AND(OFFSET(AP47,0,-18)="",AO47=0),AQ47,"XX")</f>
        <v>XX</v>
      </c>
      <c r="AQ47" s="75">
        <f>MAX($AE$21:AE45)</f>
        <v>0</v>
      </c>
      <c r="AR47" s="13">
        <f>IF(SUM(AE49:$AE$348)&gt;0,MIN(AE49:$AE$348),10000)</f>
        <v>10000</v>
      </c>
      <c r="AS47" s="14"/>
      <c r="AT47" s="14"/>
      <c r="AU47" s="75">
        <f t="shared" ref="AU47" si="29">IF(AND(AC47&lt;&gt;"",AE47&lt;&gt;""),4,0)</f>
        <v>0</v>
      </c>
      <c r="AV47" s="2" t="e">
        <f ca="1">IF(AND(AL47&lt;&gt;1,AL47&lt;&gt;3,AL47&lt;&gt;4),AP47+1,XX)</f>
        <v>#VALUE!</v>
      </c>
      <c r="AW47" s="2">
        <f>IF(AND(AL47&lt;&gt;1,AL47&lt;&gt;3,AL47&lt;&gt;4),AR47-1,XX)</f>
        <v>9999</v>
      </c>
    </row>
    <row r="48" spans="1:49" ht="3" customHeight="1">
      <c r="B48" s="1"/>
      <c r="J48" s="167"/>
      <c r="L48" s="7"/>
      <c r="M48" s="250"/>
      <c r="N48" s="11"/>
      <c r="O48" s="129"/>
      <c r="P48" s="129"/>
      <c r="Q48" s="129"/>
      <c r="R48" s="129"/>
      <c r="S48" s="129"/>
      <c r="T48" s="129"/>
      <c r="U48" s="129"/>
      <c r="V48" s="129"/>
      <c r="W48" s="129"/>
      <c r="X48" s="129"/>
      <c r="Y48" s="129"/>
      <c r="Z48" s="129"/>
      <c r="AA48" s="129"/>
      <c r="AB48" s="29"/>
      <c r="AC48" s="29"/>
      <c r="AD48" s="29"/>
      <c r="AE48" s="29"/>
      <c r="AF48" s="7"/>
      <c r="AG48" s="1"/>
      <c r="AJ48" s="13"/>
      <c r="AK48" s="14"/>
      <c r="AL48" s="13"/>
      <c r="AM48" s="13"/>
      <c r="AN48" s="160"/>
      <c r="AO48" s="160"/>
      <c r="AP48" s="160"/>
      <c r="AQ48" s="160"/>
      <c r="AR48" s="13"/>
      <c r="AS48" s="161"/>
      <c r="AT48" s="161"/>
      <c r="AU48" s="160"/>
      <c r="AV48" s="161"/>
      <c r="AW48" s="161"/>
    </row>
    <row r="49" spans="1:49" ht="14.25" customHeight="1">
      <c r="B49" s="1"/>
      <c r="H49" s="2">
        <v>1</v>
      </c>
      <c r="J49" s="71" t="str">
        <f>CONCATENATE(SUM($G$17:G49),".",SUM($H$33:H49))</f>
        <v>2.6</v>
      </c>
      <c r="K49" s="2" t="s">
        <v>259</v>
      </c>
      <c r="L49" s="7"/>
      <c r="M49" s="250"/>
      <c r="N49" s="11"/>
      <c r="O49" s="433" t="str">
        <f>CONCATENATE(J49,". ",K49,$K$17)</f>
        <v>2.6. Formulário de Informações Socioambiental - FISA ou Questionário Socioambiental - QSA;------------------------------------------------------------------------------------------------------------------------------------------------------------------------</v>
      </c>
      <c r="P49" s="433"/>
      <c r="Q49" s="433"/>
      <c r="R49" s="433"/>
      <c r="S49" s="433"/>
      <c r="T49" s="433"/>
      <c r="U49" s="433"/>
      <c r="V49" s="433"/>
      <c r="W49" s="433"/>
      <c r="X49" s="433"/>
      <c r="Y49" s="433"/>
      <c r="Z49" s="433"/>
      <c r="AA49" s="433"/>
      <c r="AB49" s="433"/>
      <c r="AC49" s="433"/>
      <c r="AD49" s="8"/>
      <c r="AE49" s="379"/>
      <c r="AF49" s="7"/>
      <c r="AG49" s="80"/>
      <c r="AJ49" s="13">
        <v>1</v>
      </c>
      <c r="AK49" s="14"/>
      <c r="AL49" s="13">
        <f>IF(AND(AC49&lt;&gt;"",AE49&lt;&gt;""),4,IF(AC49&lt;&gt;"",1,IF(AE49&lt;&gt;"",2,0)))</f>
        <v>0</v>
      </c>
      <c r="AM49" s="13"/>
      <c r="AN49" s="188">
        <f t="shared" ref="AN49" si="30">IF(AND(AC49&lt;&gt;"",AE49&lt;&gt;""),1,IF(AL49&lt;&gt;0,0,1))</f>
        <v>1</v>
      </c>
      <c r="AO49" s="75">
        <f ca="1">SUM($AN$21:OFFSET(AO49,-2,-1))</f>
        <v>11</v>
      </c>
      <c r="AP49" s="75" t="str">
        <f t="shared" ref="AP49" ca="1" si="31">IF(AND(OFFSET(AP49,0,-18)="",AO49=0),AQ49,"XX")</f>
        <v>XX</v>
      </c>
      <c r="AQ49" s="75">
        <f>MAX($AE$21:AE47)</f>
        <v>0</v>
      </c>
      <c r="AR49" s="13">
        <f>IF(SUM(AE51:$AE$348)&gt;0,MIN(AE51:$AE$348),10000)</f>
        <v>10000</v>
      </c>
      <c r="AS49" s="14"/>
      <c r="AT49" s="14"/>
      <c r="AU49" s="75">
        <f t="shared" ref="AU49" si="32">IF(AND(AC49&lt;&gt;"",AE49&lt;&gt;""),4,0)</f>
        <v>0</v>
      </c>
      <c r="AV49" s="2" t="e">
        <f ca="1">IF(AND(AL49&lt;&gt;1,AL49&lt;&gt;3,AL49&lt;&gt;4),AP49+1,XX)</f>
        <v>#VALUE!</v>
      </c>
      <c r="AW49" s="2">
        <f>IF(AND(AL49&lt;&gt;1,AL49&lt;&gt;3,AL49&lt;&gt;4),AR49-1,XX)</f>
        <v>9999</v>
      </c>
    </row>
    <row r="50" spans="1:49" ht="3" customHeight="1">
      <c r="B50" s="1"/>
      <c r="H50" s="6"/>
      <c r="J50" s="167"/>
      <c r="L50" s="7"/>
      <c r="M50" s="250"/>
      <c r="N50" s="11"/>
      <c r="O50" s="129"/>
      <c r="P50" s="129"/>
      <c r="Q50" s="129"/>
      <c r="R50" s="129"/>
      <c r="S50" s="129"/>
      <c r="T50" s="129"/>
      <c r="U50" s="129"/>
      <c r="V50" s="129"/>
      <c r="W50" s="129"/>
      <c r="X50" s="129"/>
      <c r="Y50" s="129"/>
      <c r="Z50" s="129"/>
      <c r="AA50" s="129"/>
      <c r="AB50" s="29"/>
      <c r="AC50" s="29"/>
      <c r="AD50" s="29"/>
      <c r="AE50" s="29"/>
      <c r="AF50" s="7"/>
      <c r="AG50" s="1"/>
      <c r="AJ50" s="13"/>
      <c r="AK50" s="14"/>
      <c r="AL50" s="13"/>
      <c r="AM50" s="13"/>
      <c r="AN50" s="160"/>
      <c r="AO50" s="160"/>
      <c r="AP50" s="160"/>
      <c r="AQ50" s="160"/>
      <c r="AR50" s="13"/>
      <c r="AS50" s="161"/>
      <c r="AT50" s="161"/>
      <c r="AU50" s="160"/>
      <c r="AV50" s="161"/>
      <c r="AW50" s="161"/>
    </row>
    <row r="51" spans="1:49" ht="14.25" customHeight="1">
      <c r="B51" s="1"/>
      <c r="H51" s="2">
        <v>1</v>
      </c>
      <c r="J51" s="71" t="str">
        <f>CONCATENATE(SUM($G$17:G51),".",SUM($H$33:H51))</f>
        <v>2.7</v>
      </c>
      <c r="K51" s="2" t="s">
        <v>195</v>
      </c>
      <c r="L51" s="7"/>
      <c r="M51" s="250"/>
      <c r="N51" s="11"/>
      <c r="O51" s="433" t="str">
        <f>CONCATENATE(J51,". ",K51,$K$17)</f>
        <v>2.7. Certidão Negativa de Embargo de área para uso econômico - IBAMA; (se Imóvel Rural)------------------------------------------------------------------------------------------------------------------------------------------------------------------------</v>
      </c>
      <c r="P51" s="433"/>
      <c r="Q51" s="433"/>
      <c r="R51" s="433"/>
      <c r="S51" s="433"/>
      <c r="T51" s="433"/>
      <c r="U51" s="433"/>
      <c r="V51" s="433"/>
      <c r="W51" s="433"/>
      <c r="X51" s="433"/>
      <c r="Y51" s="433"/>
      <c r="Z51" s="433"/>
      <c r="AA51" s="433"/>
      <c r="AC51" s="380"/>
      <c r="AD51" s="8"/>
      <c r="AE51" s="379"/>
      <c r="AF51" s="7"/>
      <c r="AG51" s="80"/>
      <c r="AJ51" s="13">
        <v>1</v>
      </c>
      <c r="AK51" s="13" t="str">
        <f>IF(AND(AE51="",AC51=""),"X","")</f>
        <v>X</v>
      </c>
      <c r="AL51" s="13">
        <f>IF(AND(AC51&lt;&gt;"",AE51&lt;&gt;""),4,IF(AC51&lt;&gt;"",1,IF(AE51&lt;&gt;"",2,0)))</f>
        <v>0</v>
      </c>
      <c r="AM51" s="13"/>
      <c r="AN51" s="188">
        <f t="shared" ref="AN51" si="33">IF(AND(AC51&lt;&gt;"",AE51&lt;&gt;""),1,IF(AL51&lt;&gt;0,0,1))</f>
        <v>1</v>
      </c>
      <c r="AO51" s="75">
        <f ca="1">SUM($AN$21:OFFSET(AO51,-2,-1))</f>
        <v>12</v>
      </c>
      <c r="AP51" s="75" t="str">
        <f t="shared" ref="AP51" ca="1" si="34">IF(AND(OFFSET(AP51,0,-18)="",AO51=0),AQ51,"XX")</f>
        <v>XX</v>
      </c>
      <c r="AQ51" s="75">
        <f>MAX($AE$21:AE49)</f>
        <v>0</v>
      </c>
      <c r="AR51" s="13">
        <f>IF(SUM(AE53:$AE$348)&gt;0,MIN(AE53:$AE$348),10000)</f>
        <v>10000</v>
      </c>
      <c r="AS51" s="14"/>
      <c r="AT51" s="14"/>
      <c r="AU51" s="75">
        <f t="shared" ref="AU51" si="35">IF(AND(AC51&lt;&gt;"",AE51&lt;&gt;""),4,0)</f>
        <v>0</v>
      </c>
      <c r="AV51" s="2" t="e">
        <f ca="1">IF(AND(AL51&lt;&gt;1,AL51&lt;&gt;3,AL51&lt;&gt;4),AP51+1,XX)</f>
        <v>#VALUE!</v>
      </c>
      <c r="AW51" s="2">
        <f>IF(AND(AL51&lt;&gt;1,AL51&lt;&gt;3,AL51&lt;&gt;4),AR51-1,XX)</f>
        <v>9999</v>
      </c>
    </row>
    <row r="52" spans="1:49" ht="3" customHeight="1">
      <c r="B52" s="1"/>
      <c r="J52" s="167"/>
      <c r="L52" s="7"/>
      <c r="M52" s="250"/>
      <c r="N52" s="11"/>
      <c r="O52" s="34"/>
      <c r="P52" s="34"/>
      <c r="Q52" s="39"/>
      <c r="R52" s="39"/>
      <c r="S52" s="39"/>
      <c r="T52" s="39"/>
      <c r="U52" s="39"/>
      <c r="V52" s="39"/>
      <c r="W52" s="39"/>
      <c r="X52" s="39"/>
      <c r="Y52" s="39"/>
      <c r="Z52" s="39"/>
      <c r="AA52" s="39"/>
      <c r="AB52" s="12"/>
      <c r="AC52" s="10"/>
      <c r="AD52" s="8"/>
      <c r="AE52" s="11"/>
      <c r="AF52" s="7"/>
      <c r="AG52" s="25"/>
      <c r="AJ52" s="13"/>
      <c r="AK52" s="14"/>
      <c r="AL52" s="13"/>
      <c r="AM52" s="13"/>
      <c r="AN52" s="160"/>
      <c r="AO52" s="160"/>
      <c r="AP52" s="160"/>
      <c r="AQ52" s="160"/>
      <c r="AR52" s="13"/>
      <c r="AS52" s="161"/>
      <c r="AT52" s="161"/>
      <c r="AU52" s="160"/>
      <c r="AV52" s="161"/>
      <c r="AW52" s="161"/>
    </row>
    <row r="53" spans="1:49" ht="14.25" customHeight="1">
      <c r="B53" s="1"/>
      <c r="H53" s="2">
        <v>1</v>
      </c>
      <c r="J53" s="71" t="str">
        <f>CONCATENATE(SUM($G$17:G53),".",SUM($H$33:H53))</f>
        <v>2.8</v>
      </c>
      <c r="K53" s="2" t="s">
        <v>21</v>
      </c>
      <c r="L53" s="7"/>
      <c r="M53" s="250"/>
      <c r="N53" s="11"/>
      <c r="O53" s="433" t="str">
        <f>CONCATENATE(J53,". ",K53,$K$17)</f>
        <v>2.8. Licença Prévia (LP) ou Licença de Instalação (LI) ou Licença de Operação (LO) ou dispensa de licenciamento;------------------------------------------------------------------------------------------------------------------------------------------------------------------------</v>
      </c>
      <c r="P53" s="433"/>
      <c r="Q53" s="433"/>
      <c r="R53" s="433"/>
      <c r="S53" s="433"/>
      <c r="T53" s="433"/>
      <c r="U53" s="433"/>
      <c r="V53" s="433"/>
      <c r="W53" s="433"/>
      <c r="X53" s="433"/>
      <c r="Y53" s="433"/>
      <c r="Z53" s="433"/>
      <c r="AA53" s="433"/>
      <c r="AB53" s="433"/>
      <c r="AC53" s="433"/>
      <c r="AD53" s="8"/>
      <c r="AE53" s="379"/>
      <c r="AF53" s="7"/>
      <c r="AG53" s="80"/>
      <c r="AJ53" s="13">
        <v>1</v>
      </c>
      <c r="AK53" s="13"/>
      <c r="AL53" s="13">
        <f>IF(AND(AC53&lt;&gt;"",AE53&lt;&gt;""),4,IF(AC53&lt;&gt;"",1,IF(AE53&lt;&gt;"",2,0)))</f>
        <v>0</v>
      </c>
      <c r="AM53" s="13"/>
      <c r="AN53" s="188">
        <f t="shared" ref="AN53" si="36">IF(AND(AC53&lt;&gt;"",AE53&lt;&gt;""),1,IF(AL53&lt;&gt;0,0,1))</f>
        <v>1</v>
      </c>
      <c r="AO53" s="75">
        <f ca="1">SUM($AN$21:OFFSET(AO53,-2,-1))</f>
        <v>13</v>
      </c>
      <c r="AP53" s="75" t="str">
        <f t="shared" ref="AP53" ca="1" si="37">IF(AND(OFFSET(AP53,0,-18)="",AO53=0),AQ53,"XX")</f>
        <v>XX</v>
      </c>
      <c r="AQ53" s="75">
        <f>MAX($AE$21:AE51)</f>
        <v>0</v>
      </c>
      <c r="AR53" s="13">
        <f>IF(SUM(AE55:$AE$348)&gt;0,MIN(AE55:$AE$348),10000)</f>
        <v>10000</v>
      </c>
      <c r="AS53" s="14"/>
      <c r="AT53" s="14"/>
      <c r="AU53" s="75">
        <f t="shared" ref="AU53" si="38">IF(AND(AC53&lt;&gt;"",AE53&lt;&gt;""),4,0)</f>
        <v>0</v>
      </c>
      <c r="AV53" s="2" t="e">
        <f ca="1">IF(AND(AL53&lt;&gt;1,AL53&lt;&gt;3,AL53&lt;&gt;4),AP53+1,XX)</f>
        <v>#VALUE!</v>
      </c>
      <c r="AW53" s="2">
        <f>IF(AND(AL53&lt;&gt;1,AL53&lt;&gt;3,AL53&lt;&gt;4),AR53-1,XX)</f>
        <v>9999</v>
      </c>
    </row>
    <row r="54" spans="1:49" ht="3" customHeight="1">
      <c r="B54" s="1"/>
      <c r="J54" s="167"/>
      <c r="L54" s="7"/>
      <c r="M54" s="250"/>
      <c r="N54" s="11"/>
      <c r="O54" s="36"/>
      <c r="P54" s="36"/>
      <c r="Q54" s="37"/>
      <c r="R54" s="37"/>
      <c r="S54" s="37"/>
      <c r="T54" s="37"/>
      <c r="U54" s="37"/>
      <c r="V54" s="37"/>
      <c r="W54" s="37"/>
      <c r="X54" s="37"/>
      <c r="Y54" s="37"/>
      <c r="Z54" s="37"/>
      <c r="AA54" s="37"/>
      <c r="AB54" s="12"/>
      <c r="AC54" s="10"/>
      <c r="AD54" s="8"/>
      <c r="AE54" s="11"/>
      <c r="AF54" s="7"/>
      <c r="AG54" s="1"/>
      <c r="AJ54" s="13"/>
      <c r="AK54" s="13"/>
      <c r="AL54" s="13"/>
      <c r="AM54" s="13"/>
      <c r="AN54" s="160"/>
      <c r="AO54" s="160"/>
      <c r="AP54" s="160"/>
      <c r="AQ54" s="160"/>
      <c r="AR54" s="13"/>
      <c r="AS54" s="161"/>
      <c r="AT54" s="161"/>
      <c r="AU54" s="160"/>
      <c r="AV54" s="161"/>
      <c r="AW54" s="161"/>
    </row>
    <row r="55" spans="1:49" ht="14.25" customHeight="1">
      <c r="B55" s="1"/>
      <c r="H55" s="2">
        <v>1</v>
      </c>
      <c r="J55" s="71" t="str">
        <f>CONCATENATE(SUM($G$17:G55),".",SUM($H$33:H55))</f>
        <v>2.9</v>
      </c>
      <c r="K55" s="2" t="s">
        <v>196</v>
      </c>
      <c r="L55" s="7"/>
      <c r="M55" s="250"/>
      <c r="N55" s="11"/>
      <c r="O55" s="433" t="str">
        <f>CONCATENATE(J55,". ",K55,$K$17)</f>
        <v>2.9. Comprovante de pagamento da Taxa de Controle e Fiscalização Ambiental-TCFA - IBAMA;------------------------------------------------------------------------------------------------------------------------------------------------------------------------</v>
      </c>
      <c r="P55" s="433"/>
      <c r="Q55" s="433"/>
      <c r="R55" s="433"/>
      <c r="S55" s="433"/>
      <c r="T55" s="433"/>
      <c r="U55" s="433"/>
      <c r="V55" s="433"/>
      <c r="W55" s="433"/>
      <c r="X55" s="433"/>
      <c r="Y55" s="433"/>
      <c r="Z55" s="433"/>
      <c r="AA55" s="433"/>
      <c r="AB55" s="12"/>
      <c r="AC55" s="380"/>
      <c r="AD55" s="8"/>
      <c r="AE55" s="379"/>
      <c r="AF55" s="7"/>
      <c r="AG55" s="80"/>
      <c r="AJ55" s="13">
        <v>1</v>
      </c>
      <c r="AK55" s="13" t="str">
        <f>IF(AND(AE55="",AC55=""),"X","")</f>
        <v>X</v>
      </c>
      <c r="AL55" s="13">
        <f>IF(AND(AC55&lt;&gt;"",AE55&lt;&gt;""),4,IF(AC55&lt;&gt;"",1,IF(AE55&lt;&gt;"",2,0)))</f>
        <v>0</v>
      </c>
      <c r="AM55" s="13"/>
      <c r="AN55" s="188">
        <f t="shared" ref="AN55" si="39">IF(AND(AC55&lt;&gt;"",AE55&lt;&gt;""),1,IF(AL55&lt;&gt;0,0,1))</f>
        <v>1</v>
      </c>
      <c r="AO55" s="75">
        <f ca="1">SUM($AN$21:OFFSET(AO55,-2,-1))</f>
        <v>14</v>
      </c>
      <c r="AP55" s="75" t="str">
        <f t="shared" ref="AP55" ca="1" si="40">IF(AND(OFFSET(AP55,0,-18)="",AO55=0),AQ55,"XX")</f>
        <v>XX</v>
      </c>
      <c r="AQ55" s="75">
        <f>MAX($AE$21:AE53)</f>
        <v>0</v>
      </c>
      <c r="AR55" s="13">
        <f>IF(SUM(AE57:$AE$348)&gt;0,MIN(AE57:$AE$348),10000)</f>
        <v>10000</v>
      </c>
      <c r="AS55" s="14"/>
      <c r="AT55" s="14"/>
      <c r="AU55" s="75">
        <f t="shared" ref="AU55" si="41">IF(AND(AC55&lt;&gt;"",AE55&lt;&gt;""),4,0)</f>
        <v>0</v>
      </c>
      <c r="AV55" s="2" t="e">
        <f ca="1">IF(AND(AL55&lt;&gt;1,AL55&lt;&gt;3,AL55&lt;&gt;4),AP55+1,XX)</f>
        <v>#VALUE!</v>
      </c>
      <c r="AW55" s="2">
        <f>IF(AND(AL55&lt;&gt;1,AL55&lt;&gt;3,AL55&lt;&gt;4),AR55-1,XX)</f>
        <v>9999</v>
      </c>
    </row>
    <row r="56" spans="1:49" ht="3" customHeight="1">
      <c r="B56" s="1"/>
      <c r="H56" s="6"/>
      <c r="J56" s="167"/>
      <c r="L56" s="7"/>
      <c r="M56" s="250"/>
      <c r="N56" s="11"/>
      <c r="O56" s="38"/>
      <c r="P56" s="38"/>
      <c r="Q56" s="38"/>
      <c r="R56" s="38"/>
      <c r="S56" s="38"/>
      <c r="T56" s="38"/>
      <c r="U56" s="38"/>
      <c r="V56" s="38"/>
      <c r="W56" s="38"/>
      <c r="X56" s="38"/>
      <c r="Y56" s="38"/>
      <c r="Z56" s="38"/>
      <c r="AA56" s="38"/>
      <c r="AB56" s="9"/>
      <c r="AC56" s="10"/>
      <c r="AD56" s="8"/>
      <c r="AE56" s="11"/>
      <c r="AF56" s="7"/>
      <c r="AG56" s="2"/>
      <c r="AJ56" s="13"/>
      <c r="AK56" s="13"/>
      <c r="AL56" s="13"/>
      <c r="AM56" s="13"/>
      <c r="AN56" s="160"/>
      <c r="AO56" s="160"/>
      <c r="AP56" s="160"/>
      <c r="AQ56" s="160"/>
      <c r="AR56" s="13"/>
      <c r="AS56" s="161"/>
      <c r="AT56" s="161"/>
      <c r="AU56" s="160"/>
      <c r="AV56" s="161"/>
      <c r="AW56" s="161"/>
    </row>
    <row r="57" spans="1:49" ht="14.25" customHeight="1">
      <c r="B57" s="1"/>
      <c r="H57" s="2">
        <v>1</v>
      </c>
      <c r="J57" s="71" t="str">
        <f>CONCATENATE(SUM($G$17:G57),".",SUM($H$33:H57))</f>
        <v>2.10</v>
      </c>
      <c r="K57" s="2" t="s">
        <v>32</v>
      </c>
      <c r="L57" s="7"/>
      <c r="M57" s="250"/>
      <c r="N57" s="11"/>
      <c r="O57" s="433" t="str">
        <f>CONCATENATE(J57,". ",K57,$K$17)</f>
        <v>2.10. Certidão Negativa de Débitos Trabalhistas - TST;------------------------------------------------------------------------------------------------------------------------------------------------------------------------</v>
      </c>
      <c r="P57" s="433"/>
      <c r="Q57" s="433"/>
      <c r="R57" s="433"/>
      <c r="S57" s="433"/>
      <c r="T57" s="433"/>
      <c r="U57" s="433"/>
      <c r="V57" s="433"/>
      <c r="W57" s="433"/>
      <c r="X57" s="433"/>
      <c r="Y57" s="433"/>
      <c r="Z57" s="433"/>
      <c r="AA57" s="433"/>
      <c r="AC57" s="380"/>
      <c r="AD57" s="8"/>
      <c r="AE57" s="379"/>
      <c r="AF57" s="7"/>
      <c r="AG57" s="80"/>
      <c r="AJ57" s="13">
        <v>1</v>
      </c>
      <c r="AK57" s="1" t="str">
        <f>IF(AND(AC59="",AE57="",AC57=""),"X","")</f>
        <v>X</v>
      </c>
      <c r="AL57" s="1">
        <f>IF(AND(AC57&lt;&gt;"",AE57&lt;&gt;""),4,IF(AC57&lt;&gt;"",1,IF(OR(AC59&lt;&gt;"",AE57&lt;&gt;""),2,0)))</f>
        <v>0</v>
      </c>
      <c r="AM57" s="13"/>
      <c r="AN57" s="188">
        <f t="shared" ref="AN57" si="42">IF(AND(AC57&lt;&gt;"",AE57&lt;&gt;""),1,IF(AL57&lt;&gt;0,0,1))</f>
        <v>1</v>
      </c>
      <c r="AO57" s="75">
        <f ca="1">SUM($AN$21:OFFSET(AO57,-2,-1))</f>
        <v>15</v>
      </c>
      <c r="AP57" s="75" t="str">
        <f t="shared" ref="AP57" ca="1" si="43">IF(AND(OFFSET(AP57,0,-18)="",AO57=0),AQ57,"XX")</f>
        <v>XX</v>
      </c>
      <c r="AQ57" s="75">
        <f>MAX($AE$21:AE55)</f>
        <v>0</v>
      </c>
      <c r="AR57" s="13">
        <f>IF(SUM(AE59:$AE$348)&gt;0,MIN(AE59:$AE$348),10000)</f>
        <v>10000</v>
      </c>
      <c r="AS57" s="14"/>
      <c r="AT57" s="14"/>
      <c r="AU57" s="75">
        <f t="shared" ref="AU57" si="44">IF(AND(AC57&lt;&gt;"",AE57&lt;&gt;""),4,0)</f>
        <v>0</v>
      </c>
      <c r="AV57" s="2" t="e">
        <f ca="1">IF(AND(AL57&lt;&gt;1,AL57&lt;&gt;3,AL57&lt;&gt;4),AP57+1,XX)</f>
        <v>#VALUE!</v>
      </c>
      <c r="AW57" s="2">
        <f>IF(AND(AL57&lt;&gt;1,AL57&lt;&gt;3,AL57&lt;&gt;4),AR57-1,XX)</f>
        <v>9999</v>
      </c>
    </row>
    <row r="58" spans="1:49" ht="3" customHeight="1">
      <c r="B58" s="1"/>
      <c r="J58" s="167"/>
      <c r="L58" s="7"/>
      <c r="M58" s="250"/>
      <c r="N58" s="11"/>
      <c r="O58" s="130"/>
      <c r="P58" s="130"/>
      <c r="Q58" s="130"/>
      <c r="R58" s="130"/>
      <c r="S58" s="130"/>
      <c r="T58" s="130"/>
      <c r="U58" s="130"/>
      <c r="V58" s="130"/>
      <c r="W58" s="130"/>
      <c r="X58" s="130"/>
      <c r="Y58" s="130"/>
      <c r="Z58" s="130"/>
      <c r="AA58" s="130"/>
      <c r="AB58" s="30"/>
      <c r="AC58" s="30"/>
      <c r="AD58" s="30"/>
      <c r="AE58" s="30"/>
      <c r="AF58" s="7"/>
      <c r="AG58" s="2"/>
      <c r="AJ58" s="13"/>
      <c r="AK58" s="13"/>
      <c r="AL58" s="13"/>
      <c r="AM58" s="13"/>
      <c r="AN58" s="160"/>
      <c r="AO58" s="160"/>
      <c r="AP58" s="160"/>
      <c r="AQ58" s="160"/>
      <c r="AR58" s="13"/>
      <c r="AS58" s="161"/>
      <c r="AT58" s="161"/>
      <c r="AU58" s="160"/>
      <c r="AV58" s="161"/>
      <c r="AW58" s="161"/>
    </row>
    <row r="59" spans="1:49" ht="14.25" customHeight="1">
      <c r="B59" s="1"/>
      <c r="H59" s="2">
        <v>1</v>
      </c>
      <c r="J59" s="71" t="str">
        <f>CONCATENATE(SUM($G$17:G59),".",SUM($H$33:H59))</f>
        <v>2.11</v>
      </c>
      <c r="K59" s="2" t="s">
        <v>192</v>
      </c>
      <c r="L59" s="7"/>
      <c r="M59" s="250"/>
      <c r="N59" s="11"/>
      <c r="O59" s="433" t="str">
        <f>CONCATENATE(J59,". ",K59,$K$17)</f>
        <v>2.11. Justificativa das Ações Trabalhistas em julgamento e indicação da fase e valores atualizados;------------------------------------------------------------------------------------------------------------------------------------------------------------------------</v>
      </c>
      <c r="P59" s="433"/>
      <c r="Q59" s="433"/>
      <c r="R59" s="433"/>
      <c r="S59" s="433"/>
      <c r="T59" s="433"/>
      <c r="U59" s="433"/>
      <c r="V59" s="433"/>
      <c r="W59" s="433"/>
      <c r="X59" s="433"/>
      <c r="Y59" s="433"/>
      <c r="Z59" s="433"/>
      <c r="AA59" s="433"/>
      <c r="AB59" s="12"/>
      <c r="AC59" s="380"/>
      <c r="AD59" s="8"/>
      <c r="AE59" s="379"/>
      <c r="AF59" s="7"/>
      <c r="AG59" s="80"/>
      <c r="AJ59" s="13">
        <v>1</v>
      </c>
      <c r="AK59" s="1" t="str">
        <f>IF(AND(AE59="",AC57="",AE57="",AC59=""),"X","")</f>
        <v>X</v>
      </c>
      <c r="AL59" s="13">
        <f>IF(AND(AC59&lt;&gt;"",AE59&lt;&gt;""),4,IF(AC59&lt;&gt;"",1,IF(OR(AE59&lt;&gt;"",AC57&lt;&gt;""),2,IF(AE57&lt;&gt;"",3,0))))</f>
        <v>0</v>
      </c>
      <c r="AM59" s="13"/>
      <c r="AN59" s="188">
        <f t="shared" ref="AN59" si="45">IF(AND(AC59&lt;&gt;"",AE59&lt;&gt;""),1,IF(AL59&lt;&gt;0,0,1))</f>
        <v>1</v>
      </c>
      <c r="AO59" s="75">
        <f ca="1">SUM($AN$21:OFFSET(AO59,-2,-1))</f>
        <v>16</v>
      </c>
      <c r="AP59" s="75" t="str">
        <f t="shared" ref="AP59" ca="1" si="46">IF(AND(OFFSET(AP59,0,-18)="",AO59=0),AQ59,"XX")</f>
        <v>XX</v>
      </c>
      <c r="AQ59" s="75">
        <f>MAX($AE$21:AE57)</f>
        <v>0</v>
      </c>
      <c r="AR59" s="13">
        <f>IF(SUM(AE61:$AE$348)&gt;0,MIN(AE61:$AE$348),10000)</f>
        <v>10000</v>
      </c>
      <c r="AS59" s="14"/>
      <c r="AT59" s="14"/>
      <c r="AU59" s="75">
        <f t="shared" ref="AU59" si="47">IF(AND(AC59&lt;&gt;"",AE59&lt;&gt;""),4,0)</f>
        <v>0</v>
      </c>
      <c r="AV59" s="2" t="e">
        <f ca="1">IF(AND(AL59&lt;&gt;1,AL59&lt;&gt;3,AL59&lt;&gt;4),AP59+1,XX)</f>
        <v>#VALUE!</v>
      </c>
      <c r="AW59" s="2">
        <f>IF(AND(AL59&lt;&gt;1,AL59&lt;&gt;3,AL59&lt;&gt;4),AR59-1,XX)</f>
        <v>9999</v>
      </c>
    </row>
    <row r="60" spans="1:49" s="6" customFormat="1" ht="3" customHeight="1">
      <c r="A60" s="1"/>
      <c r="B60" s="1"/>
      <c r="I60" s="2"/>
      <c r="J60" s="167"/>
      <c r="L60" s="28"/>
      <c r="M60" s="251"/>
      <c r="N60" s="28"/>
      <c r="O60" s="36"/>
      <c r="P60" s="36"/>
      <c r="Q60" s="37"/>
      <c r="R60" s="37"/>
      <c r="S60" s="37"/>
      <c r="T60" s="37"/>
      <c r="U60" s="37"/>
      <c r="V60" s="37"/>
      <c r="W60" s="37"/>
      <c r="X60" s="37"/>
      <c r="Y60" s="37"/>
      <c r="Z60" s="37"/>
      <c r="AA60" s="37"/>
      <c r="AB60" s="12"/>
      <c r="AC60" s="10"/>
      <c r="AD60" s="8"/>
      <c r="AE60" s="11"/>
      <c r="AF60" s="28"/>
      <c r="AG60" s="1"/>
      <c r="AJ60" s="13"/>
      <c r="AK60" s="13"/>
      <c r="AL60" s="13"/>
      <c r="AM60" s="13"/>
      <c r="AN60" s="160"/>
      <c r="AO60" s="160"/>
      <c r="AP60" s="160"/>
      <c r="AQ60" s="160"/>
      <c r="AR60" s="13"/>
      <c r="AS60" s="161"/>
      <c r="AT60" s="161"/>
      <c r="AU60" s="160"/>
      <c r="AV60" s="161"/>
      <c r="AW60" s="161"/>
    </row>
    <row r="61" spans="1:49" ht="14.25" customHeight="1">
      <c r="B61" s="1"/>
      <c r="H61" s="2">
        <v>1</v>
      </c>
      <c r="J61" s="71" t="str">
        <f>CONCATENATE(SUM($G$17:G61),".",SUM($H$33:H61))</f>
        <v>2.12</v>
      </c>
      <c r="K61" s="2" t="s">
        <v>302</v>
      </c>
      <c r="L61" s="7"/>
      <c r="M61" s="250"/>
      <c r="N61" s="11"/>
      <c r="O61" s="433" t="str">
        <f>CONCATENATE(J61,". ",K61,$K$17)</f>
        <v>2.12. Consulta ao Cadastro Nacional de Empresas Inidôneas e Suspensas (CEIS);------------------------------------------------------------------------------------------------------------------------------------------------------------------------</v>
      </c>
      <c r="P61" s="433"/>
      <c r="Q61" s="433"/>
      <c r="R61" s="433"/>
      <c r="S61" s="433"/>
      <c r="T61" s="433"/>
      <c r="U61" s="433"/>
      <c r="V61" s="433"/>
      <c r="W61" s="433"/>
      <c r="X61" s="433"/>
      <c r="Y61" s="433"/>
      <c r="Z61" s="433"/>
      <c r="AA61" s="433"/>
      <c r="AB61" s="433"/>
      <c r="AC61" s="433"/>
      <c r="AD61" s="8"/>
      <c r="AE61" s="379"/>
      <c r="AF61" s="7"/>
      <c r="AG61" s="80"/>
      <c r="AJ61" s="13">
        <v>1</v>
      </c>
      <c r="AK61" s="13" t="str">
        <f>IF(AE61="","X","")</f>
        <v>X</v>
      </c>
      <c r="AL61" s="13">
        <f>IF(AND(AC61&lt;&gt;"",AE61&lt;&gt;""),4,IF(AC61&lt;&gt;"",1,IF(AE61&lt;&gt;"",2,0)))</f>
        <v>0</v>
      </c>
      <c r="AM61" s="13"/>
      <c r="AN61" s="188">
        <f t="shared" ref="AN61" si="48">IF(AND(AC61&lt;&gt;"",AE61&lt;&gt;""),1,IF(AL61&lt;&gt;0,0,1))</f>
        <v>1</v>
      </c>
      <c r="AO61" s="75">
        <f ca="1">SUM($AN$21:OFFSET(AO61,-2,-1))</f>
        <v>17</v>
      </c>
      <c r="AP61" s="75" t="str">
        <f t="shared" ref="AP61" ca="1" si="49">IF(AND(OFFSET(AP61,0,-18)="",AO61=0),AQ61,"XX")</f>
        <v>XX</v>
      </c>
      <c r="AQ61" s="75">
        <f>MAX($AE$21:AE59)</f>
        <v>0</v>
      </c>
      <c r="AR61" s="13">
        <f>IF(SUM(AE63:$AE$348)&gt;0,MIN(AE63:$AE$348),10000)</f>
        <v>10000</v>
      </c>
      <c r="AS61" s="14"/>
      <c r="AT61" s="14"/>
      <c r="AU61" s="75">
        <f t="shared" ref="AU61" si="50">IF(AND(AC61&lt;&gt;"",AE61&lt;&gt;""),4,0)</f>
        <v>0</v>
      </c>
      <c r="AV61" s="2" t="e">
        <f ca="1">IF(AND(AL61&lt;&gt;1,AL61&lt;&gt;3,AL61&lt;&gt;4),AP61+1,XX)</f>
        <v>#VALUE!</v>
      </c>
      <c r="AW61" s="2">
        <f>IF(AND(AL61&lt;&gt;1,AL61&lt;&gt;3,AL61&lt;&gt;4),AR61-1,XX)</f>
        <v>9999</v>
      </c>
    </row>
    <row r="62" spans="1:49" s="6" customFormat="1" ht="3" customHeight="1">
      <c r="A62" s="1"/>
      <c r="B62" s="1"/>
      <c r="H62" s="2"/>
      <c r="I62" s="2"/>
      <c r="J62" s="167"/>
      <c r="L62" s="28"/>
      <c r="M62" s="251"/>
      <c r="N62" s="28"/>
      <c r="O62" s="36"/>
      <c r="P62" s="36"/>
      <c r="Q62" s="37"/>
      <c r="R62" s="37"/>
      <c r="S62" s="37"/>
      <c r="T62" s="37"/>
      <c r="U62" s="37"/>
      <c r="V62" s="37"/>
      <c r="W62" s="37"/>
      <c r="X62" s="37"/>
      <c r="Y62" s="37"/>
      <c r="Z62" s="37"/>
      <c r="AA62" s="37"/>
      <c r="AB62" s="12"/>
      <c r="AC62" s="10"/>
      <c r="AD62" s="8"/>
      <c r="AE62" s="11"/>
      <c r="AF62" s="28"/>
      <c r="AG62" s="1"/>
      <c r="AJ62" s="13"/>
      <c r="AK62" s="13"/>
      <c r="AL62" s="13"/>
      <c r="AM62" s="13"/>
      <c r="AN62" s="160"/>
      <c r="AO62" s="160"/>
      <c r="AP62" s="160"/>
      <c r="AQ62" s="160"/>
      <c r="AR62" s="13"/>
      <c r="AS62" s="161"/>
      <c r="AT62" s="161"/>
      <c r="AU62" s="160"/>
      <c r="AV62" s="161"/>
      <c r="AW62" s="161"/>
    </row>
    <row r="63" spans="1:49" ht="14.25" customHeight="1">
      <c r="B63" s="1"/>
      <c r="H63" s="2">
        <v>1</v>
      </c>
      <c r="J63" s="71" t="str">
        <f>CONCATENATE(SUM($G$17:G63),".",SUM($H$33:H63))</f>
        <v>2.13</v>
      </c>
      <c r="K63" s="2" t="s">
        <v>54</v>
      </c>
      <c r="L63" s="7"/>
      <c r="M63" s="250"/>
      <c r="N63" s="11"/>
      <c r="O63" s="433" t="str">
        <f>CONCATENATE(J63,". ",K63,$K$17)</f>
        <v>2.13. Instrumentos contratuais dos financiamentos em andamento em outras instituições financeiras;------------------------------------------------------------------------------------------------------------------------------------------------------------------------</v>
      </c>
      <c r="P63" s="433"/>
      <c r="Q63" s="433"/>
      <c r="R63" s="433"/>
      <c r="S63" s="433"/>
      <c r="T63" s="433"/>
      <c r="U63" s="433"/>
      <c r="V63" s="433"/>
      <c r="W63" s="433"/>
      <c r="X63" s="433"/>
      <c r="Y63" s="433"/>
      <c r="Z63" s="433"/>
      <c r="AA63" s="433"/>
      <c r="AB63" s="9"/>
      <c r="AC63" s="380"/>
      <c r="AD63" s="8"/>
      <c r="AE63" s="379"/>
      <c r="AF63" s="7"/>
      <c r="AG63" s="80"/>
      <c r="AJ63" s="13">
        <v>1</v>
      </c>
      <c r="AK63" s="13" t="str">
        <f>IF(AND(AE63="",AC63=""),"X","")</f>
        <v>X</v>
      </c>
      <c r="AL63" s="13">
        <f>IF(AND(AC63&lt;&gt;"",AE63&lt;&gt;""),4,IF(AC63&lt;&gt;"",1,IF(AE63&lt;&gt;"",2,0)))</f>
        <v>0</v>
      </c>
      <c r="AM63" s="13"/>
      <c r="AN63" s="188">
        <f t="shared" ref="AN63" si="51">IF(AND(AC63&lt;&gt;"",AE63&lt;&gt;""),1,IF(AL63&lt;&gt;0,0,1))</f>
        <v>1</v>
      </c>
      <c r="AO63" s="75">
        <f ca="1">SUM($AN$21:OFFSET(AO63,-2,-1))</f>
        <v>18</v>
      </c>
      <c r="AP63" s="75" t="str">
        <f t="shared" ref="AP63" ca="1" si="52">IF(AND(OFFSET(AP63,0,-18)="",AO63=0),AQ63,"XX")</f>
        <v>XX</v>
      </c>
      <c r="AQ63" s="75">
        <f>MAX($AE$21:AE61)</f>
        <v>0</v>
      </c>
      <c r="AR63" s="13">
        <f>IF(SUM(AE65:$AE$348)&gt;0,MIN(AE65:$AE$348),10000)</f>
        <v>10000</v>
      </c>
      <c r="AS63" s="14"/>
      <c r="AT63" s="14"/>
      <c r="AU63" s="75">
        <f t="shared" ref="AU63" si="53">IF(AND(AC63&lt;&gt;"",AE63&lt;&gt;""),4,0)</f>
        <v>0</v>
      </c>
      <c r="AV63" s="2" t="e">
        <f ca="1">IF(AND(AL63&lt;&gt;1,AL63&lt;&gt;3,AL63&lt;&gt;4),AP63+1,XX)</f>
        <v>#VALUE!</v>
      </c>
      <c r="AW63" s="2">
        <f>IF(AND(AL63&lt;&gt;1,AL63&lt;&gt;3,AL63&lt;&gt;4),AR63-1,XX)</f>
        <v>9999</v>
      </c>
    </row>
    <row r="64" spans="1:49" s="6" customFormat="1" ht="3" customHeight="1">
      <c r="A64" s="1"/>
      <c r="B64" s="1"/>
      <c r="I64" s="2"/>
      <c r="J64" s="167"/>
      <c r="L64" s="28"/>
      <c r="M64" s="251"/>
      <c r="N64" s="28"/>
      <c r="O64" s="36"/>
      <c r="P64" s="36"/>
      <c r="Q64" s="37"/>
      <c r="R64" s="37"/>
      <c r="S64" s="37"/>
      <c r="T64" s="37"/>
      <c r="U64" s="37"/>
      <c r="V64" s="37"/>
      <c r="W64" s="37"/>
      <c r="X64" s="37"/>
      <c r="Y64" s="37"/>
      <c r="Z64" s="37"/>
      <c r="AA64" s="37"/>
      <c r="AB64" s="12"/>
      <c r="AC64" s="190"/>
      <c r="AD64" s="8"/>
      <c r="AE64" s="11"/>
      <c r="AF64" s="28"/>
      <c r="AG64" s="1"/>
      <c r="AJ64" s="13"/>
      <c r="AK64" s="13"/>
      <c r="AL64" s="13"/>
      <c r="AM64" s="13"/>
      <c r="AN64" s="160"/>
      <c r="AO64" s="160"/>
      <c r="AP64" s="160"/>
      <c r="AQ64" s="160"/>
      <c r="AR64" s="13"/>
      <c r="AS64" s="161"/>
      <c r="AT64" s="161"/>
      <c r="AU64" s="160"/>
      <c r="AV64" s="161"/>
      <c r="AW64" s="161"/>
    </row>
    <row r="65" spans="1:49" ht="14.25" customHeight="1">
      <c r="B65" s="1"/>
      <c r="H65" s="2">
        <v>1</v>
      </c>
      <c r="J65" s="71" t="str">
        <f>CONCATENATE(SUM($G$17:G65),".",SUM($H$33:H65))</f>
        <v>2.14</v>
      </c>
      <c r="K65" s="2" t="s">
        <v>270</v>
      </c>
      <c r="L65" s="7"/>
      <c r="M65" s="250"/>
      <c r="N65" s="11"/>
      <c r="O65" s="433" t="str">
        <f>CONCATENATE(J65,". ",K65,$K$17)</f>
        <v>2.14. Extratos dos financiamentos em andamento em outras inst. financeiras, ou planilha com detalhamento;------------------------------------------------------------------------------------------------------------------------------------------------------------------------</v>
      </c>
      <c r="P65" s="433"/>
      <c r="Q65" s="433"/>
      <c r="R65" s="433"/>
      <c r="S65" s="433"/>
      <c r="T65" s="433"/>
      <c r="U65" s="433"/>
      <c r="V65" s="433"/>
      <c r="W65" s="433"/>
      <c r="X65" s="433"/>
      <c r="Y65" s="433"/>
      <c r="Z65" s="433"/>
      <c r="AA65" s="433"/>
      <c r="AB65" s="9"/>
      <c r="AC65" s="380"/>
      <c r="AD65" s="8"/>
      <c r="AE65" s="379"/>
      <c r="AF65" s="7"/>
      <c r="AG65" s="80"/>
      <c r="AJ65" s="13">
        <v>1</v>
      </c>
      <c r="AK65" s="13" t="str">
        <f>IF(AND(AE65="",AC65=""),"X","")</f>
        <v>X</v>
      </c>
      <c r="AL65" s="13">
        <f>IF(AND(AC65&lt;&gt;"",AE65&lt;&gt;""),4,IF(AC65&lt;&gt;"",1,IF(AE65&lt;&gt;"",2,0)))</f>
        <v>0</v>
      </c>
      <c r="AM65" s="13"/>
      <c r="AN65" s="188">
        <f t="shared" ref="AN65" si="54">IF(AND(AC65&lt;&gt;"",AE65&lt;&gt;""),1,IF(AL65&lt;&gt;0,0,1))</f>
        <v>1</v>
      </c>
      <c r="AO65" s="75">
        <f ca="1">SUM($AN$21:OFFSET(AO65,-2,-1))</f>
        <v>19</v>
      </c>
      <c r="AP65" s="75" t="str">
        <f t="shared" ref="AP65" ca="1" si="55">IF(AND(OFFSET(AP65,0,-18)="",AO65=0),AQ65,"XX")</f>
        <v>XX</v>
      </c>
      <c r="AQ65" s="75">
        <f>MAX($AE$21:AE63)</f>
        <v>0</v>
      </c>
      <c r="AR65" s="13">
        <f>IF(SUM(AE67:$AE$348)&gt;0,MIN(AE67:$AE$348),10000)</f>
        <v>10000</v>
      </c>
      <c r="AS65" s="14"/>
      <c r="AT65" s="14"/>
      <c r="AU65" s="75">
        <f t="shared" ref="AU65" si="56">IF(AND(AC65&lt;&gt;"",AE65&lt;&gt;""),4,0)</f>
        <v>0</v>
      </c>
      <c r="AV65" s="2" t="e">
        <f ca="1">IF(AND(AL65&lt;&gt;1,AL65&lt;&gt;3,AL65&lt;&gt;4),AP65+1,XX)</f>
        <v>#VALUE!</v>
      </c>
      <c r="AW65" s="2">
        <f>IF(AND(AL65&lt;&gt;1,AL65&lt;&gt;3,AL65&lt;&gt;4),AR65-1,XX)</f>
        <v>9999</v>
      </c>
    </row>
    <row r="66" spans="1:49" s="6" customFormat="1" ht="3" customHeight="1">
      <c r="A66" s="1"/>
      <c r="B66" s="1"/>
      <c r="H66" s="2"/>
      <c r="I66" s="2"/>
      <c r="J66" s="167"/>
      <c r="L66" s="28"/>
      <c r="M66" s="251"/>
      <c r="N66" s="28"/>
      <c r="O66" s="40"/>
      <c r="P66" s="40"/>
      <c r="Q66" s="40"/>
      <c r="R66" s="40"/>
      <c r="S66" s="40"/>
      <c r="T66" s="40"/>
      <c r="U66" s="40"/>
      <c r="V66" s="40"/>
      <c r="W66" s="40"/>
      <c r="X66" s="40"/>
      <c r="Y66" s="40"/>
      <c r="Z66" s="40"/>
      <c r="AA66" s="40"/>
      <c r="AB66" s="26"/>
      <c r="AC66" s="192"/>
      <c r="AD66" s="27"/>
      <c r="AE66" s="41"/>
      <c r="AF66" s="28"/>
      <c r="AG66" s="25"/>
      <c r="AJ66" s="13"/>
      <c r="AK66" s="13"/>
      <c r="AL66" s="13"/>
      <c r="AM66" s="13"/>
      <c r="AN66" s="160"/>
      <c r="AO66" s="160"/>
      <c r="AP66" s="160"/>
      <c r="AQ66" s="160"/>
      <c r="AR66" s="13"/>
      <c r="AS66" s="161"/>
      <c r="AT66" s="161"/>
      <c r="AU66" s="160"/>
      <c r="AV66" s="161"/>
      <c r="AW66" s="161"/>
    </row>
    <row r="67" spans="1:49" ht="14.25" customHeight="1">
      <c r="B67" s="1"/>
      <c r="H67" s="2">
        <v>1</v>
      </c>
      <c r="J67" s="71" t="str">
        <f>CONCATENATE(SUM($G$17:G67),".",SUM($H$33:H67))</f>
        <v>2.15</v>
      </c>
      <c r="K67" s="2" t="s">
        <v>197</v>
      </c>
      <c r="L67" s="7"/>
      <c r="M67" s="250"/>
      <c r="N67" s="11"/>
      <c r="O67" s="433" t="str">
        <f>CONCATENATE(J67,". ",K67,$K$17)</f>
        <v>2.15. Comprovante de benefícios fiscais;------------------------------------------------------------------------------------------------------------------------------------------------------------------------</v>
      </c>
      <c r="P67" s="433"/>
      <c r="Q67" s="433"/>
      <c r="R67" s="433"/>
      <c r="S67" s="433"/>
      <c r="T67" s="433"/>
      <c r="U67" s="433"/>
      <c r="V67" s="433"/>
      <c r="W67" s="433"/>
      <c r="X67" s="433"/>
      <c r="Y67" s="433"/>
      <c r="Z67" s="433"/>
      <c r="AA67" s="433"/>
      <c r="AB67" s="9"/>
      <c r="AC67" s="380"/>
      <c r="AD67" s="8"/>
      <c r="AE67" s="379"/>
      <c r="AF67" s="7"/>
      <c r="AG67" s="80"/>
      <c r="AJ67" s="13">
        <v>1</v>
      </c>
      <c r="AK67" s="13" t="str">
        <f>IF(AND(AE67="",AC67=""),"X","")</f>
        <v>X</v>
      </c>
      <c r="AL67" s="13">
        <f>IF(AND(AC67&lt;&gt;"",AE67&lt;&gt;""),4,IF(AC67&lt;&gt;"",1,IF(AE67&lt;&gt;"",2,0)))</f>
        <v>0</v>
      </c>
      <c r="AM67" s="13"/>
      <c r="AN67" s="188">
        <f t="shared" ref="AN67" si="57">IF(AND(AC67&lt;&gt;"",AE67&lt;&gt;""),1,IF(AL67&lt;&gt;0,0,1))</f>
        <v>1</v>
      </c>
      <c r="AO67" s="75">
        <f ca="1">SUM($AN$21:OFFSET(AO67,-2,-1))</f>
        <v>20</v>
      </c>
      <c r="AP67" s="75" t="str">
        <f t="shared" ref="AP67" ca="1" si="58">IF(AND(OFFSET(AP67,0,-18)="",AO67=0),AQ67,"XX")</f>
        <v>XX</v>
      </c>
      <c r="AQ67" s="75">
        <f>MAX($AE$21:AE65)</f>
        <v>0</v>
      </c>
      <c r="AR67" s="13">
        <f>IF(SUM(AE69:$AE$348)&gt;0,MIN(AE69:$AE$348),10000)</f>
        <v>10000</v>
      </c>
      <c r="AS67" s="14"/>
      <c r="AT67" s="14"/>
      <c r="AU67" s="75">
        <f t="shared" ref="AU67" si="59">IF(AND(AC67&lt;&gt;"",AE67&lt;&gt;""),4,0)</f>
        <v>0</v>
      </c>
      <c r="AV67" s="2" t="e">
        <f ca="1">IF(AND(AL67&lt;&gt;1,AL67&lt;&gt;3,AL67&lt;&gt;4),AP67+1,XX)</f>
        <v>#VALUE!</v>
      </c>
      <c r="AW67" s="2">
        <f>IF(AND(AL67&lt;&gt;1,AL67&lt;&gt;3,AL67&lt;&gt;4),AR67-1,XX)</f>
        <v>9999</v>
      </c>
    </row>
    <row r="68" spans="1:49" s="6" customFormat="1" ht="3" customHeight="1">
      <c r="A68" s="1"/>
      <c r="B68" s="1"/>
      <c r="I68" s="2"/>
      <c r="J68" s="167"/>
      <c r="L68" s="28"/>
      <c r="M68" s="251"/>
      <c r="N68" s="28"/>
      <c r="O68" s="40"/>
      <c r="P68" s="40"/>
      <c r="Q68" s="40"/>
      <c r="R68" s="40"/>
      <c r="S68" s="40"/>
      <c r="T68" s="40"/>
      <c r="U68" s="40"/>
      <c r="V68" s="40"/>
      <c r="W68" s="40"/>
      <c r="X68" s="40"/>
      <c r="Y68" s="40"/>
      <c r="Z68" s="40"/>
      <c r="AA68" s="40"/>
      <c r="AB68" s="26"/>
      <c r="AC68" s="192"/>
      <c r="AD68" s="27"/>
      <c r="AE68" s="41"/>
      <c r="AF68" s="28"/>
      <c r="AG68" s="25"/>
      <c r="AJ68" s="13"/>
      <c r="AK68" s="13"/>
      <c r="AL68" s="13"/>
      <c r="AM68" s="13"/>
      <c r="AN68" s="160"/>
      <c r="AO68" s="160"/>
      <c r="AP68" s="160"/>
      <c r="AQ68" s="160"/>
      <c r="AR68" s="13"/>
      <c r="AS68" s="161"/>
      <c r="AT68" s="161"/>
      <c r="AU68" s="160"/>
      <c r="AV68" s="161"/>
      <c r="AW68" s="161"/>
    </row>
    <row r="69" spans="1:49" ht="14.25" customHeight="1">
      <c r="B69" s="1"/>
      <c r="H69" s="2">
        <v>1</v>
      </c>
      <c r="J69" s="71" t="str">
        <f>CONCATENATE(SUM($G$17:G69),".",SUM($H$33:H69))</f>
        <v>2.16</v>
      </c>
      <c r="K69" s="2" t="s">
        <v>168</v>
      </c>
      <c r="L69" s="7"/>
      <c r="M69" s="250"/>
      <c r="N69" s="11"/>
      <c r="O69" s="433" t="str">
        <f>CONCATENATE(J69,". ",K69,$K$17)</f>
        <v>2.16. Certificado de Empreendimento Implantado; (se houver operação contratada pela SUDAM/SUFRAMA)------------------------------------------------------------------------------------------------------------------------------------------------------------------------</v>
      </c>
      <c r="P69" s="433"/>
      <c r="Q69" s="433"/>
      <c r="R69" s="433"/>
      <c r="S69" s="433"/>
      <c r="T69" s="433"/>
      <c r="U69" s="433"/>
      <c r="V69" s="433"/>
      <c r="W69" s="433"/>
      <c r="X69" s="433"/>
      <c r="Y69" s="433"/>
      <c r="Z69" s="433"/>
      <c r="AA69" s="433"/>
      <c r="AB69" s="9"/>
      <c r="AC69" s="380"/>
      <c r="AD69" s="8"/>
      <c r="AE69" s="379"/>
      <c r="AF69" s="7"/>
      <c r="AG69" s="80"/>
      <c r="AJ69" s="13">
        <v>1</v>
      </c>
      <c r="AK69" s="13" t="str">
        <f>IF(AND(AE69="",AC69=""),"X","")</f>
        <v>X</v>
      </c>
      <c r="AL69" s="13">
        <f>IF(AND(AC69&lt;&gt;"",AE69&lt;&gt;""),4,IF(AC69&lt;&gt;"",1,IF(AE69&lt;&gt;"",2,0)))</f>
        <v>0</v>
      </c>
      <c r="AM69" s="13"/>
      <c r="AN69" s="188">
        <f t="shared" ref="AN69" si="60">IF(AND(AC69&lt;&gt;"",AE69&lt;&gt;""),1,IF(AL69&lt;&gt;0,0,1))</f>
        <v>1</v>
      </c>
      <c r="AO69" s="75">
        <f ca="1">SUM($AN$21:OFFSET(AO69,-2,-1))</f>
        <v>21</v>
      </c>
      <c r="AP69" s="75" t="str">
        <f t="shared" ref="AP69" ca="1" si="61">IF(AND(OFFSET(AP69,0,-18)="",AO69=0),AQ69,"XX")</f>
        <v>XX</v>
      </c>
      <c r="AQ69" s="75">
        <f>MAX($AE$21:AE67)</f>
        <v>0</v>
      </c>
      <c r="AR69" s="13">
        <f>IF(SUM(AE71:$AE$348)&gt;0,MIN(AE71:$AE$348),10000)</f>
        <v>10000</v>
      </c>
      <c r="AS69" s="14"/>
      <c r="AT69" s="14"/>
      <c r="AU69" s="75">
        <f t="shared" ref="AU69" si="62">IF(AND(AC69&lt;&gt;"",AE69&lt;&gt;""),4,0)</f>
        <v>0</v>
      </c>
      <c r="AV69" s="2" t="e">
        <f ca="1">IF(AND(AL69&lt;&gt;1,AL69&lt;&gt;3,AL69&lt;&gt;4),AP69+1,XX)</f>
        <v>#VALUE!</v>
      </c>
      <c r="AW69" s="2">
        <f>IF(AND(AL69&lt;&gt;1,AL69&lt;&gt;3,AL69&lt;&gt;4),AR69-1,XX)</f>
        <v>9999</v>
      </c>
    </row>
    <row r="70" spans="1:49" s="6" customFormat="1" ht="3" customHeight="1">
      <c r="A70" s="1"/>
      <c r="B70" s="1"/>
      <c r="H70" s="2"/>
      <c r="I70" s="2"/>
      <c r="J70" s="167"/>
      <c r="L70" s="28"/>
      <c r="M70" s="251"/>
      <c r="N70" s="28"/>
      <c r="O70" s="40"/>
      <c r="P70" s="40"/>
      <c r="Q70" s="40"/>
      <c r="R70" s="40"/>
      <c r="S70" s="40"/>
      <c r="T70" s="40"/>
      <c r="U70" s="40"/>
      <c r="V70" s="40"/>
      <c r="W70" s="40"/>
      <c r="X70" s="40"/>
      <c r="Y70" s="40"/>
      <c r="Z70" s="40"/>
      <c r="AA70" s="40"/>
      <c r="AB70" s="26"/>
      <c r="AC70" s="192"/>
      <c r="AD70" s="27"/>
      <c r="AE70" s="41"/>
      <c r="AF70" s="28"/>
      <c r="AG70" s="1"/>
      <c r="AJ70" s="13"/>
      <c r="AK70" s="13"/>
      <c r="AL70" s="13"/>
      <c r="AM70" s="13"/>
      <c r="AN70" s="160"/>
      <c r="AO70" s="160"/>
      <c r="AP70" s="160"/>
      <c r="AQ70" s="160"/>
      <c r="AR70" s="13"/>
      <c r="AS70" s="161"/>
      <c r="AT70" s="161"/>
      <c r="AU70" s="160"/>
      <c r="AV70" s="161"/>
      <c r="AW70" s="161"/>
    </row>
    <row r="71" spans="1:49" ht="14.25" customHeight="1">
      <c r="B71" s="1"/>
      <c r="H71" s="2">
        <v>1</v>
      </c>
      <c r="J71" s="71" t="str">
        <f>CONCATENATE(SUM($G$17:G71),".",SUM($H$33:H71))</f>
        <v>2.17</v>
      </c>
      <c r="K71" s="2" t="s">
        <v>260</v>
      </c>
      <c r="L71" s="7"/>
      <c r="M71" s="250"/>
      <c r="N71" s="11"/>
      <c r="O71" s="433" t="str">
        <f>CONCATENATE(J71,". ",K71,$K$17)</f>
        <v>2.17. Declaração de Regularidade da Situação junto à SUDAM, fornecida pelo Banco da Amazônia;------------------------------------------------------------------------------------------------------------------------------------------------------------------------</v>
      </c>
      <c r="P71" s="433"/>
      <c r="Q71" s="433"/>
      <c r="R71" s="433"/>
      <c r="S71" s="433"/>
      <c r="T71" s="433"/>
      <c r="U71" s="433"/>
      <c r="V71" s="433"/>
      <c r="W71" s="433"/>
      <c r="X71" s="433"/>
      <c r="Y71" s="433"/>
      <c r="Z71" s="433"/>
      <c r="AA71" s="433"/>
      <c r="AB71" s="9"/>
      <c r="AC71" s="380"/>
      <c r="AD71" s="8"/>
      <c r="AE71" s="379"/>
      <c r="AF71" s="7"/>
      <c r="AG71" s="80"/>
      <c r="AJ71" s="13">
        <v>1</v>
      </c>
      <c r="AK71" s="13" t="str">
        <f>IF(AND(AE71="",AC71=""),"X","")</f>
        <v>X</v>
      </c>
      <c r="AL71" s="13">
        <f>IF(AND(AC71&lt;&gt;"",AE71&lt;&gt;""),4,IF(AC71&lt;&gt;"",1,IF(AE71&lt;&gt;"",2,0)))</f>
        <v>0</v>
      </c>
      <c r="AM71" s="13"/>
      <c r="AN71" s="188">
        <f t="shared" ref="AN71" si="63">IF(AND(AC71&lt;&gt;"",AE71&lt;&gt;""),1,IF(AL71&lt;&gt;0,0,1))</f>
        <v>1</v>
      </c>
      <c r="AO71" s="75">
        <f ca="1">SUM($AN$21:OFFSET(AO71,-2,-1))</f>
        <v>22</v>
      </c>
      <c r="AP71" s="75" t="str">
        <f t="shared" ref="AP71" ca="1" si="64">IF(AND(OFFSET(AP71,0,-18)="",AO71=0),AQ71,"XX")</f>
        <v>XX</v>
      </c>
      <c r="AQ71" s="75">
        <f>MAX($AE$21:AE69)</f>
        <v>0</v>
      </c>
      <c r="AR71" s="13">
        <f>IF(SUM(AE73:$AE$348)&gt;0,MIN(AE73:$AE$348),10000)</f>
        <v>10000</v>
      </c>
      <c r="AS71" s="14"/>
      <c r="AT71" s="14"/>
      <c r="AU71" s="75">
        <f t="shared" ref="AU71" si="65">IF(AND(AC71&lt;&gt;"",AE71&lt;&gt;""),4,0)</f>
        <v>0</v>
      </c>
      <c r="AV71" s="2" t="e">
        <f ca="1">IF(AND(AL71&lt;&gt;1,AL71&lt;&gt;3,AL71&lt;&gt;4),AP71+1,XX)</f>
        <v>#VALUE!</v>
      </c>
      <c r="AW71" s="2">
        <f>IF(AND(AL71&lt;&gt;1,AL71&lt;&gt;3,AL71&lt;&gt;4),AR71-1,XX)</f>
        <v>9999</v>
      </c>
    </row>
    <row r="72" spans="1:49" s="6" customFormat="1" ht="3" customHeight="1">
      <c r="A72" s="1"/>
      <c r="B72" s="1"/>
      <c r="I72" s="2"/>
      <c r="J72" s="167"/>
      <c r="L72" s="28"/>
      <c r="M72" s="251"/>
      <c r="N72" s="28"/>
      <c r="O72" s="40"/>
      <c r="P72" s="40"/>
      <c r="Q72" s="40"/>
      <c r="R72" s="40"/>
      <c r="S72" s="40"/>
      <c r="T72" s="40"/>
      <c r="U72" s="40"/>
      <c r="V72" s="40"/>
      <c r="W72" s="40"/>
      <c r="X72" s="40"/>
      <c r="Y72" s="40"/>
      <c r="Z72" s="40"/>
      <c r="AA72" s="40"/>
      <c r="AB72" s="26"/>
      <c r="AC72" s="192"/>
      <c r="AD72" s="27"/>
      <c r="AE72" s="41"/>
      <c r="AF72" s="28"/>
      <c r="AG72" s="2"/>
      <c r="AJ72" s="13"/>
      <c r="AK72" s="13"/>
      <c r="AL72" s="13"/>
      <c r="AM72" s="13"/>
      <c r="AN72" s="160"/>
      <c r="AO72" s="160"/>
      <c r="AP72" s="160"/>
      <c r="AQ72" s="160"/>
      <c r="AR72" s="13"/>
      <c r="AS72" s="161"/>
      <c r="AT72" s="161"/>
      <c r="AU72" s="160"/>
      <c r="AV72" s="161"/>
      <c r="AW72" s="161"/>
    </row>
    <row r="73" spans="1:49" ht="14.25" customHeight="1">
      <c r="B73" s="1"/>
      <c r="H73" s="2">
        <v>1</v>
      </c>
      <c r="J73" s="71" t="str">
        <f>CONCATENATE(SUM($G$17:G73),".",SUM($H$33:H73))</f>
        <v>2.18</v>
      </c>
      <c r="K73" s="2" t="s">
        <v>191</v>
      </c>
      <c r="L73" s="7"/>
      <c r="M73" s="250"/>
      <c r="N73" s="11"/>
      <c r="O73" s="433" t="str">
        <f>CONCATENATE(J73,". ",K73,$K$17)</f>
        <v>2.18. Declaração de Regularidade da Situação junto à Comissão de Valores Mobiliários - fornecidas pela CVM;------------------------------------------------------------------------------------------------------------------------------------------------------------------------</v>
      </c>
      <c r="P73" s="433"/>
      <c r="Q73" s="433"/>
      <c r="R73" s="433"/>
      <c r="S73" s="433"/>
      <c r="T73" s="433"/>
      <c r="U73" s="433"/>
      <c r="V73" s="433"/>
      <c r="W73" s="433"/>
      <c r="X73" s="433"/>
      <c r="Y73" s="433"/>
      <c r="Z73" s="433"/>
      <c r="AA73" s="433"/>
      <c r="AB73" s="9"/>
      <c r="AC73" s="380"/>
      <c r="AD73" s="8"/>
      <c r="AE73" s="379"/>
      <c r="AF73" s="7"/>
      <c r="AG73" s="80"/>
      <c r="AJ73" s="13">
        <v>1</v>
      </c>
      <c r="AK73" s="13" t="str">
        <f>IF(AND(AE73="",AC73=""),"X","")</f>
        <v>X</v>
      </c>
      <c r="AL73" s="13">
        <f>IF(AND(AC73&lt;&gt;"",AE73&lt;&gt;""),4,IF(AC73&lt;&gt;"",1,IF(AE73&lt;&gt;"",2,0)))</f>
        <v>0</v>
      </c>
      <c r="AM73" s="13"/>
      <c r="AN73" s="188">
        <f t="shared" ref="AN73" si="66">IF(AND(AC73&lt;&gt;"",AE73&lt;&gt;""),1,IF(AL73&lt;&gt;0,0,1))</f>
        <v>1</v>
      </c>
      <c r="AO73" s="75">
        <f ca="1">SUM($AN$21:OFFSET(AO73,-2,-1))</f>
        <v>23</v>
      </c>
      <c r="AP73" s="75" t="str">
        <f t="shared" ref="AP73" ca="1" si="67">IF(AND(OFFSET(AP73,0,-18)="",AO73=0),AQ73,"XX")</f>
        <v>XX</v>
      </c>
      <c r="AQ73" s="75">
        <f>MAX($AE$21:AE71)</f>
        <v>0</v>
      </c>
      <c r="AR73" s="13">
        <f>IF(SUM(AE75:$AE$348)&gt;0,MIN(AE75:$AE$348),10000)</f>
        <v>10000</v>
      </c>
      <c r="AS73" s="14"/>
      <c r="AT73" s="14"/>
      <c r="AU73" s="75">
        <f t="shared" ref="AU73" si="68">IF(AND(AC73&lt;&gt;"",AE73&lt;&gt;""),4,0)</f>
        <v>0</v>
      </c>
      <c r="AV73" s="2" t="e">
        <f ca="1">IF(AND(AL73&lt;&gt;1,AL73&lt;&gt;3,AL73&lt;&gt;4),AP73+1,XX)</f>
        <v>#VALUE!</v>
      </c>
      <c r="AW73" s="2">
        <f>IF(AND(AL73&lt;&gt;1,AL73&lt;&gt;3,AL73&lt;&gt;4),AR73-1,XX)</f>
        <v>9999</v>
      </c>
    </row>
    <row r="74" spans="1:49" s="6" customFormat="1" ht="3" customHeight="1">
      <c r="A74" s="1"/>
      <c r="B74" s="1"/>
      <c r="H74" s="2"/>
      <c r="I74" s="2"/>
      <c r="J74" s="167"/>
      <c r="L74" s="28"/>
      <c r="M74" s="251"/>
      <c r="N74" s="28"/>
      <c r="O74" s="40"/>
      <c r="P74" s="40"/>
      <c r="Q74" s="40"/>
      <c r="R74" s="40"/>
      <c r="S74" s="40"/>
      <c r="T74" s="40"/>
      <c r="U74" s="40"/>
      <c r="V74" s="40"/>
      <c r="W74" s="40"/>
      <c r="X74" s="40"/>
      <c r="Y74" s="40"/>
      <c r="Z74" s="40"/>
      <c r="AA74" s="40"/>
      <c r="AB74" s="26"/>
      <c r="AC74" s="192"/>
      <c r="AD74" s="27"/>
      <c r="AE74" s="41"/>
      <c r="AF74" s="28"/>
      <c r="AG74" s="2"/>
      <c r="AJ74" s="13"/>
      <c r="AK74" s="13"/>
      <c r="AL74" s="13"/>
      <c r="AM74" s="13"/>
      <c r="AN74" s="160"/>
      <c r="AO74" s="160"/>
      <c r="AP74" s="160"/>
      <c r="AQ74" s="160"/>
      <c r="AR74" s="13"/>
      <c r="AS74" s="161"/>
      <c r="AT74" s="161"/>
      <c r="AU74" s="160"/>
      <c r="AV74" s="161"/>
      <c r="AW74" s="161"/>
    </row>
    <row r="75" spans="1:49" ht="14.25" customHeight="1">
      <c r="B75" s="1"/>
      <c r="H75" s="2">
        <v>1</v>
      </c>
      <c r="J75" s="71" t="str">
        <f>CONCATENATE(SUM($G$17:G75),".",SUM($H$33:H75))</f>
        <v>2.19</v>
      </c>
      <c r="K75" s="2" t="s">
        <v>177</v>
      </c>
      <c r="L75" s="7"/>
      <c r="M75" s="250"/>
      <c r="N75" s="11"/>
      <c r="O75" s="433" t="str">
        <f>CONCATENATE(J75,". ",K75,$K$17)</f>
        <v>2.19. Declaração do BNDES;------------------------------------------------------------------------------------------------------------------------------------------------------------------------</v>
      </c>
      <c r="P75" s="433"/>
      <c r="Q75" s="433"/>
      <c r="R75" s="433"/>
      <c r="S75" s="433"/>
      <c r="T75" s="433"/>
      <c r="U75" s="433"/>
      <c r="V75" s="433"/>
      <c r="W75" s="433"/>
      <c r="X75" s="433"/>
      <c r="Y75" s="433"/>
      <c r="Z75" s="433"/>
      <c r="AA75" s="433"/>
      <c r="AB75" s="9"/>
      <c r="AC75" s="380"/>
      <c r="AD75" s="8"/>
      <c r="AE75" s="379"/>
      <c r="AF75" s="7"/>
      <c r="AG75" s="80"/>
      <c r="AJ75" s="13">
        <v>1</v>
      </c>
      <c r="AK75" s="13" t="str">
        <f>IF(AND(AE75="",AC75=""),"X","")</f>
        <v>X</v>
      </c>
      <c r="AL75" s="13">
        <f>IF(AND(AC75&lt;&gt;"",AE75&lt;&gt;""),4,IF(AC75&lt;&gt;"",1,IF(AE75&lt;&gt;"",2,0)))</f>
        <v>0</v>
      </c>
      <c r="AM75" s="13"/>
      <c r="AN75" s="188">
        <f t="shared" ref="AN75" si="69">IF(AND(AC75&lt;&gt;"",AE75&lt;&gt;""),1,IF(AL75&lt;&gt;0,0,1))</f>
        <v>1</v>
      </c>
      <c r="AO75" s="75">
        <f ca="1">SUM($AN$21:OFFSET(AO75,-2,-1))</f>
        <v>24</v>
      </c>
      <c r="AP75" s="75" t="str">
        <f t="shared" ref="AP75" ca="1" si="70">IF(AND(OFFSET(AP75,0,-18)="",AO75=0),AQ75,"XX")</f>
        <v>XX</v>
      </c>
      <c r="AQ75" s="75">
        <f>MAX($AE$21:AE73)</f>
        <v>0</v>
      </c>
      <c r="AR75" s="13">
        <f>IF(SUM(AE77:$AE$348)&gt;0,MIN(AE77:$AE$348),10000)</f>
        <v>10000</v>
      </c>
      <c r="AS75" s="14"/>
      <c r="AT75" s="14"/>
      <c r="AU75" s="75">
        <f t="shared" ref="AU75" si="71">IF(AND(AC75&lt;&gt;"",AE75&lt;&gt;""),4,0)</f>
        <v>0</v>
      </c>
      <c r="AV75" s="2" t="e">
        <f ca="1">IF(AND(AL75&lt;&gt;1,AL75&lt;&gt;3,AL75&lt;&gt;4),AP75+1,XX)</f>
        <v>#VALUE!</v>
      </c>
      <c r="AW75" s="2">
        <f>IF(AND(AL75&lt;&gt;1,AL75&lt;&gt;3,AL75&lt;&gt;4),AR75-1,XX)</f>
        <v>9999</v>
      </c>
    </row>
    <row r="76" spans="1:49" s="6" customFormat="1" ht="3" customHeight="1">
      <c r="A76" s="1"/>
      <c r="B76" s="1"/>
      <c r="I76" s="2"/>
      <c r="J76" s="167"/>
      <c r="L76" s="28"/>
      <c r="M76" s="251"/>
      <c r="N76" s="28"/>
      <c r="O76" s="40"/>
      <c r="P76" s="40"/>
      <c r="Q76" s="40"/>
      <c r="R76" s="40"/>
      <c r="S76" s="40"/>
      <c r="T76" s="40"/>
      <c r="U76" s="40"/>
      <c r="V76" s="40"/>
      <c r="W76" s="40"/>
      <c r="X76" s="40"/>
      <c r="Y76" s="40"/>
      <c r="Z76" s="40"/>
      <c r="AA76" s="40"/>
      <c r="AB76" s="26"/>
      <c r="AC76" s="192"/>
      <c r="AD76" s="27"/>
      <c r="AE76" s="41"/>
      <c r="AF76" s="28"/>
      <c r="AG76" s="1"/>
      <c r="AJ76" s="13"/>
      <c r="AK76" s="13"/>
      <c r="AL76" s="13"/>
      <c r="AM76" s="13"/>
      <c r="AN76" s="160"/>
      <c r="AO76" s="160"/>
      <c r="AP76" s="160"/>
      <c r="AQ76" s="160"/>
      <c r="AR76" s="13"/>
      <c r="AS76" s="161"/>
      <c r="AT76" s="161"/>
      <c r="AU76" s="160"/>
      <c r="AV76" s="161"/>
      <c r="AW76" s="161"/>
    </row>
    <row r="77" spans="1:49" ht="14.25" customHeight="1">
      <c r="B77" s="1"/>
      <c r="H77" s="2">
        <v>1</v>
      </c>
      <c r="J77" s="71" t="str">
        <f>CONCATENATE(SUM($G$17:G77),".",SUM($H$33:H77))</f>
        <v>2.20</v>
      </c>
      <c r="K77" s="2" t="s">
        <v>190</v>
      </c>
      <c r="L77" s="7"/>
      <c r="M77" s="250"/>
      <c r="N77" s="11"/>
      <c r="O77" s="433" t="str">
        <f>CONCATENATE(J77,". ",K77,$K$17)</f>
        <v>2.20. Declaração quanto a regularidade para com a CVM e Fundos Constitucionais de Financ./Invest.;------------------------------------------------------------------------------------------------------------------------------------------------------------------------</v>
      </c>
      <c r="P77" s="433"/>
      <c r="Q77" s="433"/>
      <c r="R77" s="433"/>
      <c r="S77" s="433"/>
      <c r="T77" s="433"/>
      <c r="U77" s="433"/>
      <c r="V77" s="433"/>
      <c r="W77" s="433"/>
      <c r="X77" s="433"/>
      <c r="Y77" s="433"/>
      <c r="Z77" s="433"/>
      <c r="AA77" s="433"/>
      <c r="AB77" s="9"/>
      <c r="AC77" s="380"/>
      <c r="AD77" s="8"/>
      <c r="AE77" s="379"/>
      <c r="AF77" s="7"/>
      <c r="AG77" s="80"/>
      <c r="AJ77" s="13">
        <v>1</v>
      </c>
      <c r="AK77" s="13" t="str">
        <f>IF(AND(AE77="",AC77=""),"X","")</f>
        <v>X</v>
      </c>
      <c r="AL77" s="13">
        <f>IF(AND(AC77&lt;&gt;"",AE77&lt;&gt;""),4,IF(AC77&lt;&gt;"",1,IF(AE77&lt;&gt;"",2,0)))</f>
        <v>0</v>
      </c>
      <c r="AM77" s="13"/>
      <c r="AN77" s="188">
        <f t="shared" ref="AN77" si="72">IF(AND(AC77&lt;&gt;"",AE77&lt;&gt;""),1,IF(AL77&lt;&gt;0,0,1))</f>
        <v>1</v>
      </c>
      <c r="AO77" s="75">
        <f ca="1">SUM($AN$21:OFFSET(AO77,-2,-1))</f>
        <v>25</v>
      </c>
      <c r="AP77" s="75" t="str">
        <f t="shared" ref="AP77" ca="1" si="73">IF(AND(OFFSET(AP77,0,-18)="",AO77=0),AQ77,"XX")</f>
        <v>XX</v>
      </c>
      <c r="AQ77" s="75">
        <f>MAX($AE$21:AE75)</f>
        <v>0</v>
      </c>
      <c r="AR77" s="13">
        <f>IF(SUM(AE79:$AE$348)&gt;0,MIN(AE79:$AE$348),10000)</f>
        <v>10000</v>
      </c>
      <c r="AS77" s="14"/>
      <c r="AT77" s="14"/>
      <c r="AU77" s="75">
        <f t="shared" ref="AU77" si="74">IF(AND(AC77&lt;&gt;"",AE77&lt;&gt;""),4,0)</f>
        <v>0</v>
      </c>
      <c r="AV77" s="2" t="e">
        <f ca="1">IF(AND(AL77&lt;&gt;1,AL77&lt;&gt;3,AL77&lt;&gt;4),AP77+1,XX)</f>
        <v>#VALUE!</v>
      </c>
      <c r="AW77" s="2">
        <f>IF(AND(AL77&lt;&gt;1,AL77&lt;&gt;3,AL77&lt;&gt;4),AR77-1,XX)</f>
        <v>9999</v>
      </c>
    </row>
    <row r="78" spans="1:49" s="6" customFormat="1" ht="3" customHeight="1">
      <c r="A78" s="1"/>
      <c r="B78" s="1"/>
      <c r="H78" s="2"/>
      <c r="I78" s="2"/>
      <c r="J78" s="167"/>
      <c r="L78" s="28"/>
      <c r="M78" s="251"/>
      <c r="N78" s="28"/>
      <c r="O78" s="40"/>
      <c r="P78" s="40"/>
      <c r="Q78" s="40"/>
      <c r="R78" s="40"/>
      <c r="S78" s="40"/>
      <c r="T78" s="40"/>
      <c r="U78" s="40"/>
      <c r="V78" s="40"/>
      <c r="W78" s="40"/>
      <c r="X78" s="40"/>
      <c r="Y78" s="40"/>
      <c r="Z78" s="40"/>
      <c r="AA78" s="40"/>
      <c r="AB78" s="26"/>
      <c r="AC78" s="42"/>
      <c r="AD78" s="27"/>
      <c r="AE78" s="41"/>
      <c r="AF78" s="28"/>
      <c r="AG78" s="1"/>
      <c r="AJ78" s="13"/>
      <c r="AK78" s="13"/>
      <c r="AL78" s="13"/>
      <c r="AM78" s="13"/>
      <c r="AN78" s="160"/>
      <c r="AO78" s="160"/>
      <c r="AP78" s="160"/>
      <c r="AQ78" s="160"/>
      <c r="AR78" s="13"/>
      <c r="AS78" s="161"/>
      <c r="AT78" s="161"/>
      <c r="AU78" s="160"/>
      <c r="AV78" s="161"/>
      <c r="AW78" s="161"/>
    </row>
    <row r="79" spans="1:49" ht="14.25" customHeight="1">
      <c r="B79" s="1"/>
      <c r="H79" s="2">
        <v>1</v>
      </c>
      <c r="J79" s="71" t="str">
        <f>CONCATENATE(SUM($G$17:G79),".",SUM($H$33:H79))</f>
        <v>2.21</v>
      </c>
      <c r="K79" s="2" t="s">
        <v>236</v>
      </c>
      <c r="L79" s="7"/>
      <c r="M79" s="250"/>
      <c r="N79" s="11"/>
      <c r="O79" s="384" t="str">
        <f>CONCATENATE(J79,". ",K79,$K$17)</f>
        <v>2.21. Certidão que comprove a propriedade ou Contrato de arrendamento/aluguel - do imóvel onde opera;------------------------------------------------------------------------------------------------------------------------------------------------------------------------</v>
      </c>
      <c r="P79" s="384"/>
      <c r="Q79" s="384"/>
      <c r="R79" s="384"/>
      <c r="S79" s="384"/>
      <c r="T79" s="384"/>
      <c r="U79" s="384"/>
      <c r="V79" s="384"/>
      <c r="W79" s="384"/>
      <c r="X79" s="384"/>
      <c r="Y79" s="384"/>
      <c r="Z79" s="384"/>
      <c r="AA79" s="384"/>
      <c r="AB79" s="384"/>
      <c r="AC79" s="384"/>
      <c r="AD79" s="8"/>
      <c r="AE79" s="379"/>
      <c r="AF79" s="7"/>
      <c r="AG79" s="80"/>
      <c r="AJ79" s="13">
        <v>1</v>
      </c>
      <c r="AK79" s="13"/>
      <c r="AL79" s="13">
        <f>IF(AND(AC79&lt;&gt;"",AE79&lt;&gt;""),4,IF(AC79&lt;&gt;"",1,IF(AE79&lt;&gt;"",2,0)))</f>
        <v>0</v>
      </c>
      <c r="AM79" s="13"/>
      <c r="AN79" s="188">
        <f t="shared" ref="AN79" si="75">IF(AND(AC79&lt;&gt;"",AE79&lt;&gt;""),1,IF(AL79&lt;&gt;0,0,1))</f>
        <v>1</v>
      </c>
      <c r="AO79" s="75">
        <f ca="1">SUM($AN$21:OFFSET(AO79,-2,-1))</f>
        <v>26</v>
      </c>
      <c r="AP79" s="75" t="str">
        <f t="shared" ref="AP79" ca="1" si="76">IF(AND(OFFSET(AP79,0,-18)="",AO79=0),AQ79,"XX")</f>
        <v>XX</v>
      </c>
      <c r="AQ79" s="75">
        <f>MAX($AE$21:AE77)</f>
        <v>0</v>
      </c>
      <c r="AR79" s="13">
        <f>IF(SUM(AE83:$AE$348)&gt;0,MIN(AE83:$AE$348),10000)</f>
        <v>10000</v>
      </c>
      <c r="AS79" s="14"/>
      <c r="AT79" s="14"/>
      <c r="AU79" s="75">
        <f t="shared" ref="AU79" si="77">IF(AND(AC79&lt;&gt;"",AE79&lt;&gt;""),4,0)</f>
        <v>0</v>
      </c>
      <c r="AV79" s="2" t="e">
        <f ca="1">IF(AND(AL79&lt;&gt;1,AL79&lt;&gt;3,AL79&lt;&gt;4),AP79+1,XX)</f>
        <v>#VALUE!</v>
      </c>
      <c r="AW79" s="2">
        <f>IF(AND(AL79&lt;&gt;1,AL79&lt;&gt;3,AL79&lt;&gt;4),AR79-1,XX)</f>
        <v>9999</v>
      </c>
    </row>
    <row r="80" spans="1:49" s="6" customFormat="1" ht="3" customHeight="1">
      <c r="A80" s="373"/>
      <c r="B80" s="373"/>
      <c r="H80" s="2"/>
      <c r="I80" s="2"/>
      <c r="J80" s="167"/>
      <c r="L80" s="28"/>
      <c r="M80" s="251"/>
      <c r="N80" s="28"/>
      <c r="O80" s="40"/>
      <c r="P80" s="40"/>
      <c r="Q80" s="40"/>
      <c r="R80" s="40"/>
      <c r="S80" s="40"/>
      <c r="T80" s="40"/>
      <c r="U80" s="40"/>
      <c r="V80" s="40"/>
      <c r="W80" s="40"/>
      <c r="X80" s="40"/>
      <c r="Y80" s="40"/>
      <c r="Z80" s="40"/>
      <c r="AA80" s="40"/>
      <c r="AB80" s="26"/>
      <c r="AC80" s="192"/>
      <c r="AD80" s="27"/>
      <c r="AE80"/>
      <c r="AF80" s="28"/>
      <c r="AG80" s="2"/>
      <c r="AJ80" s="13"/>
      <c r="AK80" s="13"/>
      <c r="AL80" s="13"/>
      <c r="AM80" s="13"/>
      <c r="AN80" s="160"/>
      <c r="AO80" s="160"/>
      <c r="AP80" s="160"/>
      <c r="AQ80" s="160"/>
      <c r="AR80" s="13"/>
      <c r="AS80" s="161"/>
      <c r="AT80" s="161"/>
      <c r="AU80" s="160"/>
      <c r="AV80" s="161"/>
      <c r="AW80" s="161"/>
    </row>
    <row r="81" spans="1:49" ht="14.25" customHeight="1">
      <c r="A81" s="373"/>
      <c r="B81" s="373"/>
      <c r="H81" s="2">
        <v>1</v>
      </c>
      <c r="J81" s="71" t="str">
        <f>CONCATENATE(SUM($G$17:G81),".",SUM($H$33:H81))</f>
        <v>2.22</v>
      </c>
      <c r="K81" s="2" t="s">
        <v>585</v>
      </c>
      <c r="L81" s="7"/>
      <c r="M81" s="250"/>
      <c r="N81" s="374"/>
      <c r="O81" s="433" t="str">
        <f>CONCATENATE(J81,". ",K81,$K$17)</f>
        <v>2.22. Relação Anual de Informações Sociais - RAIS; (se operação do BNDES)------------------------------------------------------------------------------------------------------------------------------------------------------------------------</v>
      </c>
      <c r="P81" s="433"/>
      <c r="Q81" s="433"/>
      <c r="R81" s="433"/>
      <c r="S81" s="433"/>
      <c r="T81" s="433"/>
      <c r="U81" s="433"/>
      <c r="V81" s="433"/>
      <c r="W81" s="433"/>
      <c r="X81" s="433"/>
      <c r="Y81" s="433"/>
      <c r="Z81" s="433"/>
      <c r="AA81" s="433"/>
      <c r="AB81" s="9"/>
      <c r="AC81" s="380"/>
      <c r="AD81" s="8"/>
      <c r="AE81" s="379"/>
      <c r="AF81" s="7"/>
      <c r="AG81" s="80"/>
      <c r="AJ81" s="13">
        <v>1</v>
      </c>
      <c r="AK81" s="13" t="str">
        <f>IF(AND(AE81="",AC81=""),"X","")</f>
        <v>X</v>
      </c>
      <c r="AL81" s="13">
        <f>IF(AND(AC81&lt;&gt;"",AE81&lt;&gt;""),4,IF(AC81&lt;&gt;"",1,IF(AE81&lt;&gt;"",2,0)))</f>
        <v>0</v>
      </c>
      <c r="AM81" s="13"/>
      <c r="AN81" s="188">
        <f t="shared" ref="AN81" si="78">IF(AND(AC81&lt;&gt;"",AE81&lt;&gt;""),1,IF(AL81&lt;&gt;0,0,1))</f>
        <v>1</v>
      </c>
      <c r="AO81" s="75">
        <f ca="1">SUM($AN$21:OFFSET(AO81,-2,-1))</f>
        <v>27</v>
      </c>
      <c r="AP81" s="75" t="str">
        <f t="shared" ref="AP81" ca="1" si="79">IF(AND(OFFSET(AP81,0,-18)="",AO81=0),AQ81,"XX")</f>
        <v>XX</v>
      </c>
      <c r="AQ81" s="75">
        <f>MAX($AE$21:AE79)</f>
        <v>0</v>
      </c>
      <c r="AR81" s="13">
        <f>IF(SUM(AE83:$AE$348)&gt;0,MIN(AE83:$AE$348),10000)</f>
        <v>10000</v>
      </c>
      <c r="AS81" s="14"/>
      <c r="AT81" s="14"/>
      <c r="AU81" s="75">
        <f t="shared" ref="AU81" si="80">IF(AND(AC81&lt;&gt;"",AE81&lt;&gt;""),4,0)</f>
        <v>0</v>
      </c>
      <c r="AV81" s="2" t="e">
        <f ca="1">IF(AND(AL81&lt;&gt;1,AL81&lt;&gt;3,AL81&lt;&gt;4),AP81+1,XX)</f>
        <v>#VALUE!</v>
      </c>
      <c r="AW81" s="2">
        <f>IF(AND(AL81&lt;&gt;1,AL81&lt;&gt;3,AL81&lt;&gt;4),AR81-1,XX)</f>
        <v>9999</v>
      </c>
    </row>
    <row r="82" spans="1:49" ht="3" customHeight="1">
      <c r="B82" s="1"/>
      <c r="H82" s="6"/>
      <c r="J82" s="70"/>
      <c r="L82" s="7"/>
      <c r="M82" s="250"/>
      <c r="N82" s="11"/>
      <c r="O82" s="36"/>
      <c r="P82" s="36"/>
      <c r="Q82" s="37"/>
      <c r="R82" s="37"/>
      <c r="S82" s="37"/>
      <c r="T82" s="37"/>
      <c r="U82" s="37"/>
      <c r="V82" s="37"/>
      <c r="W82" s="37"/>
      <c r="X82" s="37"/>
      <c r="Y82" s="37"/>
      <c r="Z82" s="37"/>
      <c r="AA82" s="37"/>
      <c r="AB82" s="12"/>
      <c r="AC82" s="16"/>
      <c r="AD82" s="8"/>
      <c r="AE82" s="41"/>
      <c r="AF82" s="7"/>
      <c r="AG82" s="1"/>
      <c r="AJ82" s="13"/>
      <c r="AK82" s="13"/>
      <c r="AL82" s="13"/>
      <c r="AM82" s="13"/>
      <c r="AN82" s="160"/>
      <c r="AO82" s="160"/>
      <c r="AP82" s="160"/>
      <c r="AQ82" s="160"/>
      <c r="AR82" s="13"/>
      <c r="AS82" s="161"/>
      <c r="AT82" s="161"/>
      <c r="AU82" s="160"/>
      <c r="AV82" s="161"/>
      <c r="AW82" s="161"/>
    </row>
    <row r="83" spans="1:49" ht="14.25" customHeight="1">
      <c r="B83" s="1"/>
      <c r="G83" s="2">
        <v>1</v>
      </c>
      <c r="J83" s="71">
        <f>SUM($G$17:G83)</f>
        <v>3</v>
      </c>
      <c r="K83" s="2" t="s">
        <v>175</v>
      </c>
      <c r="L83" s="7"/>
      <c r="M83" s="250">
        <f>IF(AC83&lt;&gt;"",1,0)</f>
        <v>0</v>
      </c>
      <c r="N83" s="11"/>
      <c r="O83" s="451" t="str">
        <f>CONCATENATE(J83,". ",K83)</f>
        <v>3. Das Coligadas:</v>
      </c>
      <c r="P83" s="451"/>
      <c r="Q83" s="451"/>
      <c r="R83" s="451"/>
      <c r="S83" s="451"/>
      <c r="T83" s="451"/>
      <c r="U83" s="451"/>
      <c r="V83" s="451"/>
      <c r="W83" s="451"/>
      <c r="X83" s="451"/>
      <c r="Y83" s="451"/>
      <c r="Z83" s="451"/>
      <c r="AA83" s="451"/>
      <c r="AB83" s="9"/>
      <c r="AC83" s="380"/>
      <c r="AD83" s="8"/>
      <c r="AE83" s="136" t="s">
        <v>389</v>
      </c>
      <c r="AF83" s="7"/>
      <c r="AG83" s="2"/>
      <c r="AJ83" s="13"/>
      <c r="AK83" s="13" t="str">
        <f>IF(AND(AE85="",AE87="",AC87="",AC85="",$AC$83=""),"X","")</f>
        <v>X</v>
      </c>
      <c r="AL83" s="75">
        <f>IF(OR(AE85&lt;&gt;"",AE87&lt;&gt;""),3,0)</f>
        <v>0</v>
      </c>
      <c r="AM83" s="13"/>
      <c r="AN83" s="188"/>
      <c r="AO83" s="75">
        <f ca="1">SUM($AN$21:OFFSET(AO83,-2,-1))</f>
        <v>28</v>
      </c>
      <c r="AP83" s="75"/>
      <c r="AQ83" s="75"/>
      <c r="AR83" s="13"/>
      <c r="AS83" s="14"/>
      <c r="AT83" s="14"/>
      <c r="AU83" s="75"/>
    </row>
    <row r="84" spans="1:49" ht="3" customHeight="1">
      <c r="B84" s="1"/>
      <c r="J84" s="72"/>
      <c r="L84" s="7"/>
      <c r="M84" s="250"/>
      <c r="N84" s="11"/>
      <c r="O84" s="34"/>
      <c r="P84" s="34"/>
      <c r="Q84" s="34"/>
      <c r="R84" s="34"/>
      <c r="S84" s="34"/>
      <c r="T84" s="34"/>
      <c r="U84" s="34"/>
      <c r="V84" s="34"/>
      <c r="W84" s="34"/>
      <c r="X84" s="34"/>
      <c r="Y84" s="34"/>
      <c r="Z84" s="34"/>
      <c r="AA84" s="34"/>
      <c r="AB84" s="9"/>
      <c r="AC84" s="10"/>
      <c r="AD84" s="8"/>
      <c r="AE84" s="11"/>
      <c r="AF84" s="7"/>
      <c r="AG84" s="25"/>
      <c r="AJ84" s="13"/>
      <c r="AK84" s="13"/>
      <c r="AL84" s="13"/>
      <c r="AM84" s="13"/>
      <c r="AN84" s="160"/>
      <c r="AO84" s="160"/>
      <c r="AP84" s="160"/>
      <c r="AQ84" s="160"/>
      <c r="AR84" s="13"/>
      <c r="AS84" s="161"/>
      <c r="AT84" s="161"/>
      <c r="AU84" s="160"/>
      <c r="AV84" s="161"/>
      <c r="AW84" s="161"/>
    </row>
    <row r="85" spans="1:49" ht="14.25" customHeight="1">
      <c r="B85" s="1"/>
      <c r="H85" s="2">
        <v>1</v>
      </c>
      <c r="J85" s="71" t="str">
        <f>CONCATENATE(SUM($G$17:G85),".",SUM($H$83:H85))</f>
        <v>3.1</v>
      </c>
      <c r="K85" s="2" t="s">
        <v>280</v>
      </c>
      <c r="L85" s="7"/>
      <c r="M85" s="250"/>
      <c r="N85" s="11"/>
      <c r="O85" s="384" t="str">
        <f>CONCATENATE(J85,". ",K85,$K$17)</f>
        <v>3.1. Levantamentos extra contábeis ou Balanço com DRE do último exercício e Balancete;------------------------------------------------------------------------------------------------------------------------------------------------------------------------</v>
      </c>
      <c r="P85" s="384"/>
      <c r="Q85" s="384"/>
      <c r="R85" s="384"/>
      <c r="S85" s="384"/>
      <c r="T85" s="384"/>
      <c r="U85" s="384"/>
      <c r="V85" s="384"/>
      <c r="W85" s="384"/>
      <c r="X85" s="384"/>
      <c r="Y85" s="384"/>
      <c r="Z85" s="384"/>
      <c r="AA85" s="384"/>
      <c r="AB85" s="384"/>
      <c r="AC85" s="384"/>
      <c r="AD85" s="8"/>
      <c r="AE85" s="379"/>
      <c r="AF85" s="7"/>
      <c r="AG85" s="80"/>
      <c r="AJ85" s="13">
        <v>1</v>
      </c>
      <c r="AK85" s="13" t="str">
        <f>IF(AND(AE85="",AC83=""),"X","")</f>
        <v>X</v>
      </c>
      <c r="AL85" s="13">
        <f>IF(AND(AC85&lt;&gt;"",AE85&lt;&gt;""),4,IF(AC85&lt;&gt;"",1,IF(AE85&lt;&gt;"",2,IF($AC$83&lt;&gt;"",3,0))))</f>
        <v>0</v>
      </c>
      <c r="AM85" s="13"/>
      <c r="AN85" s="188">
        <f t="shared" ref="AN85" si="81">IF(AND(AC85&lt;&gt;"",AE85&lt;&gt;""),1,IF(AL85&lt;&gt;0,0,1))</f>
        <v>1</v>
      </c>
      <c r="AO85" s="75">
        <f ca="1">SUM($AN$21:OFFSET(AO85,-2,-1))</f>
        <v>28</v>
      </c>
      <c r="AP85" s="75" t="str">
        <f t="shared" ref="AP85" ca="1" si="82">IF(AND(OFFSET(AP85,0,-18)="",AO85=0),AQ85,"XX")</f>
        <v>XX</v>
      </c>
      <c r="AQ85" s="75">
        <f>MAX($AE$21:AE83)</f>
        <v>0</v>
      </c>
      <c r="AR85" s="13">
        <f>IF(SUM(AE87:$AE$348)&gt;0,MIN(AE87:$AE$348),10000)</f>
        <v>10000</v>
      </c>
      <c r="AS85" s="14"/>
      <c r="AT85" s="14"/>
      <c r="AU85" s="75">
        <f t="shared" ref="AU85" si="83">IF(AND(AC85&lt;&gt;"",AE85&lt;&gt;""),4,0)</f>
        <v>0</v>
      </c>
      <c r="AV85" s="2" t="e">
        <f ca="1">IF(AND(AL85&lt;&gt;1,AL85&lt;&gt;3,AL85&lt;&gt;4),AP85+1,XX)</f>
        <v>#VALUE!</v>
      </c>
      <c r="AW85" s="2">
        <f>IF(AND(AL85&lt;&gt;1,AL85&lt;&gt;3,AL85&lt;&gt;4),AR85-1,XX)</f>
        <v>9999</v>
      </c>
    </row>
    <row r="86" spans="1:49" ht="3" customHeight="1">
      <c r="B86" s="1"/>
      <c r="H86" s="6"/>
      <c r="J86" s="72"/>
      <c r="L86" s="7"/>
      <c r="M86" s="250"/>
      <c r="N86" s="11"/>
      <c r="O86" s="34"/>
      <c r="P86" s="34"/>
      <c r="Q86" s="34"/>
      <c r="R86" s="34"/>
      <c r="S86" s="34"/>
      <c r="T86" s="34"/>
      <c r="U86" s="34"/>
      <c r="V86" s="34"/>
      <c r="W86" s="34"/>
      <c r="X86" s="34"/>
      <c r="Y86" s="34"/>
      <c r="Z86" s="34"/>
      <c r="AA86" s="34"/>
      <c r="AB86" s="9"/>
      <c r="AC86" s="10"/>
      <c r="AD86" s="8"/>
      <c r="AE86" s="11"/>
      <c r="AF86" s="7"/>
      <c r="AG86" s="1"/>
      <c r="AJ86" s="13"/>
      <c r="AK86" s="13"/>
      <c r="AL86" s="13"/>
      <c r="AM86" s="13"/>
      <c r="AN86" s="160"/>
      <c r="AO86" s="160"/>
      <c r="AP86" s="160"/>
      <c r="AQ86" s="160"/>
      <c r="AR86" s="13"/>
      <c r="AS86" s="161"/>
      <c r="AT86" s="161"/>
      <c r="AU86" s="160"/>
      <c r="AV86" s="161"/>
      <c r="AW86" s="161"/>
    </row>
    <row r="87" spans="1:49" ht="14.25" customHeight="1">
      <c r="B87" s="1"/>
      <c r="H87" s="2">
        <v>1</v>
      </c>
      <c r="J87" s="71" t="str">
        <f>CONCATENATE(SUM($G$17:G87),".",SUM($H$83:H87))</f>
        <v>3.2</v>
      </c>
      <c r="K87" s="2" t="s">
        <v>261</v>
      </c>
      <c r="L87" s="7"/>
      <c r="M87" s="250"/>
      <c r="N87" s="11"/>
      <c r="O87" s="384" t="str">
        <f>CONCATENATE(J87,". ",K87,$K$17)</f>
        <v>3.2. Ato constitutivo da sociedade e suas modificações;------------------------------------------------------------------------------------------------------------------------------------------------------------------------</v>
      </c>
      <c r="P87" s="384"/>
      <c r="Q87" s="384"/>
      <c r="R87" s="384"/>
      <c r="S87" s="384"/>
      <c r="T87" s="384"/>
      <c r="U87" s="384"/>
      <c r="V87" s="384"/>
      <c r="W87" s="384"/>
      <c r="X87" s="384"/>
      <c r="Y87" s="384"/>
      <c r="Z87" s="384"/>
      <c r="AA87" s="384"/>
      <c r="AB87" s="384"/>
      <c r="AC87" s="384"/>
      <c r="AD87" s="8"/>
      <c r="AE87" s="379"/>
      <c r="AF87" s="7"/>
      <c r="AG87" s="80"/>
      <c r="AJ87" s="13">
        <v>1</v>
      </c>
      <c r="AK87" s="13" t="str">
        <f>IF(AND(AE87="",AC83=""),"X","")</f>
        <v>X</v>
      </c>
      <c r="AL87" s="13">
        <f>IF(AND(AC87&lt;&gt;"",AE87&lt;&gt;""),4,IF(AC87&lt;&gt;"",1,IF(AE87&lt;&gt;"",2,IF($AC$83&lt;&gt;"",3,0))))</f>
        <v>0</v>
      </c>
      <c r="AM87" s="13"/>
      <c r="AN87" s="188">
        <f t="shared" ref="AN87" si="84">IF(AND(AC87&lt;&gt;"",AE87&lt;&gt;""),1,IF(AL87&lt;&gt;0,0,1))</f>
        <v>1</v>
      </c>
      <c r="AO87" s="75">
        <f ca="1">SUM($AN$21:OFFSET(AO87,-2,-1))</f>
        <v>29</v>
      </c>
      <c r="AP87" s="75" t="str">
        <f t="shared" ref="AP87" ca="1" si="85">IF(AND(OFFSET(AP87,0,-18)="",AO87=0),AQ87,"XX")</f>
        <v>XX</v>
      </c>
      <c r="AQ87" s="75">
        <f>MAX($AE$21:AE85)</f>
        <v>0</v>
      </c>
      <c r="AR87" s="13">
        <f>IF(SUM(AE89:$AE$348)&gt;0,MIN(AE89:$AE$348),10000)</f>
        <v>10000</v>
      </c>
      <c r="AS87" s="14"/>
      <c r="AT87" s="14"/>
      <c r="AU87" s="75">
        <f t="shared" ref="AU87" si="86">IF(AND(AC87&lt;&gt;"",AE87&lt;&gt;""),4,0)</f>
        <v>0</v>
      </c>
      <c r="AV87" s="2" t="e">
        <f ca="1">IF(AND(AL87&lt;&gt;1,AL87&lt;&gt;3,AL87&lt;&gt;4),AP87+1,XX)</f>
        <v>#VALUE!</v>
      </c>
      <c r="AW87" s="2">
        <f>IF(AND(AL87&lt;&gt;1,AL87&lt;&gt;3,AL87&lt;&gt;4),AR87-1,XX)</f>
        <v>9999</v>
      </c>
    </row>
    <row r="88" spans="1:49" ht="3" customHeight="1">
      <c r="B88" s="1"/>
      <c r="J88" s="70"/>
      <c r="L88" s="7"/>
      <c r="M88" s="250"/>
      <c r="N88" s="11"/>
      <c r="O88" s="36"/>
      <c r="P88" s="36"/>
      <c r="Q88" s="37"/>
      <c r="R88" s="37"/>
      <c r="S88" s="37"/>
      <c r="T88" s="37"/>
      <c r="U88" s="37"/>
      <c r="V88" s="37"/>
      <c r="W88" s="37"/>
      <c r="X88" s="37"/>
      <c r="Y88" s="37"/>
      <c r="Z88" s="37"/>
      <c r="AA88" s="37"/>
      <c r="AB88" s="12"/>
      <c r="AC88" s="16"/>
      <c r="AD88" s="8"/>
      <c r="AE88" s="11"/>
      <c r="AF88" s="7"/>
      <c r="AG88" s="1"/>
      <c r="AJ88" s="13"/>
      <c r="AK88" s="13"/>
      <c r="AL88" s="13"/>
      <c r="AM88" s="13"/>
      <c r="AN88" s="160"/>
      <c r="AO88" s="160"/>
      <c r="AP88" s="160"/>
      <c r="AQ88" s="160"/>
      <c r="AR88" s="13"/>
      <c r="AS88" s="161"/>
      <c r="AT88" s="161"/>
      <c r="AU88" s="160"/>
      <c r="AV88" s="161"/>
      <c r="AW88" s="161"/>
    </row>
    <row r="89" spans="1:49" ht="14.25" customHeight="1">
      <c r="B89" s="1"/>
      <c r="G89" s="2">
        <v>1</v>
      </c>
      <c r="J89" s="71">
        <f>SUM($G$17:G89)</f>
        <v>4</v>
      </c>
      <c r="K89" s="2" t="s">
        <v>212</v>
      </c>
      <c r="L89" s="7"/>
      <c r="M89" s="250">
        <f>IF(AC89&lt;&gt;"",1,0)</f>
        <v>0</v>
      </c>
      <c r="N89" s="11"/>
      <c r="O89" s="451" t="str">
        <f>CONCATENATE(J89,". ",K89)</f>
        <v>4. Dos Sócios/avalistas/dirigentes:</v>
      </c>
      <c r="P89" s="451"/>
      <c r="Q89" s="451"/>
      <c r="R89" s="451"/>
      <c r="S89" s="451"/>
      <c r="T89" s="451"/>
      <c r="U89" s="451"/>
      <c r="V89" s="451"/>
      <c r="W89" s="451"/>
      <c r="X89" s="451"/>
      <c r="Y89" s="451"/>
      <c r="Z89" s="451"/>
      <c r="AA89" s="451"/>
      <c r="AB89" s="63"/>
      <c r="AC89" s="64"/>
      <c r="AD89" s="8"/>
      <c r="AE89" s="136" t="s">
        <v>389</v>
      </c>
      <c r="AF89" s="7"/>
      <c r="AG89" s="2"/>
      <c r="AJ89" s="13"/>
      <c r="AK89" s="13"/>
      <c r="AL89" s="13"/>
      <c r="AM89" s="13"/>
      <c r="AN89" s="188"/>
      <c r="AO89" s="75">
        <f ca="1">SUM($AN$21:OFFSET(AO89,-2,-1))</f>
        <v>30</v>
      </c>
      <c r="AP89" s="75"/>
      <c r="AQ89" s="75"/>
      <c r="AR89" s="13"/>
      <c r="AS89" s="14"/>
      <c r="AT89" s="14"/>
      <c r="AU89" s="75"/>
    </row>
    <row r="90" spans="1:49" s="6" customFormat="1" ht="3" customHeight="1">
      <c r="A90" s="1"/>
      <c r="B90" s="1"/>
      <c r="I90" s="2"/>
      <c r="J90" s="70"/>
      <c r="L90" s="28"/>
      <c r="M90" s="251"/>
      <c r="N90" s="28"/>
      <c r="O90" s="34"/>
      <c r="P90" s="34"/>
      <c r="Q90" s="39"/>
      <c r="R90" s="39"/>
      <c r="S90" s="39"/>
      <c r="T90" s="39"/>
      <c r="U90" s="39"/>
      <c r="V90" s="39"/>
      <c r="W90" s="39"/>
      <c r="X90" s="39"/>
      <c r="Y90" s="39"/>
      <c r="Z90" s="39"/>
      <c r="AA90" s="39"/>
      <c r="AB90" s="12"/>
      <c r="AC90" s="10"/>
      <c r="AD90" s="8"/>
      <c r="AE90" s="11"/>
      <c r="AF90" s="28"/>
      <c r="AG90" s="2"/>
      <c r="AJ90" s="13"/>
      <c r="AK90" s="13"/>
      <c r="AL90" s="56"/>
      <c r="AM90" s="13"/>
      <c r="AN90" s="160"/>
      <c r="AO90" s="160"/>
      <c r="AP90" s="160"/>
      <c r="AQ90" s="160"/>
      <c r="AR90" s="13"/>
      <c r="AS90" s="161"/>
      <c r="AT90" s="161"/>
      <c r="AU90" s="160"/>
      <c r="AV90" s="161"/>
      <c r="AW90" s="161"/>
    </row>
    <row r="91" spans="1:49" ht="14.25" customHeight="1">
      <c r="B91" s="1"/>
      <c r="H91" s="2">
        <v>1</v>
      </c>
      <c r="J91" s="71" t="str">
        <f>CONCATENATE(SUM($G$17:G91),".",SUM($H$89:H91))</f>
        <v>4.1</v>
      </c>
      <c r="K91" s="2" t="s">
        <v>225</v>
      </c>
      <c r="L91" s="7"/>
      <c r="M91" s="250"/>
      <c r="N91" s="11"/>
      <c r="O91" s="385" t="str">
        <f>CONCATENATE(J91,". ",K91,$K$17)</f>
        <v>4.1. Instrumento de mandato/procurações; (quando proponente/sócios/avalistas forem representados)------------------------------------------------------------------------------------------------------------------------------------------------------------------------</v>
      </c>
      <c r="P91" s="385"/>
      <c r="Q91" s="385"/>
      <c r="R91" s="385"/>
      <c r="S91" s="385"/>
      <c r="T91" s="385"/>
      <c r="U91" s="385"/>
      <c r="V91" s="385"/>
      <c r="W91" s="385"/>
      <c r="X91" s="385"/>
      <c r="Y91" s="385"/>
      <c r="Z91" s="385"/>
      <c r="AA91" s="385"/>
      <c r="AB91" s="9"/>
      <c r="AC91" s="380"/>
      <c r="AD91" s="8"/>
      <c r="AE91" s="379"/>
      <c r="AF91" s="7"/>
      <c r="AG91" s="80"/>
      <c r="AJ91" s="13">
        <v>1</v>
      </c>
      <c r="AK91" s="13" t="str">
        <f>IF(AND(AE91="",AC91=""),"X","")</f>
        <v>X</v>
      </c>
      <c r="AL91" s="13">
        <f>IF(AND(AC91&lt;&gt;"",AE91&lt;&gt;""),4,IF(AC91="X",1,IF(AE91&lt;&gt;"",2,0)))</f>
        <v>0</v>
      </c>
      <c r="AM91" s="13"/>
      <c r="AN91" s="188">
        <f t="shared" ref="AN91" si="87">IF(AND(AC91&lt;&gt;"",AE91&lt;&gt;""),1,IF(AL91&lt;&gt;0,0,1))</f>
        <v>1</v>
      </c>
      <c r="AO91" s="75">
        <f ca="1">SUM($AN$21:OFFSET(AO91,-2,-1))</f>
        <v>30</v>
      </c>
      <c r="AP91" s="75" t="str">
        <f t="shared" ref="AP91" ca="1" si="88">IF(AND(OFFSET(AP91,0,-18)="",AO91=0),AQ91,"XX")</f>
        <v>XX</v>
      </c>
      <c r="AQ91" s="75">
        <f>MAX($AE$21:AE89)</f>
        <v>0</v>
      </c>
      <c r="AR91" s="13">
        <f>IF(SUM(AE93:$AE$348)&gt;0,MIN(AE93:$AE$348),10000)</f>
        <v>10000</v>
      </c>
      <c r="AS91" s="14"/>
      <c r="AT91" s="14"/>
      <c r="AU91" s="75">
        <f t="shared" ref="AU91" si="89">IF(AND(AC91&lt;&gt;"",AE91&lt;&gt;""),4,0)</f>
        <v>0</v>
      </c>
      <c r="AV91" s="2" t="e">
        <f ca="1">IF(AND(AL91&lt;&gt;1,AL91&lt;&gt;3,AL91&lt;&gt;4),AP91+1,XX)</f>
        <v>#VALUE!</v>
      </c>
      <c r="AW91" s="2">
        <f>IF(AND(AL91&lt;&gt;1,AL91&lt;&gt;3,AL91&lt;&gt;4),AR91-1,XX)</f>
        <v>9999</v>
      </c>
    </row>
    <row r="92" spans="1:49" ht="3" customHeight="1">
      <c r="B92" s="1"/>
      <c r="J92" s="74"/>
      <c r="L92" s="7"/>
      <c r="M92" s="250"/>
      <c r="N92" s="11"/>
      <c r="O92" s="129"/>
      <c r="P92" s="129"/>
      <c r="Q92" s="129"/>
      <c r="R92" s="129"/>
      <c r="S92" s="129"/>
      <c r="T92" s="129"/>
      <c r="U92" s="129"/>
      <c r="V92" s="129"/>
      <c r="W92" s="129"/>
      <c r="X92" s="129"/>
      <c r="Y92" s="129"/>
      <c r="Z92" s="129"/>
      <c r="AA92" s="129"/>
      <c r="AB92" s="29"/>
      <c r="AC92" s="29"/>
      <c r="AD92" s="29"/>
      <c r="AE92" s="29"/>
      <c r="AF92" s="7"/>
      <c r="AG92" s="2"/>
      <c r="AJ92" s="13"/>
      <c r="AK92" s="13"/>
      <c r="AL92" s="13"/>
      <c r="AM92" s="13"/>
      <c r="AN92" s="160"/>
      <c r="AO92" s="160"/>
      <c r="AP92" s="160"/>
      <c r="AQ92" s="160"/>
      <c r="AR92" s="13"/>
      <c r="AS92" s="161"/>
      <c r="AT92" s="161"/>
      <c r="AU92" s="160"/>
      <c r="AV92" s="161"/>
      <c r="AW92" s="161"/>
    </row>
    <row r="93" spans="1:49" ht="14.25" customHeight="1">
      <c r="B93" s="1"/>
      <c r="H93" s="2">
        <v>1</v>
      </c>
      <c r="J93" s="71" t="str">
        <f>CONCATENATE(SUM($G$17:G93),".",SUM($H$89:H93))</f>
        <v>4.2</v>
      </c>
      <c r="K93" s="2" t="s">
        <v>58</v>
      </c>
      <c r="L93" s="7"/>
      <c r="M93" s="250"/>
      <c r="N93" s="11"/>
      <c r="O93" s="433" t="str">
        <f>CONCATENATE(J93,". ",K93,$K$17)</f>
        <v>4.2. Relação Patrimonial com estimativa de valores e/ou IRPF; (dos Avalistas)------------------------------------------------------------------------------------------------------------------------------------------------------------------------</v>
      </c>
      <c r="P93" s="433"/>
      <c r="Q93" s="433"/>
      <c r="R93" s="433"/>
      <c r="S93" s="433"/>
      <c r="T93" s="433"/>
      <c r="U93" s="433"/>
      <c r="V93" s="433"/>
      <c r="W93" s="433"/>
      <c r="X93" s="433"/>
      <c r="Y93" s="433"/>
      <c r="Z93" s="433"/>
      <c r="AA93" s="433"/>
      <c r="AB93" s="433"/>
      <c r="AC93" s="433"/>
      <c r="AD93" s="8"/>
      <c r="AE93" s="379"/>
      <c r="AF93" s="7"/>
      <c r="AG93" s="80"/>
      <c r="AJ93" s="13">
        <v>1</v>
      </c>
      <c r="AK93" s="13"/>
      <c r="AL93" s="13">
        <f>IF(AND(AC93&lt;&gt;"",AE93&lt;&gt;""),4,IF(AC93&lt;&gt;"",1,IF(AE93&lt;&gt;"",2,0)))</f>
        <v>0</v>
      </c>
      <c r="AM93" s="13"/>
      <c r="AN93" s="188">
        <f t="shared" ref="AN93" si="90">IF(AND(AC93&lt;&gt;"",AE93&lt;&gt;""),1,IF(AL93&lt;&gt;0,0,1))</f>
        <v>1</v>
      </c>
      <c r="AO93" s="75">
        <f ca="1">SUM($AN$21:OFFSET(AO93,-2,-1))</f>
        <v>31</v>
      </c>
      <c r="AP93" s="75" t="str">
        <f t="shared" ref="AP93" ca="1" si="91">IF(AND(OFFSET(AP93,0,-18)="",AO93=0),AQ93,"XX")</f>
        <v>XX</v>
      </c>
      <c r="AQ93" s="75">
        <f>MAX($AE$21:AE91)</f>
        <v>0</v>
      </c>
      <c r="AR93" s="13">
        <f>IF(SUM(AE95:$AE$348)&gt;0,MIN(AE95:$AE$348),10000)</f>
        <v>10000</v>
      </c>
      <c r="AS93" s="14"/>
      <c r="AT93" s="14"/>
      <c r="AU93" s="75">
        <f t="shared" ref="AU93" si="92">IF(AND(AC93&lt;&gt;"",AE93&lt;&gt;""),4,0)</f>
        <v>0</v>
      </c>
      <c r="AV93" s="2" t="e">
        <f ca="1">IF(AND(AL93&lt;&gt;1,AL93&lt;&gt;3,AL93&lt;&gt;4),AP93+1,XX)</f>
        <v>#VALUE!</v>
      </c>
      <c r="AW93" s="2">
        <f>IF(AND(AL93&lt;&gt;1,AL93&lt;&gt;3,AL93&lt;&gt;4),AR93-1,XX)</f>
        <v>9999</v>
      </c>
    </row>
    <row r="94" spans="1:49" ht="3" customHeight="1">
      <c r="B94" s="1"/>
      <c r="H94" s="6"/>
      <c r="J94" s="74"/>
      <c r="L94" s="7"/>
      <c r="M94" s="250"/>
      <c r="N94" s="11"/>
      <c r="O94" s="131"/>
      <c r="P94" s="131"/>
      <c r="Q94" s="131"/>
      <c r="R94" s="131"/>
      <c r="S94" s="131"/>
      <c r="T94" s="131"/>
      <c r="U94" s="131"/>
      <c r="V94" s="131"/>
      <c r="W94" s="131"/>
      <c r="X94" s="131"/>
      <c r="Y94" s="131"/>
      <c r="Z94" s="131"/>
      <c r="AA94" s="131"/>
      <c r="AB94" s="33"/>
      <c r="AC94" s="33"/>
      <c r="AD94" s="29"/>
      <c r="AE94" s="29"/>
      <c r="AF94" s="7"/>
      <c r="AG94" s="1"/>
      <c r="AJ94" s="13"/>
      <c r="AK94" s="13"/>
      <c r="AL94" s="13"/>
      <c r="AM94" s="13"/>
      <c r="AN94" s="160"/>
      <c r="AO94" s="160"/>
      <c r="AP94" s="160"/>
      <c r="AQ94" s="160"/>
      <c r="AR94" s="13"/>
      <c r="AS94" s="161"/>
      <c r="AT94" s="161"/>
      <c r="AU94" s="160"/>
      <c r="AV94" s="161"/>
      <c r="AW94" s="161"/>
    </row>
    <row r="95" spans="1:49" ht="14.25" customHeight="1">
      <c r="B95" s="1"/>
      <c r="H95" s="2">
        <v>1</v>
      </c>
      <c r="J95" s="71" t="str">
        <f>CONCATENATE(SUM($G$17:G95),".",SUM($H$89:H95))</f>
        <v>4.3</v>
      </c>
      <c r="K95" s="2" t="s">
        <v>176</v>
      </c>
      <c r="L95" s="7"/>
      <c r="M95" s="250"/>
      <c r="N95" s="11"/>
      <c r="O95" s="433" t="str">
        <f>CONCATENATE(J95,". ",K95,$K$17)</f>
        <v>4.3. Formação e experiência profissional dos sócios dirigentes;------------------------------------------------------------------------------------------------------------------------------------------------------------------------</v>
      </c>
      <c r="P95" s="433"/>
      <c r="Q95" s="433"/>
      <c r="R95" s="433"/>
      <c r="S95" s="433"/>
      <c r="T95" s="433"/>
      <c r="U95" s="433"/>
      <c r="V95" s="433"/>
      <c r="W95" s="433"/>
      <c r="X95" s="433"/>
      <c r="Y95" s="433"/>
      <c r="Z95" s="433"/>
      <c r="AA95" s="433"/>
      <c r="AB95" s="433"/>
      <c r="AC95" s="433"/>
      <c r="AD95" s="8"/>
      <c r="AE95" s="379"/>
      <c r="AF95" s="7"/>
      <c r="AG95" s="80"/>
      <c r="AJ95" s="13">
        <v>1</v>
      </c>
      <c r="AK95" s="13"/>
      <c r="AL95" s="13">
        <f>IF(AND(AC95&lt;&gt;"",AE95&lt;&gt;""),4,IF(AC95&lt;&gt;"",1,IF(AE95&lt;&gt;"",2,0)))</f>
        <v>0</v>
      </c>
      <c r="AM95" s="13"/>
      <c r="AN95" s="188">
        <f>IF(AND(AC95&lt;&gt;"",AE95&lt;&gt;""),1,IF(AL95&lt;&gt;0,0,1))</f>
        <v>1</v>
      </c>
      <c r="AO95" s="75">
        <f ca="1">SUM($AN$21:OFFSET(AO95,-2,-1))</f>
        <v>32</v>
      </c>
      <c r="AP95" s="75" t="str">
        <f t="shared" ref="AP95" ca="1" si="93">IF(AND(OFFSET(AP95,0,-18)="",AO95=0),AQ95,"XX")</f>
        <v>XX</v>
      </c>
      <c r="AQ95" s="75">
        <f>MAX($AE$21:AE93)</f>
        <v>0</v>
      </c>
      <c r="AR95" s="13">
        <f>IF(SUM(AE97:$AE$348)&gt;0,MIN(AE97:$AE$348),10000)</f>
        <v>10000</v>
      </c>
      <c r="AS95" s="14"/>
      <c r="AT95" s="14"/>
      <c r="AU95" s="75">
        <f t="shared" ref="AU95" si="94">IF(AND(AC95&lt;&gt;"",AE95&lt;&gt;""),4,0)</f>
        <v>0</v>
      </c>
      <c r="AV95" s="2" t="e">
        <f ca="1">IF(AND(AL95&lt;&gt;1,AL95&lt;&gt;3,AL95&lt;&gt;4),AP95+1,XX)</f>
        <v>#VALUE!</v>
      </c>
      <c r="AW95" s="2">
        <f>IF(AND(AL95&lt;&gt;1,AL95&lt;&gt;3,AL95&lt;&gt;4),AR95-1,XX)</f>
        <v>9999</v>
      </c>
    </row>
    <row r="96" spans="1:49" ht="3" customHeight="1">
      <c r="A96" s="123"/>
      <c r="B96" s="123"/>
      <c r="C96" s="123"/>
      <c r="D96" s="123"/>
      <c r="E96" s="123"/>
      <c r="F96" s="123"/>
      <c r="G96" s="123"/>
      <c r="J96" s="157"/>
      <c r="L96" s="7"/>
      <c r="M96" s="250"/>
      <c r="N96" s="2"/>
      <c r="O96" s="173"/>
      <c r="P96" s="173"/>
      <c r="Q96" s="173"/>
      <c r="R96" s="173"/>
      <c r="S96" s="173"/>
      <c r="T96" s="173"/>
      <c r="U96" s="173"/>
      <c r="V96" s="173"/>
      <c r="W96" s="173"/>
      <c r="X96" s="173"/>
      <c r="Y96" s="173"/>
      <c r="Z96" s="173"/>
      <c r="AA96" s="173"/>
      <c r="AB96" s="33"/>
      <c r="AC96" s="174"/>
      <c r="AD96" s="159"/>
      <c r="AE96" s="159"/>
      <c r="AF96" s="7"/>
      <c r="AG96" s="123"/>
      <c r="AJ96" s="160"/>
      <c r="AK96" s="160"/>
      <c r="AL96" s="160"/>
      <c r="AM96" s="13"/>
      <c r="AN96" s="160"/>
      <c r="AO96" s="160"/>
      <c r="AP96" s="160"/>
      <c r="AQ96" s="160"/>
      <c r="AR96" s="13"/>
      <c r="AS96" s="161"/>
      <c r="AT96" s="161"/>
      <c r="AU96" s="160"/>
      <c r="AV96" s="161"/>
      <c r="AW96" s="161"/>
    </row>
    <row r="97" spans="1:49" ht="14.25" customHeight="1">
      <c r="A97" s="123"/>
      <c r="B97" s="123"/>
      <c r="C97" s="123"/>
      <c r="D97" s="123"/>
      <c r="E97" s="123"/>
      <c r="F97" s="123"/>
      <c r="G97" s="123"/>
      <c r="H97" s="2">
        <f>IF($M$6=0,1,0)</f>
        <v>1</v>
      </c>
      <c r="J97" s="256" t="str">
        <f>CONCATENATE(SUM($G$17:G97),".",SUM($H$89:H97))</f>
        <v>4.4</v>
      </c>
      <c r="K97" s="2" t="s">
        <v>407</v>
      </c>
      <c r="L97" s="7"/>
      <c r="M97" s="250"/>
      <c r="N97" s="2"/>
      <c r="O97" s="433" t="str">
        <f>CONCATENATE(J97,". ",K97,$K$17)</f>
        <v>4.4. Curriculum Vitae - dos dirigentes;------------------------------------------------------------------------------------------------------------------------------------------------------------------------</v>
      </c>
      <c r="P97" s="433"/>
      <c r="Q97" s="433"/>
      <c r="R97" s="433"/>
      <c r="S97" s="433"/>
      <c r="T97" s="433"/>
      <c r="U97" s="433"/>
      <c r="V97" s="433"/>
      <c r="W97" s="433"/>
      <c r="X97" s="433"/>
      <c r="Y97" s="433"/>
      <c r="Z97" s="433"/>
      <c r="AA97" s="433"/>
      <c r="AB97" s="433"/>
      <c r="AC97" s="433"/>
      <c r="AD97" s="162"/>
      <c r="AE97" s="379"/>
      <c r="AF97" s="7"/>
      <c r="AG97" s="80"/>
      <c r="AJ97" s="160">
        <f>IF($M$6=0,1,0)</f>
        <v>1</v>
      </c>
      <c r="AK97" s="160"/>
      <c r="AL97" s="160">
        <f>IF(AND(AC97&lt;&gt;"",AE97&lt;&gt;""),4,IF(AC97&lt;&gt;"",1,IF(AE97&lt;&gt;"",2,IF(M6=1,3,0))))</f>
        <v>0</v>
      </c>
      <c r="AM97" s="13"/>
      <c r="AN97" s="188">
        <f>IF(AND(AC97&lt;&gt;"",AE97&lt;&gt;""),1,IF(AL97&lt;&gt;0,0,1))</f>
        <v>1</v>
      </c>
      <c r="AO97" s="75">
        <f ca="1">SUM($AN$21:OFFSET(AO97,-2,-1))</f>
        <v>33</v>
      </c>
      <c r="AP97" s="75" t="str">
        <f t="shared" ref="AP97" ca="1" si="95">IF(AND(OFFSET(AP97,0,-18)="",AO97=0),AQ97,"XX")</f>
        <v>XX</v>
      </c>
      <c r="AQ97" s="75">
        <f>MAX($AE$21:AE95)</f>
        <v>0</v>
      </c>
      <c r="AR97" s="13">
        <f>IF(SUM(AE99:$AE$348)&gt;0,MIN(AE99:$AE$348),10000)</f>
        <v>10000</v>
      </c>
      <c r="AS97" s="14"/>
      <c r="AT97" s="14"/>
      <c r="AU97" s="75">
        <f t="shared" ref="AU97" si="96">IF(AND(AC97&lt;&gt;"",AE97&lt;&gt;""),4,0)</f>
        <v>0</v>
      </c>
      <c r="AV97" s="2" t="e">
        <f ca="1">IF(AND(AL97&lt;&gt;1,AL97&lt;&gt;3,AL97&lt;&gt;4),AP97+1,XX)</f>
        <v>#VALUE!</v>
      </c>
      <c r="AW97" s="2">
        <f>IF(AND(AL97&lt;&gt;1,AL97&lt;&gt;3,AL97&lt;&gt;4),AR97-1,XX)</f>
        <v>9999</v>
      </c>
    </row>
    <row r="98" spans="1:49" ht="3" customHeight="1">
      <c r="B98" s="1"/>
      <c r="H98" s="6"/>
      <c r="J98" s="157"/>
      <c r="L98" s="7"/>
      <c r="M98" s="250"/>
      <c r="N98" s="11"/>
      <c r="O98" s="131"/>
      <c r="P98" s="131"/>
      <c r="Q98" s="131"/>
      <c r="R98" s="131"/>
      <c r="S98" s="131"/>
      <c r="T98" s="131"/>
      <c r="U98" s="131"/>
      <c r="V98" s="131"/>
      <c r="W98" s="131"/>
      <c r="X98" s="131"/>
      <c r="Y98" s="131"/>
      <c r="Z98" s="131"/>
      <c r="AA98" s="131"/>
      <c r="AB98" s="33"/>
      <c r="AC98" s="33"/>
      <c r="AD98" s="29"/>
      <c r="AE98" s="29"/>
      <c r="AF98" s="7"/>
      <c r="AG98" s="1"/>
      <c r="AJ98" s="13"/>
      <c r="AK98" s="13"/>
      <c r="AL98" s="13"/>
      <c r="AM98" s="13"/>
      <c r="AN98" s="160"/>
      <c r="AO98" s="160"/>
      <c r="AP98" s="160"/>
      <c r="AQ98" s="160"/>
      <c r="AR98" s="13"/>
      <c r="AS98" s="161"/>
      <c r="AT98" s="161"/>
      <c r="AU98" s="160"/>
      <c r="AV98" s="161"/>
      <c r="AW98" s="161"/>
    </row>
    <row r="99" spans="1:49" ht="14.25" customHeight="1">
      <c r="B99" s="1"/>
      <c r="H99" s="2">
        <v>1</v>
      </c>
      <c r="J99" s="71" t="str">
        <f>CONCATENATE(SUM($G$17:G99),".",SUM($H$89:H99))</f>
        <v>4.5</v>
      </c>
      <c r="K99" s="2" t="s">
        <v>281</v>
      </c>
      <c r="L99" s="7"/>
      <c r="M99" s="250"/>
      <c r="N99" s="11"/>
      <c r="O99" s="433" t="str">
        <f>CONCATENATE(J99,". ",K99,$K$17)</f>
        <v>4.5. Declaração dos sócios administradores quanto a não se encontrar na condição de Servidor Público Federal;------------------------------------------------------------------------------------------------------------------------------------------------------------------------</v>
      </c>
      <c r="P99" s="433"/>
      <c r="Q99" s="433"/>
      <c r="R99" s="433"/>
      <c r="S99" s="433"/>
      <c r="T99" s="433"/>
      <c r="U99" s="433"/>
      <c r="V99" s="433"/>
      <c r="W99" s="433"/>
      <c r="X99" s="433"/>
      <c r="Y99" s="433"/>
      <c r="Z99" s="433"/>
      <c r="AA99" s="433"/>
      <c r="AC99" s="380"/>
      <c r="AD99" s="8"/>
      <c r="AE99" s="379"/>
      <c r="AF99" s="7"/>
      <c r="AG99" s="80"/>
      <c r="AJ99" s="13">
        <v>1</v>
      </c>
      <c r="AK99" s="13" t="str">
        <f>IF(AND(AE99="",AC99=""),"X","")</f>
        <v>X</v>
      </c>
      <c r="AL99" s="13">
        <f>IF(AND(AC99&lt;&gt;"",AE99&lt;&gt;""),4,IF(AC99&lt;&gt;"",1,IF(AE99&lt;&gt;"",2,0)))</f>
        <v>0</v>
      </c>
      <c r="AM99" s="13"/>
      <c r="AN99" s="188">
        <f t="shared" ref="AN99" si="97">IF(AND(AC99&lt;&gt;"",AE99&lt;&gt;""),1,IF(AL99&lt;&gt;0,0,1))</f>
        <v>1</v>
      </c>
      <c r="AO99" s="75">
        <f ca="1">SUM($AN$21:OFFSET(AO99,-2,-1))</f>
        <v>34</v>
      </c>
      <c r="AP99" s="75" t="str">
        <f t="shared" ref="AP99" ca="1" si="98">IF(AND(OFFSET(AP99,0,-18)="",AO99=0),AQ99,"XX")</f>
        <v>XX</v>
      </c>
      <c r="AQ99" s="75">
        <f>MAX($AE$21:AE97)</f>
        <v>0</v>
      </c>
      <c r="AR99" s="13">
        <f>IF(SUM(AE101:$AE$348)&gt;0,MIN(AE101:$AE$348),10000)</f>
        <v>10000</v>
      </c>
      <c r="AS99" s="14"/>
      <c r="AT99" s="14"/>
      <c r="AU99" s="75">
        <f t="shared" ref="AU99" si="99">IF(AND(AC99&lt;&gt;"",AE99&lt;&gt;""),4,0)</f>
        <v>0</v>
      </c>
      <c r="AV99" s="2" t="e">
        <f ca="1">IF(AND(AL99&lt;&gt;1,AL99&lt;&gt;3,AL99&lt;&gt;4),AP99+1,XX)</f>
        <v>#VALUE!</v>
      </c>
      <c r="AW99" s="2">
        <f>IF(AND(AL99&lt;&gt;1,AL99&lt;&gt;3,AL99&lt;&gt;4),AR99-1,XX)</f>
        <v>9999</v>
      </c>
    </row>
    <row r="100" spans="1:49" ht="3" customHeight="1">
      <c r="A100" s="78"/>
      <c r="B100" s="1"/>
      <c r="H100" s="6"/>
      <c r="I100" s="6"/>
      <c r="J100" s="74"/>
      <c r="L100" s="7"/>
      <c r="M100" s="250"/>
      <c r="N100" s="11"/>
      <c r="O100" s="131"/>
      <c r="P100" s="131"/>
      <c r="Q100" s="131"/>
      <c r="R100" s="131"/>
      <c r="S100" s="131"/>
      <c r="T100" s="131"/>
      <c r="U100" s="131"/>
      <c r="V100" s="131"/>
      <c r="W100" s="131"/>
      <c r="X100" s="131"/>
      <c r="Y100" s="131"/>
      <c r="Z100" s="131"/>
      <c r="AA100" s="131"/>
      <c r="AB100" s="29"/>
      <c r="AC100" s="29"/>
      <c r="AD100" s="29"/>
      <c r="AE100" s="29"/>
      <c r="AF100" s="7"/>
      <c r="AG100" s="1"/>
      <c r="AJ100" s="13"/>
      <c r="AK100" s="13"/>
      <c r="AL100" s="13"/>
      <c r="AM100" s="13"/>
      <c r="AN100" s="160"/>
      <c r="AO100" s="160"/>
      <c r="AP100" s="160"/>
      <c r="AQ100" s="160"/>
      <c r="AR100" s="13"/>
      <c r="AS100" s="161"/>
      <c r="AT100" s="161"/>
      <c r="AU100" s="160"/>
      <c r="AV100" s="161"/>
      <c r="AW100" s="161"/>
    </row>
    <row r="101" spans="1:49" ht="14.25" customHeight="1">
      <c r="A101" s="2"/>
      <c r="B101" s="1"/>
      <c r="G101" s="2">
        <v>1</v>
      </c>
      <c r="J101" s="71">
        <f>SUM($G$17:G101)</f>
        <v>5</v>
      </c>
      <c r="K101" s="2" t="s">
        <v>35</v>
      </c>
      <c r="L101" s="7"/>
      <c r="M101" s="250">
        <f>IF(AC101&lt;&gt;"",1,0)</f>
        <v>0</v>
      </c>
      <c r="N101" s="11"/>
      <c r="O101" s="451" t="str">
        <f>CONCATENATE(J101,". ",K101)</f>
        <v>5. Se proposta de financiamento contemplar aquisição de máquinas, equipamentos, móveis e/ou veículos:</v>
      </c>
      <c r="P101" s="451"/>
      <c r="Q101" s="451"/>
      <c r="R101" s="451"/>
      <c r="S101" s="451"/>
      <c r="T101" s="451"/>
      <c r="U101" s="451"/>
      <c r="V101" s="451"/>
      <c r="W101" s="451"/>
      <c r="X101" s="451"/>
      <c r="Y101" s="451"/>
      <c r="Z101" s="451"/>
      <c r="AA101" s="451"/>
      <c r="AB101" s="9"/>
      <c r="AC101" s="380"/>
      <c r="AD101" s="8"/>
      <c r="AE101" s="136" t="s">
        <v>389</v>
      </c>
      <c r="AF101" s="7"/>
      <c r="AG101" s="2"/>
      <c r="AJ101" s="13"/>
      <c r="AK101" s="13" t="str">
        <f>IF(AND(AE103="",AE105="",AE107="",AC107="",$AC$101=""),"X","")</f>
        <v>X</v>
      </c>
      <c r="AL101" s="75">
        <f>IF(OR(AE103&lt;&gt;"",AE105&lt;&gt;"",AE107&lt;&gt;"",AC107&lt;&gt;""),3,0)</f>
        <v>0</v>
      </c>
      <c r="AM101" s="13"/>
      <c r="AN101" s="188"/>
      <c r="AO101" s="75">
        <f ca="1">SUM($AN$21:OFFSET(AO101,-2,-1))</f>
        <v>35</v>
      </c>
      <c r="AP101" s="75"/>
      <c r="AQ101" s="75"/>
      <c r="AR101" s="13"/>
      <c r="AS101" s="14"/>
      <c r="AT101" s="14"/>
      <c r="AU101" s="75"/>
    </row>
    <row r="102" spans="1:49" ht="3" customHeight="1">
      <c r="B102" s="1"/>
      <c r="I102" s="6"/>
      <c r="J102" s="72"/>
      <c r="L102" s="7"/>
      <c r="M102" s="250"/>
      <c r="N102" s="11"/>
      <c r="O102" s="36"/>
      <c r="P102" s="36"/>
      <c r="Q102" s="36"/>
      <c r="R102" s="36"/>
      <c r="S102" s="36"/>
      <c r="T102" s="36"/>
      <c r="U102" s="36"/>
      <c r="V102" s="36"/>
      <c r="W102" s="36"/>
      <c r="X102" s="36"/>
      <c r="Y102" s="36"/>
      <c r="Z102" s="36"/>
      <c r="AA102" s="36"/>
      <c r="AB102" s="9"/>
      <c r="AC102" s="10"/>
      <c r="AD102" s="8"/>
      <c r="AE102" s="11"/>
      <c r="AF102" s="7"/>
      <c r="AG102" s="1"/>
      <c r="AJ102" s="13"/>
      <c r="AK102" s="13"/>
      <c r="AL102" s="13"/>
      <c r="AM102" s="13"/>
      <c r="AN102" s="160"/>
      <c r="AO102" s="160"/>
      <c r="AP102" s="160"/>
      <c r="AQ102" s="160"/>
      <c r="AR102" s="13"/>
      <c r="AS102" s="161"/>
      <c r="AT102" s="161"/>
      <c r="AU102" s="160"/>
      <c r="AV102" s="161"/>
      <c r="AW102" s="161"/>
    </row>
    <row r="103" spans="1:49" ht="14.25" customHeight="1">
      <c r="B103" s="1"/>
      <c r="H103" s="2">
        <v>1</v>
      </c>
      <c r="J103" s="71" t="str">
        <f>CONCATENATE(SUM($G$17:G103),".",SUM($H$101:H103))</f>
        <v>5.1</v>
      </c>
      <c r="K103" s="2" t="s">
        <v>187</v>
      </c>
      <c r="L103" s="7"/>
      <c r="M103" s="250"/>
      <c r="N103" s="11"/>
      <c r="O103" s="385" t="str">
        <f>CONCATENATE(J103,". ",K103,$K$17)</f>
        <v>5.1. Propostas de fornecimento; (com código FINAME-CFI se rec. do BNDES)------------------------------------------------------------------------------------------------------------------------------------------------------------------------</v>
      </c>
      <c r="P103" s="385"/>
      <c r="Q103" s="385"/>
      <c r="R103" s="385"/>
      <c r="S103" s="385"/>
      <c r="T103" s="385"/>
      <c r="U103" s="385"/>
      <c r="V103" s="385"/>
      <c r="W103" s="385"/>
      <c r="X103" s="385"/>
      <c r="Y103" s="385"/>
      <c r="Z103" s="385"/>
      <c r="AA103" s="385"/>
      <c r="AB103" s="385"/>
      <c r="AC103" s="385"/>
      <c r="AD103" s="8"/>
      <c r="AE103" s="379"/>
      <c r="AF103" s="7"/>
      <c r="AG103" s="80"/>
      <c r="AJ103" s="13">
        <v>1</v>
      </c>
      <c r="AK103" s="13"/>
      <c r="AL103" s="13">
        <f>IF(AND(AC103&lt;&gt;"",AE103&lt;&gt;""),4,IF(AC103&lt;&gt;"",1,IF(AE103&lt;&gt;"",2,IF($AC$101&lt;&gt;"",3,0))))</f>
        <v>0</v>
      </c>
      <c r="AM103" s="13"/>
      <c r="AN103" s="188">
        <f t="shared" ref="AN103" si="100">IF(AND(AC103&lt;&gt;"",AE103&lt;&gt;""),1,IF(AL103&lt;&gt;0,0,1))</f>
        <v>1</v>
      </c>
      <c r="AO103" s="75">
        <f ca="1">SUM($AN$21:OFFSET(AO103,-2,-1))</f>
        <v>35</v>
      </c>
      <c r="AP103" s="75" t="str">
        <f t="shared" ref="AP103" ca="1" si="101">IF(AND(OFFSET(AP103,0,-18)="",AO103=0),AQ103,"XX")</f>
        <v>XX</v>
      </c>
      <c r="AQ103" s="75">
        <f>MAX($AE$21:AE101)</f>
        <v>0</v>
      </c>
      <c r="AR103" s="13">
        <f>IF(SUM(AE105:$AE$348)&gt;0,MIN(AE105:$AE$348),10000)</f>
        <v>10000</v>
      </c>
      <c r="AS103" s="14"/>
      <c r="AT103" s="14"/>
      <c r="AU103" s="75">
        <f t="shared" ref="AU103" si="102">IF(AND(AC103&lt;&gt;"",AE103&lt;&gt;""),4,0)</f>
        <v>0</v>
      </c>
      <c r="AV103" s="2" t="e">
        <f ca="1">IF(AND(AL103&lt;&gt;1,AL103&lt;&gt;3,AL103&lt;&gt;4),AP103+1,XX)</f>
        <v>#VALUE!</v>
      </c>
      <c r="AW103" s="2">
        <f>IF(AND(AL103&lt;&gt;1,AL103&lt;&gt;3,AL103&lt;&gt;4),AR103-1,XX)</f>
        <v>9999</v>
      </c>
    </row>
    <row r="104" spans="1:49" ht="3" customHeight="1">
      <c r="B104" s="1"/>
      <c r="H104" s="6"/>
      <c r="I104" s="6"/>
      <c r="J104" s="72"/>
      <c r="L104" s="7"/>
      <c r="M104" s="250"/>
      <c r="N104" s="11"/>
      <c r="O104" s="36"/>
      <c r="P104" s="36"/>
      <c r="Q104" s="36"/>
      <c r="R104" s="36"/>
      <c r="S104" s="36"/>
      <c r="T104" s="36"/>
      <c r="U104" s="36"/>
      <c r="V104" s="36"/>
      <c r="W104" s="36"/>
      <c r="X104" s="36"/>
      <c r="Y104" s="36"/>
      <c r="Z104" s="36"/>
      <c r="AA104" s="36"/>
      <c r="AB104" s="9"/>
      <c r="AC104" s="10"/>
      <c r="AD104" s="8"/>
      <c r="AE104" s="11"/>
      <c r="AF104" s="7"/>
      <c r="AG104" s="25"/>
      <c r="AJ104" s="13"/>
      <c r="AK104" s="13"/>
      <c r="AL104" s="13"/>
      <c r="AM104" s="13"/>
      <c r="AN104" s="160"/>
      <c r="AO104" s="160"/>
      <c r="AP104" s="160"/>
      <c r="AQ104" s="160"/>
      <c r="AR104" s="13"/>
      <c r="AS104" s="161"/>
      <c r="AT104" s="161"/>
      <c r="AU104" s="160"/>
      <c r="AV104" s="161"/>
      <c r="AW104" s="161"/>
    </row>
    <row r="105" spans="1:49" ht="14.25" customHeight="1">
      <c r="B105" s="1"/>
      <c r="H105" s="2">
        <v>1</v>
      </c>
      <c r="J105" s="71" t="str">
        <f>CONCATENATE(SUM($G$17:G105),".",SUM($H$101:H105))</f>
        <v>5.2</v>
      </c>
      <c r="K105" s="2" t="s">
        <v>112</v>
      </c>
      <c r="L105" s="7"/>
      <c r="M105" s="250"/>
      <c r="N105" s="11"/>
      <c r="O105" s="385" t="str">
        <f>CONCATENATE(J105,". ",K105,$K$17)</f>
        <v>5.2. Catálogos/Folder's; (do fabricante)------------------------------------------------------------------------------------------------------------------------------------------------------------------------</v>
      </c>
      <c r="P105" s="385"/>
      <c r="Q105" s="385"/>
      <c r="R105" s="385"/>
      <c r="S105" s="385"/>
      <c r="T105" s="385"/>
      <c r="U105" s="385"/>
      <c r="V105" s="385"/>
      <c r="W105" s="385"/>
      <c r="X105" s="385"/>
      <c r="Y105" s="385"/>
      <c r="Z105" s="385"/>
      <c r="AA105" s="385"/>
      <c r="AB105" s="385"/>
      <c r="AC105" s="385"/>
      <c r="AD105" s="8"/>
      <c r="AE105" s="379"/>
      <c r="AF105" s="7"/>
      <c r="AG105" s="80"/>
      <c r="AJ105" s="13">
        <v>1</v>
      </c>
      <c r="AK105" s="13"/>
      <c r="AL105" s="13">
        <f>IF(AND(AC105&lt;&gt;"",AE105&lt;&gt;""),4,IF(AC105&lt;&gt;"",1,IF(AE105&lt;&gt;"",2,IF($AC$101&lt;&gt;"",3,0))))</f>
        <v>0</v>
      </c>
      <c r="AM105" s="13"/>
      <c r="AN105" s="188">
        <f t="shared" ref="AN105" si="103">IF(AND(AC105&lt;&gt;"",AE105&lt;&gt;""),1,IF(AL105&lt;&gt;0,0,1))</f>
        <v>1</v>
      </c>
      <c r="AO105" s="75">
        <f ca="1">SUM($AN$21:OFFSET(AO105,-2,-1))</f>
        <v>36</v>
      </c>
      <c r="AP105" s="75" t="str">
        <f t="shared" ref="AP105" ca="1" si="104">IF(AND(OFFSET(AP105,0,-18)="",AO105=0),AQ105,"XX")</f>
        <v>XX</v>
      </c>
      <c r="AQ105" s="75">
        <f>MAX($AE$21:AE103)</f>
        <v>0</v>
      </c>
      <c r="AR105" s="13">
        <f>IF(SUM(AE107:$AE$348)&gt;0,MIN(AE107:$AE$348),10000)</f>
        <v>10000</v>
      </c>
      <c r="AS105" s="14"/>
      <c r="AT105" s="14"/>
      <c r="AU105" s="75">
        <f t="shared" ref="AU105" si="105">IF(AND(AC105&lt;&gt;"",AE105&lt;&gt;""),4,0)</f>
        <v>0</v>
      </c>
      <c r="AV105" s="2" t="e">
        <f ca="1">IF(AND(AL105&lt;&gt;1,AL105&lt;&gt;3,AL105&lt;&gt;4),AP105+1,XX)</f>
        <v>#VALUE!</v>
      </c>
      <c r="AW105" s="2">
        <f>IF(AND(AL105&lt;&gt;1,AL105&lt;&gt;3,AL105&lt;&gt;4),AR105-1,XX)</f>
        <v>9999</v>
      </c>
    </row>
    <row r="106" spans="1:49" ht="3" customHeight="1">
      <c r="B106" s="1"/>
      <c r="I106" s="6"/>
      <c r="J106" s="72"/>
      <c r="L106" s="7"/>
      <c r="M106" s="250"/>
      <c r="N106" s="11"/>
      <c r="O106" s="36"/>
      <c r="P106" s="36"/>
      <c r="Q106" s="36"/>
      <c r="R106" s="36"/>
      <c r="S106" s="36"/>
      <c r="T106" s="36"/>
      <c r="U106" s="36"/>
      <c r="V106" s="36"/>
      <c r="W106" s="36"/>
      <c r="X106" s="36"/>
      <c r="Y106" s="36"/>
      <c r="Z106" s="36"/>
      <c r="AA106" s="36"/>
      <c r="AB106" s="9"/>
      <c r="AC106" s="10"/>
      <c r="AD106" s="8"/>
      <c r="AE106" s="11"/>
      <c r="AF106" s="7"/>
      <c r="AG106" s="1"/>
      <c r="AJ106" s="13"/>
      <c r="AK106" s="13"/>
      <c r="AL106" s="13"/>
      <c r="AM106" s="13"/>
      <c r="AN106" s="160"/>
      <c r="AO106" s="160"/>
      <c r="AP106" s="160"/>
      <c r="AQ106" s="160"/>
      <c r="AR106" s="13"/>
      <c r="AS106" s="161"/>
      <c r="AT106" s="161"/>
      <c r="AU106" s="160"/>
      <c r="AV106" s="161"/>
      <c r="AW106" s="161"/>
    </row>
    <row r="107" spans="1:49" ht="14.25" customHeight="1">
      <c r="B107" s="1"/>
      <c r="H107" s="2">
        <v>1</v>
      </c>
      <c r="J107" s="71" t="str">
        <f>CONCATENATE(SUM($G$17:G107),".",SUM($H$101:H107))</f>
        <v>5.3</v>
      </c>
      <c r="K107" s="2" t="s">
        <v>169</v>
      </c>
      <c r="L107" s="7"/>
      <c r="M107" s="250"/>
      <c r="N107" s="11"/>
      <c r="O107" s="385" t="str">
        <f>CONCATENATE(J107,". ",K107,$K$17)</f>
        <v>5.3. Layout das máquinas e equipamentos. (somente para Indústria e Agroindústrias)------------------------------------------------------------------------------------------------------------------------------------------------------------------------</v>
      </c>
      <c r="P107" s="385"/>
      <c r="Q107" s="385"/>
      <c r="R107" s="385"/>
      <c r="S107" s="385"/>
      <c r="T107" s="385"/>
      <c r="U107" s="385"/>
      <c r="V107" s="385"/>
      <c r="W107" s="385"/>
      <c r="X107" s="385"/>
      <c r="Y107" s="385"/>
      <c r="Z107" s="385"/>
      <c r="AA107" s="385"/>
      <c r="AB107" s="9"/>
      <c r="AC107" s="380"/>
      <c r="AD107" s="8"/>
      <c r="AE107" s="379"/>
      <c r="AF107" s="7"/>
      <c r="AG107" s="80"/>
      <c r="AJ107" s="13">
        <v>1</v>
      </c>
      <c r="AK107" s="13" t="str">
        <f>IF(AND(AE107="",$AC$101="",AC107=""),"X","")</f>
        <v>X</v>
      </c>
      <c r="AL107" s="13">
        <f>IF(AND(AC107&lt;&gt;"",AE107&lt;&gt;""),4,IF(AC107&lt;&gt;"",1,IF(AE107&lt;&gt;"",2,IF($AC$101&lt;&gt;"",3,0))))</f>
        <v>0</v>
      </c>
      <c r="AM107" s="13"/>
      <c r="AN107" s="188">
        <f t="shared" ref="AN107" si="106">IF(AND(AC107&lt;&gt;"",AE107&lt;&gt;""),1,IF(AL107&lt;&gt;0,0,1))</f>
        <v>1</v>
      </c>
      <c r="AO107" s="75">
        <f ca="1">SUM($AN$21:OFFSET(AO107,-2,-1))</f>
        <v>37</v>
      </c>
      <c r="AP107" s="75" t="str">
        <f t="shared" ref="AP107" ca="1" si="107">IF(AND(OFFSET(AP107,0,-18)="",AO107=0),AQ107,"XX")</f>
        <v>XX</v>
      </c>
      <c r="AQ107" s="75">
        <f>MAX($AE$21:AE105)</f>
        <v>0</v>
      </c>
      <c r="AR107" s="13">
        <f>IF(SUM(AE109:$AE$348)&gt;0,MIN(AE109:$AE$348),10000)</f>
        <v>10000</v>
      </c>
      <c r="AS107" s="14"/>
      <c r="AT107" s="14"/>
      <c r="AU107" s="75">
        <f t="shared" ref="AU107" si="108">IF(AND(AC107&lt;&gt;"",AE107&lt;&gt;""),4,0)</f>
        <v>0</v>
      </c>
      <c r="AV107" s="2" t="e">
        <f ca="1">IF(AND(AL107&lt;&gt;1,AL107&lt;&gt;3,AL107&lt;&gt;4),AP107+1,XX)</f>
        <v>#VALUE!</v>
      </c>
      <c r="AW107" s="2">
        <f>IF(AND(AL107&lt;&gt;1,AL107&lt;&gt;3,AL107&lt;&gt;4),AR107-1,XX)</f>
        <v>9999</v>
      </c>
    </row>
    <row r="108" spans="1:49" ht="3" customHeight="1">
      <c r="A108" s="123"/>
      <c r="B108" s="123"/>
      <c r="C108" s="123"/>
      <c r="D108" s="123"/>
      <c r="E108" s="123"/>
      <c r="F108" s="123"/>
      <c r="G108" s="123"/>
      <c r="H108" s="6"/>
      <c r="I108" s="14"/>
      <c r="J108" s="157"/>
      <c r="L108" s="7"/>
      <c r="M108" s="250"/>
      <c r="N108" s="7"/>
      <c r="O108" s="158"/>
      <c r="P108" s="158"/>
      <c r="Q108" s="158"/>
      <c r="R108" s="158"/>
      <c r="S108" s="158"/>
      <c r="T108" s="158"/>
      <c r="U108" s="158"/>
      <c r="V108" s="158"/>
      <c r="W108" s="158"/>
      <c r="X108" s="158"/>
      <c r="Y108" s="158"/>
      <c r="Z108" s="158"/>
      <c r="AA108" s="158"/>
      <c r="AB108" s="29"/>
      <c r="AC108" s="159"/>
      <c r="AD108" s="159"/>
      <c r="AE108" s="159"/>
      <c r="AF108" s="7"/>
      <c r="AG108" s="123"/>
      <c r="AJ108" s="160"/>
      <c r="AK108" s="160"/>
      <c r="AL108" s="160"/>
      <c r="AM108" s="13"/>
      <c r="AN108" s="160"/>
      <c r="AO108" s="160"/>
      <c r="AP108" s="160"/>
      <c r="AQ108" s="160"/>
      <c r="AR108" s="13"/>
      <c r="AS108" s="161"/>
      <c r="AT108" s="161"/>
      <c r="AU108" s="160"/>
      <c r="AV108" s="161"/>
      <c r="AW108" s="161"/>
    </row>
    <row r="109" spans="1:49" ht="14.25" customHeight="1">
      <c r="A109" s="123"/>
      <c r="B109" s="123"/>
      <c r="C109" s="123"/>
      <c r="D109" s="123"/>
      <c r="E109" s="123"/>
      <c r="F109" s="123"/>
      <c r="G109" s="2">
        <f>IF($M$6=0,1,0)</f>
        <v>1</v>
      </c>
      <c r="J109" s="256">
        <f>SUM($G$17:G109)</f>
        <v>6</v>
      </c>
      <c r="K109" s="2" t="s">
        <v>393</v>
      </c>
      <c r="L109" s="7"/>
      <c r="M109" s="250">
        <f>IF(AC109&lt;&gt;"",1,0)</f>
        <v>0</v>
      </c>
      <c r="N109" s="7"/>
      <c r="O109" s="454" t="str">
        <f>CONCATENATE(J109,". ",K109)</f>
        <v>6. Shopping Center</v>
      </c>
      <c r="P109" s="454"/>
      <c r="Q109" s="454"/>
      <c r="R109" s="454"/>
      <c r="S109" s="454"/>
      <c r="T109" s="454"/>
      <c r="U109" s="454"/>
      <c r="V109" s="454"/>
      <c r="W109" s="454"/>
      <c r="X109" s="454"/>
      <c r="Y109" s="454"/>
      <c r="Z109" s="454"/>
      <c r="AA109" s="454"/>
      <c r="AB109" s="9"/>
      <c r="AC109" s="380"/>
      <c r="AD109" s="162"/>
      <c r="AE109" s="136" t="s">
        <v>389</v>
      </c>
      <c r="AF109" s="7"/>
      <c r="AG109" s="2"/>
      <c r="AJ109" s="160"/>
      <c r="AK109" s="160" t="str">
        <f>IF(AND(AE111="",AE113="",$AC$109=""),"X","")</f>
        <v>X</v>
      </c>
      <c r="AL109" s="75">
        <f>IF(OR(AE111&lt;&gt;"",AE113&lt;&gt;"",AE115&lt;&gt;"",AE117&lt;&gt;"",AE119&lt;&gt;"",AE121&lt;&gt;"",AE123&lt;&gt;"",AE125&lt;&gt;"",AE127&lt;&gt;""),3,0)</f>
        <v>0</v>
      </c>
      <c r="AM109" s="13"/>
      <c r="AN109" s="188"/>
      <c r="AO109" s="75">
        <f ca="1">SUM($AN$21:OFFSET(AO109,-2,-1))</f>
        <v>38</v>
      </c>
      <c r="AP109" s="75"/>
      <c r="AQ109" s="75"/>
      <c r="AR109" s="13"/>
      <c r="AS109" s="14"/>
      <c r="AT109" s="14"/>
      <c r="AU109" s="75"/>
      <c r="AV109" s="2">
        <f>IF(AND(AL109&lt;&gt;1,AL109&lt;&gt;3,AL109&lt;&gt;4),AP109+1,XX)</f>
        <v>1</v>
      </c>
      <c r="AW109" s="2">
        <f>IF(AND(AL109&lt;&gt;1,AL109&lt;&gt;3,AL109&lt;&gt;4),AR109-1,XX)</f>
        <v>-1</v>
      </c>
    </row>
    <row r="110" spans="1:49" ht="3" customHeight="1">
      <c r="A110" s="123"/>
      <c r="B110" s="123"/>
      <c r="C110" s="123"/>
      <c r="D110" s="123"/>
      <c r="E110" s="123"/>
      <c r="F110" s="123"/>
      <c r="G110" s="123"/>
      <c r="J110" s="257"/>
      <c r="L110" s="7"/>
      <c r="M110" s="250"/>
      <c r="N110" s="7"/>
      <c r="O110" s="163"/>
      <c r="P110" s="163"/>
      <c r="Q110" s="163"/>
      <c r="R110" s="163"/>
      <c r="S110" s="163"/>
      <c r="T110" s="163"/>
      <c r="U110" s="163"/>
      <c r="V110" s="163"/>
      <c r="W110" s="163"/>
      <c r="X110" s="163"/>
      <c r="Y110" s="163"/>
      <c r="Z110" s="163"/>
      <c r="AA110" s="163"/>
      <c r="AB110" s="9"/>
      <c r="AC110" s="164"/>
      <c r="AD110" s="162"/>
      <c r="AE110" s="165"/>
      <c r="AF110" s="7"/>
      <c r="AG110" s="25"/>
      <c r="AJ110" s="160"/>
      <c r="AK110" s="160"/>
      <c r="AL110" s="160"/>
      <c r="AM110" s="13"/>
      <c r="AN110" s="160"/>
      <c r="AO110" s="160"/>
      <c r="AP110" s="160"/>
      <c r="AQ110" s="160"/>
      <c r="AR110" s="13"/>
      <c r="AS110" s="161"/>
      <c r="AT110" s="161"/>
      <c r="AU110" s="160"/>
      <c r="AV110" s="161"/>
      <c r="AW110" s="161"/>
    </row>
    <row r="111" spans="1:49" ht="14.25" customHeight="1">
      <c r="A111" s="123"/>
      <c r="B111" s="123"/>
      <c r="C111" s="123"/>
      <c r="D111" s="123"/>
      <c r="E111" s="123"/>
      <c r="F111" s="123"/>
      <c r="G111" s="123"/>
      <c r="H111" s="2">
        <v>1</v>
      </c>
      <c r="J111" s="256" t="str">
        <f>CONCATENATE(SUM($G$17:G111),".",SUM($H$109:H111))</f>
        <v>6.1</v>
      </c>
      <c r="K111" s="2" t="s">
        <v>394</v>
      </c>
      <c r="L111" s="7"/>
      <c r="M111" s="250"/>
      <c r="N111" s="7"/>
      <c r="O111" s="385" t="str">
        <f>CONCATENATE(J111,". ",K111,$K$17)</f>
        <v>6.1. Inscrição na Junta Comercial que comprove a atividade de Shopping Center;------------------------------------------------------------------------------------------------------------------------------------------------------------------------</v>
      </c>
      <c r="P111" s="385"/>
      <c r="Q111" s="385"/>
      <c r="R111" s="385"/>
      <c r="S111" s="385"/>
      <c r="T111" s="385"/>
      <c r="U111" s="385"/>
      <c r="V111" s="385"/>
      <c r="W111" s="385"/>
      <c r="X111" s="385"/>
      <c r="Y111" s="385"/>
      <c r="Z111" s="385"/>
      <c r="AA111" s="385"/>
      <c r="AB111" s="385"/>
      <c r="AC111" s="385"/>
      <c r="AD111" s="162"/>
      <c r="AE111" s="379"/>
      <c r="AF111" s="7"/>
      <c r="AG111" s="80"/>
      <c r="AJ111" s="58">
        <f>IF($M$6=0,1,0)</f>
        <v>1</v>
      </c>
      <c r="AK111" s="160"/>
      <c r="AL111" s="58">
        <f>IF(AND(AC111&lt;&gt;"",AE111&lt;&gt;""),4,IF(AC111&lt;&gt;"",1,IF(AE111&lt;&gt;"",2,IF(OR($AC$109&lt;&gt;"",$M$6=1),3,0))))</f>
        <v>0</v>
      </c>
      <c r="AM111" s="13"/>
      <c r="AN111" s="188">
        <f t="shared" ref="AN111" si="109">IF(AND(AC111&lt;&gt;"",AE111&lt;&gt;""),1,IF(AL111&lt;&gt;0,0,1))</f>
        <v>1</v>
      </c>
      <c r="AO111" s="75">
        <f ca="1">SUM($AN$21:OFFSET(AO111,-2,-1))</f>
        <v>38</v>
      </c>
      <c r="AP111" s="75" t="str">
        <f t="shared" ref="AP111" ca="1" si="110">IF(AND(OFFSET(AP111,0,-18)="",AO111=0),AQ111,"XX")</f>
        <v>XX</v>
      </c>
      <c r="AQ111" s="75">
        <f>MAX($AE$21:AE109)</f>
        <v>0</v>
      </c>
      <c r="AR111" s="13">
        <f>IF(SUM(AE113:$AE$348)&gt;0,MIN(AE113:$AE$348),10000)</f>
        <v>10000</v>
      </c>
      <c r="AS111" s="14"/>
      <c r="AT111" s="14"/>
      <c r="AU111" s="75">
        <f t="shared" ref="AU111" si="111">IF(AND(AC111&lt;&gt;"",AE111&lt;&gt;""),4,0)</f>
        <v>0</v>
      </c>
      <c r="AV111" s="2" t="e">
        <f ca="1">IF(AND(AL111&lt;&gt;1,AL111&lt;&gt;3,AL111&lt;&gt;4),AP111+1,XX)</f>
        <v>#VALUE!</v>
      </c>
      <c r="AW111" s="2">
        <f>IF(AND(AL111&lt;&gt;1,AL111&lt;&gt;3,AL111&lt;&gt;4),AR111-1,XX)</f>
        <v>9999</v>
      </c>
    </row>
    <row r="112" spans="1:49" ht="3" customHeight="1">
      <c r="A112" s="123"/>
      <c r="B112" s="123"/>
      <c r="C112" s="123"/>
      <c r="D112" s="123"/>
      <c r="E112" s="123"/>
      <c r="F112" s="123"/>
      <c r="G112" s="123"/>
      <c r="H112" s="6"/>
      <c r="I112" s="6"/>
      <c r="J112" s="257"/>
      <c r="L112" s="7"/>
      <c r="M112" s="250"/>
      <c r="N112" s="7"/>
      <c r="O112" s="36"/>
      <c r="P112" s="36"/>
      <c r="Q112" s="36"/>
      <c r="R112" s="36"/>
      <c r="S112" s="36"/>
      <c r="T112" s="36"/>
      <c r="U112" s="36"/>
      <c r="V112" s="36"/>
      <c r="W112" s="36"/>
      <c r="X112" s="36"/>
      <c r="Y112" s="36"/>
      <c r="Z112" s="36"/>
      <c r="AA112" s="36"/>
      <c r="AB112" s="9"/>
      <c r="AC112" s="164"/>
      <c r="AD112" s="162"/>
      <c r="AE112" s="165"/>
      <c r="AF112" s="7"/>
      <c r="AG112" s="123"/>
      <c r="AJ112" s="58"/>
      <c r="AK112" s="160"/>
      <c r="AL112" s="58"/>
      <c r="AM112" s="13"/>
      <c r="AN112" s="160"/>
      <c r="AO112" s="160"/>
      <c r="AP112" s="160"/>
      <c r="AQ112" s="160"/>
      <c r="AR112" s="13"/>
      <c r="AS112" s="161"/>
      <c r="AT112" s="161"/>
      <c r="AU112" s="160"/>
      <c r="AV112" s="161"/>
      <c r="AW112" s="161"/>
    </row>
    <row r="113" spans="1:49" ht="14.25" customHeight="1">
      <c r="A113" s="123"/>
      <c r="B113" s="123"/>
      <c r="C113" s="123"/>
      <c r="D113" s="123"/>
      <c r="E113" s="123"/>
      <c r="F113" s="123"/>
      <c r="G113" s="123"/>
      <c r="H113" s="2">
        <v>1</v>
      </c>
      <c r="J113" s="256" t="str">
        <f>CONCATENATE(SUM($G$17:G113),".",SUM($H$109:H113))</f>
        <v>6.2</v>
      </c>
      <c r="K113" s="2" t="s">
        <v>395</v>
      </c>
      <c r="L113" s="7"/>
      <c r="M113" s="250"/>
      <c r="N113" s="7"/>
      <c r="O113" s="385" t="str">
        <f>CONCATENATE(J113,". ",K113,$K$17)</f>
        <v>6.2. Minuta do Regimento Interno;------------------------------------------------------------------------------------------------------------------------------------------------------------------------</v>
      </c>
      <c r="P113" s="385"/>
      <c r="Q113" s="385"/>
      <c r="R113" s="385"/>
      <c r="S113" s="385"/>
      <c r="T113" s="385"/>
      <c r="U113" s="385"/>
      <c r="V113" s="385"/>
      <c r="W113" s="385"/>
      <c r="X113" s="385"/>
      <c r="Y113" s="385"/>
      <c r="Z113" s="385"/>
      <c r="AA113" s="385"/>
      <c r="AB113" s="385"/>
      <c r="AC113" s="385"/>
      <c r="AD113" s="162"/>
      <c r="AE113" s="379"/>
      <c r="AF113" s="7"/>
      <c r="AG113" s="80"/>
      <c r="AJ113" s="58">
        <f>IF($M$6=0,1,0)</f>
        <v>1</v>
      </c>
      <c r="AK113" s="160"/>
      <c r="AL113" s="58">
        <f t="shared" ref="AL113" si="112">IF(AND(AC113&lt;&gt;"",AE113&lt;&gt;""),4,IF(AC113&lt;&gt;"",1,IF(AE113&lt;&gt;"",2,IF(OR($AC$109&lt;&gt;"",$M$6=1),3,0))))</f>
        <v>0</v>
      </c>
      <c r="AM113" s="13"/>
      <c r="AN113" s="188">
        <f t="shared" ref="AN113" si="113">IF(AND(AC113&lt;&gt;"",AE113&lt;&gt;""),1,IF(AL113&lt;&gt;0,0,1))</f>
        <v>1</v>
      </c>
      <c r="AO113" s="75">
        <f ca="1">SUM($AN$21:OFFSET(AO113,-2,-1))</f>
        <v>39</v>
      </c>
      <c r="AP113" s="75" t="str">
        <f t="shared" ref="AP113" ca="1" si="114">IF(AND(OFFSET(AP113,0,-18)="",AO113=0),AQ113,"XX")</f>
        <v>XX</v>
      </c>
      <c r="AQ113" s="75">
        <f>MAX($AE$21:AE111)</f>
        <v>0</v>
      </c>
      <c r="AR113" s="13">
        <f>IF(SUM(AE115:$AE$348)&gt;0,MIN(AE115:$AE$348),10000)</f>
        <v>10000</v>
      </c>
      <c r="AS113" s="14"/>
      <c r="AT113" s="14"/>
      <c r="AU113" s="75">
        <f t="shared" ref="AU113" si="115">IF(AND(AC113&lt;&gt;"",AE113&lt;&gt;""),4,0)</f>
        <v>0</v>
      </c>
      <c r="AV113" s="2" t="e">
        <f ca="1">IF(AND(AL113&lt;&gt;1,AL113&lt;&gt;3,AL113&lt;&gt;4),AP113+1,XX)</f>
        <v>#VALUE!</v>
      </c>
      <c r="AW113" s="2">
        <f>IF(AND(AL113&lt;&gt;1,AL113&lt;&gt;3,AL113&lt;&gt;4),AR113-1,XX)</f>
        <v>9999</v>
      </c>
    </row>
    <row r="114" spans="1:49" ht="3" customHeight="1">
      <c r="A114" s="123"/>
      <c r="B114" s="123"/>
      <c r="C114" s="123"/>
      <c r="D114" s="123"/>
      <c r="E114" s="123"/>
      <c r="F114" s="123"/>
      <c r="G114" s="123"/>
      <c r="I114" s="6"/>
      <c r="J114" s="257"/>
      <c r="L114" s="7"/>
      <c r="M114" s="250"/>
      <c r="N114" s="7"/>
      <c r="O114" s="36"/>
      <c r="P114" s="36"/>
      <c r="Q114" s="36"/>
      <c r="R114" s="36"/>
      <c r="S114" s="36"/>
      <c r="T114" s="36"/>
      <c r="U114" s="36"/>
      <c r="V114" s="36"/>
      <c r="W114" s="36"/>
      <c r="X114" s="36"/>
      <c r="Y114" s="36"/>
      <c r="Z114" s="36"/>
      <c r="AA114" s="36"/>
      <c r="AB114" s="9"/>
      <c r="AC114" s="164"/>
      <c r="AD114" s="162"/>
      <c r="AE114" s="165"/>
      <c r="AF114" s="7"/>
      <c r="AG114" s="123"/>
      <c r="AJ114" s="58"/>
      <c r="AK114" s="160"/>
      <c r="AL114" s="58"/>
      <c r="AM114" s="13"/>
      <c r="AN114" s="160"/>
      <c r="AO114" s="160"/>
      <c r="AP114" s="160"/>
      <c r="AQ114" s="160"/>
      <c r="AR114" s="13"/>
      <c r="AS114" s="161"/>
      <c r="AT114" s="161"/>
      <c r="AU114" s="160"/>
      <c r="AV114" s="161"/>
      <c r="AW114" s="161"/>
    </row>
    <row r="115" spans="1:49" ht="14.25" customHeight="1">
      <c r="A115" s="123"/>
      <c r="B115" s="123"/>
      <c r="C115" s="123"/>
      <c r="D115" s="123"/>
      <c r="E115" s="123"/>
      <c r="F115" s="123"/>
      <c r="G115" s="123"/>
      <c r="H115" s="2">
        <v>1</v>
      </c>
      <c r="J115" s="256" t="str">
        <f>CONCATENATE(SUM($G$17:G115),".",SUM($H$109:H115))</f>
        <v>6.3</v>
      </c>
      <c r="K115" s="2" t="s">
        <v>396</v>
      </c>
      <c r="L115" s="7"/>
      <c r="M115" s="250"/>
      <c r="N115" s="7"/>
      <c r="O115" s="385" t="str">
        <f>CONCATENATE(J115,". ",K115,$K$17)</f>
        <v>6.3. Minuta do Estatuto da Associação de Lojistas;------------------------------------------------------------------------------------------------------------------------------------------------------------------------</v>
      </c>
      <c r="P115" s="385"/>
      <c r="Q115" s="385"/>
      <c r="R115" s="385"/>
      <c r="S115" s="385"/>
      <c r="T115" s="385"/>
      <c r="U115" s="385"/>
      <c r="V115" s="385"/>
      <c r="W115" s="385"/>
      <c r="X115" s="385"/>
      <c r="Y115" s="385"/>
      <c r="Z115" s="385"/>
      <c r="AA115" s="385"/>
      <c r="AB115" s="385"/>
      <c r="AC115" s="385"/>
      <c r="AD115" s="162"/>
      <c r="AE115" s="379"/>
      <c r="AF115" s="7"/>
      <c r="AG115" s="80"/>
      <c r="AJ115" s="58">
        <f>IF($M$6=0,1,0)</f>
        <v>1</v>
      </c>
      <c r="AK115" s="160"/>
      <c r="AL115" s="58">
        <f t="shared" ref="AL115" si="116">IF(AND(AC115&lt;&gt;"",AE115&lt;&gt;""),4,IF(AC115&lt;&gt;"",1,IF(AE115&lt;&gt;"",2,IF(OR($AC$109&lt;&gt;"",$M$6=1),3,0))))</f>
        <v>0</v>
      </c>
      <c r="AM115" s="13"/>
      <c r="AN115" s="188">
        <f t="shared" ref="AN115" si="117">IF(AND(AC115&lt;&gt;"",AE115&lt;&gt;""),1,IF(AL115&lt;&gt;0,0,1))</f>
        <v>1</v>
      </c>
      <c r="AO115" s="75">
        <f ca="1">SUM($AN$21:OFFSET(AO115,-2,-1))</f>
        <v>40</v>
      </c>
      <c r="AP115" s="75" t="str">
        <f t="shared" ref="AP115" ca="1" si="118">IF(AND(OFFSET(AP115,0,-18)="",AO115=0),AQ115,"XX")</f>
        <v>XX</v>
      </c>
      <c r="AQ115" s="75">
        <f>MAX($AE$21:AE113)</f>
        <v>0</v>
      </c>
      <c r="AR115" s="13">
        <f>IF(SUM(AE117:$AE$348)&gt;0,MIN(AE117:$AE$348),10000)</f>
        <v>10000</v>
      </c>
      <c r="AS115" s="14"/>
      <c r="AT115" s="14"/>
      <c r="AU115" s="75">
        <f t="shared" ref="AU115" si="119">IF(AND(AC115&lt;&gt;"",AE115&lt;&gt;""),4,0)</f>
        <v>0</v>
      </c>
      <c r="AV115" s="2" t="e">
        <f ca="1">IF(AND(AL115&lt;&gt;1,AL115&lt;&gt;3,AL115&lt;&gt;4),AP115+1,XX)</f>
        <v>#VALUE!</v>
      </c>
      <c r="AW115" s="2">
        <f>IF(AND(AL115&lt;&gt;1,AL115&lt;&gt;3,AL115&lt;&gt;4),AR115-1,XX)</f>
        <v>9999</v>
      </c>
    </row>
    <row r="116" spans="1:49" ht="3" customHeight="1">
      <c r="A116" s="123"/>
      <c r="B116" s="123"/>
      <c r="C116" s="123"/>
      <c r="D116" s="123"/>
      <c r="E116" s="123"/>
      <c r="F116" s="123"/>
      <c r="G116" s="123"/>
      <c r="H116" s="6"/>
      <c r="I116" s="6"/>
      <c r="J116" s="257"/>
      <c r="L116" s="7"/>
      <c r="M116" s="250"/>
      <c r="N116" s="7"/>
      <c r="O116" s="36"/>
      <c r="P116" s="36"/>
      <c r="Q116" s="36"/>
      <c r="R116" s="36"/>
      <c r="S116" s="36"/>
      <c r="T116" s="36"/>
      <c r="U116" s="36"/>
      <c r="V116" s="36"/>
      <c r="W116" s="36"/>
      <c r="X116" s="36"/>
      <c r="Y116" s="36"/>
      <c r="Z116" s="36"/>
      <c r="AA116" s="36"/>
      <c r="AB116" s="9"/>
      <c r="AC116" s="164"/>
      <c r="AD116" s="162"/>
      <c r="AE116" s="165"/>
      <c r="AF116" s="7"/>
      <c r="AG116" s="123"/>
      <c r="AJ116" s="58"/>
      <c r="AK116" s="160"/>
      <c r="AL116" s="58"/>
      <c r="AM116" s="13"/>
      <c r="AN116" s="160"/>
      <c r="AO116" s="160"/>
      <c r="AP116" s="160"/>
      <c r="AQ116" s="160"/>
      <c r="AR116" s="13"/>
      <c r="AS116" s="161"/>
      <c r="AT116" s="161"/>
      <c r="AU116" s="160"/>
      <c r="AV116" s="161"/>
      <c r="AW116" s="161"/>
    </row>
    <row r="117" spans="1:49" ht="14.25" customHeight="1">
      <c r="A117" s="123"/>
      <c r="B117" s="123"/>
      <c r="C117" s="123"/>
      <c r="D117" s="123"/>
      <c r="E117" s="123"/>
      <c r="F117" s="123"/>
      <c r="G117" s="123"/>
      <c r="H117" s="2">
        <v>1</v>
      </c>
      <c r="J117" s="256" t="str">
        <f>CONCATENATE(SUM($G$17:G117),".",SUM($H$109:H117))</f>
        <v>6.4</v>
      </c>
      <c r="K117" s="2" t="s">
        <v>397</v>
      </c>
      <c r="L117" s="7"/>
      <c r="M117" s="250"/>
      <c r="N117" s="7"/>
      <c r="O117" s="385" t="str">
        <f>CONCATENATE(J117,". ",K117,$K$17)</f>
        <v>6.4. Minuta do Contrato de Locação e Normas Complementares;------------------------------------------------------------------------------------------------------------------------------------------------------------------------</v>
      </c>
      <c r="P117" s="385"/>
      <c r="Q117" s="385"/>
      <c r="R117" s="385"/>
      <c r="S117" s="385"/>
      <c r="T117" s="385"/>
      <c r="U117" s="385"/>
      <c r="V117" s="385"/>
      <c r="W117" s="385"/>
      <c r="X117" s="385"/>
      <c r="Y117" s="385"/>
      <c r="Z117" s="385"/>
      <c r="AA117" s="385"/>
      <c r="AB117" s="385"/>
      <c r="AC117" s="385"/>
      <c r="AD117" s="162"/>
      <c r="AE117" s="379"/>
      <c r="AF117" s="7"/>
      <c r="AG117" s="80"/>
      <c r="AJ117" s="58">
        <f>IF($M$6=0,1,0)</f>
        <v>1</v>
      </c>
      <c r="AK117" s="160"/>
      <c r="AL117" s="58">
        <f t="shared" ref="AL117" si="120">IF(AND(AC117&lt;&gt;"",AE117&lt;&gt;""),4,IF(AC117&lt;&gt;"",1,IF(AE117&lt;&gt;"",2,IF(OR($AC$109&lt;&gt;"",$M$6=1),3,0))))</f>
        <v>0</v>
      </c>
      <c r="AM117" s="13"/>
      <c r="AN117" s="188">
        <f t="shared" ref="AN117" si="121">IF(AND(AC117&lt;&gt;"",AE117&lt;&gt;""),1,IF(AL117&lt;&gt;0,0,1))</f>
        <v>1</v>
      </c>
      <c r="AO117" s="75">
        <f ca="1">SUM($AN$21:OFFSET(AO117,-2,-1))</f>
        <v>41</v>
      </c>
      <c r="AP117" s="75" t="str">
        <f t="shared" ref="AP117" ca="1" si="122">IF(AND(OFFSET(AP117,0,-18)="",AO117=0),AQ117,"XX")</f>
        <v>XX</v>
      </c>
      <c r="AQ117" s="75">
        <f>MAX($AE$21:AE115)</f>
        <v>0</v>
      </c>
      <c r="AR117" s="13">
        <f>IF(SUM(AE119:$AE$348)&gt;0,MIN(AE119:$AE$348),10000)</f>
        <v>10000</v>
      </c>
      <c r="AS117" s="14"/>
      <c r="AT117" s="14"/>
      <c r="AU117" s="75">
        <f t="shared" ref="AU117" si="123">IF(AND(AC117&lt;&gt;"",AE117&lt;&gt;""),4,0)</f>
        <v>0</v>
      </c>
      <c r="AV117" s="2" t="e">
        <f ca="1">IF(AND(AL117&lt;&gt;1,AL117&lt;&gt;3,AL117&lt;&gt;4),AP117+1,XX)</f>
        <v>#VALUE!</v>
      </c>
      <c r="AW117" s="2">
        <f>IF(AND(AL117&lt;&gt;1,AL117&lt;&gt;3,AL117&lt;&gt;4),AR117-1,XX)</f>
        <v>9999</v>
      </c>
    </row>
    <row r="118" spans="1:49" ht="3" customHeight="1">
      <c r="A118" s="123"/>
      <c r="B118" s="123"/>
      <c r="C118" s="123"/>
      <c r="D118" s="123"/>
      <c r="E118" s="123"/>
      <c r="F118" s="123"/>
      <c r="G118" s="123"/>
      <c r="I118" s="6"/>
      <c r="J118" s="257"/>
      <c r="L118" s="7"/>
      <c r="M118" s="250"/>
      <c r="N118" s="7"/>
      <c r="O118" s="36"/>
      <c r="P118" s="36"/>
      <c r="Q118" s="36"/>
      <c r="R118" s="36"/>
      <c r="S118" s="36"/>
      <c r="T118" s="36"/>
      <c r="U118" s="36"/>
      <c r="V118" s="36"/>
      <c r="W118" s="36"/>
      <c r="X118" s="36"/>
      <c r="Y118" s="36"/>
      <c r="Z118" s="36"/>
      <c r="AA118" s="36"/>
      <c r="AB118" s="9"/>
      <c r="AC118" s="164"/>
      <c r="AD118" s="162"/>
      <c r="AE118" s="165"/>
      <c r="AF118" s="7"/>
      <c r="AG118" s="123"/>
      <c r="AJ118" s="58"/>
      <c r="AK118" s="160"/>
      <c r="AL118" s="58"/>
      <c r="AM118" s="13"/>
      <c r="AN118" s="160"/>
      <c r="AO118" s="160"/>
      <c r="AP118" s="160"/>
      <c r="AQ118" s="160"/>
      <c r="AR118" s="13"/>
      <c r="AS118" s="161"/>
      <c r="AT118" s="161"/>
      <c r="AU118" s="160"/>
      <c r="AV118" s="161"/>
      <c r="AW118" s="161"/>
    </row>
    <row r="119" spans="1:49" ht="14.25" customHeight="1">
      <c r="A119" s="123"/>
      <c r="B119" s="123"/>
      <c r="C119" s="123"/>
      <c r="D119" s="123"/>
      <c r="E119" s="123"/>
      <c r="F119" s="123"/>
      <c r="G119" s="123"/>
      <c r="H119" s="2">
        <v>1</v>
      </c>
      <c r="J119" s="256" t="str">
        <f>CONCATENATE(SUM($G$17:G119),".",SUM($H$109:H119))</f>
        <v>6.5</v>
      </c>
      <c r="K119" s="2" t="s">
        <v>398</v>
      </c>
      <c r="L119" s="7"/>
      <c r="M119" s="250"/>
      <c r="N119" s="7"/>
      <c r="O119" s="385" t="str">
        <f>CONCATENATE(J119,". ",K119,$K$17)</f>
        <v>6.5. Estudo de Impacto de Vizinhança;------------------------------------------------------------------------------------------------------------------------------------------------------------------------</v>
      </c>
      <c r="P119" s="385"/>
      <c r="Q119" s="385"/>
      <c r="R119" s="385"/>
      <c r="S119" s="385"/>
      <c r="T119" s="385"/>
      <c r="U119" s="385"/>
      <c r="V119" s="385"/>
      <c r="W119" s="385"/>
      <c r="X119" s="385"/>
      <c r="Y119" s="385"/>
      <c r="Z119" s="385"/>
      <c r="AA119" s="385"/>
      <c r="AB119" s="385"/>
      <c r="AC119" s="385"/>
      <c r="AD119" s="162"/>
      <c r="AE119" s="379"/>
      <c r="AF119" s="7"/>
      <c r="AG119" s="80"/>
      <c r="AJ119" s="58">
        <f>IF($M$6=0,1,0)</f>
        <v>1</v>
      </c>
      <c r="AK119" s="160"/>
      <c r="AL119" s="58">
        <f t="shared" ref="AL119" si="124">IF(AND(AC119&lt;&gt;"",AE119&lt;&gt;""),4,IF(AC119&lt;&gt;"",1,IF(AE119&lt;&gt;"",2,IF(OR($AC$109&lt;&gt;"",$M$6=1),3,0))))</f>
        <v>0</v>
      </c>
      <c r="AM119" s="13"/>
      <c r="AN119" s="188">
        <f t="shared" ref="AN119" si="125">IF(AND(AC119&lt;&gt;"",AE119&lt;&gt;""),1,IF(AL119&lt;&gt;0,0,1))</f>
        <v>1</v>
      </c>
      <c r="AO119" s="75">
        <f ca="1">SUM($AN$21:OFFSET(AO119,-2,-1))</f>
        <v>42</v>
      </c>
      <c r="AP119" s="75" t="str">
        <f t="shared" ref="AP119" ca="1" si="126">IF(AND(OFFSET(AP119,0,-18)="",AO119=0),AQ119,"XX")</f>
        <v>XX</v>
      </c>
      <c r="AQ119" s="75">
        <f>MAX($AE$21:AE117)</f>
        <v>0</v>
      </c>
      <c r="AR119" s="13">
        <f>IF(SUM(AE121:$AE$348)&gt;0,MIN(AE121:$AE$348),10000)</f>
        <v>10000</v>
      </c>
      <c r="AS119" s="14"/>
      <c r="AT119" s="14"/>
      <c r="AU119" s="75">
        <f t="shared" ref="AU119" si="127">IF(AND(AC119&lt;&gt;"",AE119&lt;&gt;""),4,0)</f>
        <v>0</v>
      </c>
      <c r="AV119" s="2" t="e">
        <f ca="1">IF(AND(AL119&lt;&gt;1,AL119&lt;&gt;3,AL119&lt;&gt;4),AP119+1,XX)</f>
        <v>#VALUE!</v>
      </c>
      <c r="AW119" s="2">
        <f>IF(AND(AL119&lt;&gt;1,AL119&lt;&gt;3,AL119&lt;&gt;4),AR119-1,XX)</f>
        <v>9999</v>
      </c>
    </row>
    <row r="120" spans="1:49" ht="3" customHeight="1">
      <c r="A120" s="123"/>
      <c r="B120" s="123"/>
      <c r="C120" s="123"/>
      <c r="D120" s="123"/>
      <c r="E120" s="123"/>
      <c r="F120" s="123"/>
      <c r="G120" s="123"/>
      <c r="H120" s="6"/>
      <c r="I120" s="6"/>
      <c r="J120" s="257"/>
      <c r="L120" s="7"/>
      <c r="M120" s="250"/>
      <c r="N120" s="7"/>
      <c r="O120" s="36"/>
      <c r="P120" s="36"/>
      <c r="Q120" s="36"/>
      <c r="R120" s="36"/>
      <c r="S120" s="36"/>
      <c r="T120" s="36"/>
      <c r="U120" s="36"/>
      <c r="V120" s="36"/>
      <c r="W120" s="36"/>
      <c r="X120" s="36"/>
      <c r="Y120" s="36"/>
      <c r="Z120" s="36"/>
      <c r="AA120" s="36"/>
      <c r="AB120" s="9"/>
      <c r="AC120" s="164"/>
      <c r="AD120" s="162"/>
      <c r="AE120" s="165"/>
      <c r="AF120" s="7"/>
      <c r="AG120" s="123"/>
      <c r="AJ120" s="58"/>
      <c r="AK120" s="160"/>
      <c r="AL120" s="58"/>
      <c r="AM120" s="13"/>
      <c r="AN120" s="160"/>
      <c r="AO120" s="160"/>
      <c r="AP120" s="160"/>
      <c r="AQ120" s="160"/>
      <c r="AR120" s="13"/>
      <c r="AS120" s="161"/>
      <c r="AT120" s="161"/>
      <c r="AU120" s="160"/>
      <c r="AV120" s="161"/>
      <c r="AW120" s="161"/>
    </row>
    <row r="121" spans="1:49" ht="14.25" customHeight="1">
      <c r="A121" s="123"/>
      <c r="B121" s="123"/>
      <c r="C121" s="123"/>
      <c r="D121" s="123"/>
      <c r="E121" s="123"/>
      <c r="F121" s="123"/>
      <c r="G121" s="123"/>
      <c r="H121" s="2">
        <v>1</v>
      </c>
      <c r="J121" s="256" t="str">
        <f>CONCATENATE(SUM($G$17:G121),".",SUM($H$109:H121))</f>
        <v>6.6</v>
      </c>
      <c r="K121" s="2" t="s">
        <v>399</v>
      </c>
      <c r="L121" s="7"/>
      <c r="M121" s="250"/>
      <c r="N121" s="7"/>
      <c r="O121" s="385" t="str">
        <f>CONCATENATE(J121,". ",K121,$K$17)</f>
        <v>6.6. Estudo de Impacto de Trânsito;------------------------------------------------------------------------------------------------------------------------------------------------------------------------</v>
      </c>
      <c r="P121" s="385"/>
      <c r="Q121" s="385"/>
      <c r="R121" s="385"/>
      <c r="S121" s="385"/>
      <c r="T121" s="385"/>
      <c r="U121" s="385"/>
      <c r="V121" s="385"/>
      <c r="W121" s="385"/>
      <c r="X121" s="385"/>
      <c r="Y121" s="385"/>
      <c r="Z121" s="385"/>
      <c r="AA121" s="385"/>
      <c r="AB121" s="385"/>
      <c r="AC121" s="385"/>
      <c r="AD121" s="162"/>
      <c r="AE121" s="379"/>
      <c r="AF121" s="7"/>
      <c r="AG121" s="80"/>
      <c r="AJ121" s="58">
        <f>IF($M$6=0,1,0)</f>
        <v>1</v>
      </c>
      <c r="AK121" s="160"/>
      <c r="AL121" s="58">
        <f t="shared" ref="AL121" si="128">IF(AND(AC121&lt;&gt;"",AE121&lt;&gt;""),4,IF(AC121&lt;&gt;"",1,IF(AE121&lt;&gt;"",2,IF(OR($AC$109&lt;&gt;"",$M$6=1),3,0))))</f>
        <v>0</v>
      </c>
      <c r="AM121" s="13"/>
      <c r="AN121" s="188">
        <f t="shared" ref="AN121" si="129">IF(AND(AC121&lt;&gt;"",AE121&lt;&gt;""),1,IF(AL121&lt;&gt;0,0,1))</f>
        <v>1</v>
      </c>
      <c r="AO121" s="75">
        <f ca="1">SUM($AN$21:OFFSET(AO121,-2,-1))</f>
        <v>43</v>
      </c>
      <c r="AP121" s="75" t="str">
        <f t="shared" ref="AP121" ca="1" si="130">IF(AND(OFFSET(AP121,0,-18)="",AO121=0),AQ121,"XX")</f>
        <v>XX</v>
      </c>
      <c r="AQ121" s="75">
        <f>MAX($AE$21:AE119)</f>
        <v>0</v>
      </c>
      <c r="AR121" s="13">
        <f>IF(SUM(AE123:$AE$348)&gt;0,MIN(AE123:$AE$348),10000)</f>
        <v>10000</v>
      </c>
      <c r="AS121" s="14"/>
      <c r="AT121" s="14"/>
      <c r="AU121" s="75">
        <f t="shared" ref="AU121" si="131">IF(AND(AC121&lt;&gt;"",AE121&lt;&gt;""),4,0)</f>
        <v>0</v>
      </c>
      <c r="AV121" s="2" t="e">
        <f ca="1">IF(AND(AL121&lt;&gt;1,AL121&lt;&gt;3,AL121&lt;&gt;4),AP121+1,XX)</f>
        <v>#VALUE!</v>
      </c>
      <c r="AW121" s="2">
        <f>IF(AND(AL121&lt;&gt;1,AL121&lt;&gt;3,AL121&lt;&gt;4),AR121-1,XX)</f>
        <v>9999</v>
      </c>
    </row>
    <row r="122" spans="1:49" ht="3" customHeight="1">
      <c r="A122" s="123"/>
      <c r="B122" s="123"/>
      <c r="C122" s="123"/>
      <c r="D122" s="123"/>
      <c r="E122" s="123"/>
      <c r="F122" s="123"/>
      <c r="G122" s="123"/>
      <c r="I122" s="6"/>
      <c r="J122" s="257"/>
      <c r="L122" s="7"/>
      <c r="M122" s="250"/>
      <c r="N122" s="7"/>
      <c r="O122" s="36"/>
      <c r="P122" s="36"/>
      <c r="Q122" s="36"/>
      <c r="R122" s="36"/>
      <c r="S122" s="36"/>
      <c r="T122" s="36"/>
      <c r="U122" s="36"/>
      <c r="V122" s="36"/>
      <c r="W122" s="36"/>
      <c r="X122" s="36"/>
      <c r="Y122" s="36"/>
      <c r="Z122" s="36"/>
      <c r="AA122" s="36"/>
      <c r="AB122" s="9"/>
      <c r="AC122" s="164"/>
      <c r="AD122" s="162"/>
      <c r="AE122" s="165"/>
      <c r="AF122" s="7"/>
      <c r="AG122" s="123"/>
      <c r="AJ122" s="58"/>
      <c r="AK122" s="160"/>
      <c r="AL122" s="58"/>
      <c r="AM122" s="13"/>
      <c r="AN122" s="160"/>
      <c r="AO122" s="160"/>
      <c r="AP122" s="160"/>
      <c r="AQ122" s="160"/>
      <c r="AR122" s="13"/>
      <c r="AS122" s="161"/>
      <c r="AT122" s="161"/>
      <c r="AU122" s="160"/>
      <c r="AV122" s="161"/>
      <c r="AW122" s="161"/>
    </row>
    <row r="123" spans="1:49" ht="14.25" customHeight="1">
      <c r="A123" s="123"/>
      <c r="B123" s="123"/>
      <c r="C123" s="123"/>
      <c r="D123" s="123"/>
      <c r="E123" s="123"/>
      <c r="F123" s="123"/>
      <c r="G123" s="123"/>
      <c r="H123" s="2">
        <v>1</v>
      </c>
      <c r="J123" s="256" t="str">
        <f>CONCATENATE(SUM($G$17:G123),".",SUM($H$109:H123))</f>
        <v>6.7</v>
      </c>
      <c r="K123" s="2" t="s">
        <v>400</v>
      </c>
      <c r="L123" s="7"/>
      <c r="M123" s="250"/>
      <c r="N123" s="7"/>
      <c r="O123" s="385" t="str">
        <f>CONCATENATE(J123,". ",K123,$K$17)</f>
        <v>6.7. Estação de Tratamento de Esgoto;------------------------------------------------------------------------------------------------------------------------------------------------------------------------</v>
      </c>
      <c r="P123" s="385"/>
      <c r="Q123" s="385"/>
      <c r="R123" s="385"/>
      <c r="S123" s="385"/>
      <c r="T123" s="385"/>
      <c r="U123" s="385"/>
      <c r="V123" s="385"/>
      <c r="W123" s="385"/>
      <c r="X123" s="385"/>
      <c r="Y123" s="385"/>
      <c r="Z123" s="385"/>
      <c r="AA123" s="385"/>
      <c r="AB123" s="385"/>
      <c r="AC123" s="385"/>
      <c r="AD123" s="162"/>
      <c r="AE123" s="379"/>
      <c r="AF123" s="7"/>
      <c r="AG123" s="80"/>
      <c r="AJ123" s="58">
        <f>IF($M$6=0,1,0)</f>
        <v>1</v>
      </c>
      <c r="AK123" s="160"/>
      <c r="AL123" s="58">
        <f t="shared" ref="AL123" si="132">IF(AND(AC123&lt;&gt;"",AE123&lt;&gt;""),4,IF(AC123&lt;&gt;"",1,IF(AE123&lt;&gt;"",2,IF(OR($AC$109&lt;&gt;"",$M$6=1),3,0))))</f>
        <v>0</v>
      </c>
      <c r="AM123" s="13"/>
      <c r="AN123" s="188">
        <f t="shared" ref="AN123" si="133">IF(AND(AC123&lt;&gt;"",AE123&lt;&gt;""),1,IF(AL123&lt;&gt;0,0,1))</f>
        <v>1</v>
      </c>
      <c r="AO123" s="75">
        <f ca="1">SUM($AN$21:OFFSET(AO123,-2,-1))</f>
        <v>44</v>
      </c>
      <c r="AP123" s="75" t="str">
        <f t="shared" ref="AP123" ca="1" si="134">IF(AND(OFFSET(AP123,0,-18)="",AO123=0),AQ123,"XX")</f>
        <v>XX</v>
      </c>
      <c r="AQ123" s="75">
        <f>MAX($AE$21:AE121)</f>
        <v>0</v>
      </c>
      <c r="AR123" s="13">
        <f>IF(SUM(AE125:$AE$348)&gt;0,MIN(AE125:$AE$348),10000)</f>
        <v>10000</v>
      </c>
      <c r="AS123" s="14"/>
      <c r="AT123" s="14"/>
      <c r="AU123" s="75">
        <f t="shared" ref="AU123" si="135">IF(AND(AC123&lt;&gt;"",AE123&lt;&gt;""),4,0)</f>
        <v>0</v>
      </c>
      <c r="AV123" s="2" t="e">
        <f ca="1">IF(AND(AL123&lt;&gt;1,AL123&lt;&gt;3,AL123&lt;&gt;4),AP123+1,XX)</f>
        <v>#VALUE!</v>
      </c>
      <c r="AW123" s="2">
        <f>IF(AND(AL123&lt;&gt;1,AL123&lt;&gt;3,AL123&lt;&gt;4),AR123-1,XX)</f>
        <v>9999</v>
      </c>
    </row>
    <row r="124" spans="1:49" ht="3" customHeight="1">
      <c r="A124" s="123"/>
      <c r="B124" s="123"/>
      <c r="C124" s="123"/>
      <c r="D124" s="123"/>
      <c r="E124" s="123"/>
      <c r="F124" s="123"/>
      <c r="G124" s="123"/>
      <c r="H124" s="6"/>
      <c r="I124" s="6"/>
      <c r="J124" s="257"/>
      <c r="L124" s="7"/>
      <c r="M124" s="250"/>
      <c r="N124" s="7"/>
      <c r="O124" s="36"/>
      <c r="P124" s="36"/>
      <c r="Q124" s="36"/>
      <c r="R124" s="36"/>
      <c r="S124" s="36"/>
      <c r="T124" s="36"/>
      <c r="U124" s="36"/>
      <c r="V124" s="36"/>
      <c r="W124" s="36"/>
      <c r="X124" s="36"/>
      <c r="Y124" s="36"/>
      <c r="Z124" s="36"/>
      <c r="AA124" s="36"/>
      <c r="AB124" s="9"/>
      <c r="AC124" s="164"/>
      <c r="AD124" s="162"/>
      <c r="AE124" s="165"/>
      <c r="AF124" s="7"/>
      <c r="AG124" s="123"/>
      <c r="AJ124" s="58"/>
      <c r="AK124" s="160"/>
      <c r="AL124" s="58"/>
      <c r="AM124" s="13"/>
      <c r="AN124" s="160"/>
      <c r="AO124" s="160"/>
      <c r="AP124" s="160"/>
      <c r="AQ124" s="160"/>
      <c r="AR124" s="13"/>
      <c r="AS124" s="161"/>
      <c r="AT124" s="161"/>
      <c r="AU124" s="160"/>
      <c r="AV124" s="161"/>
      <c r="AW124" s="161"/>
    </row>
    <row r="125" spans="1:49" ht="14.25" customHeight="1">
      <c r="A125" s="123"/>
      <c r="B125" s="123"/>
      <c r="C125" s="123"/>
      <c r="D125" s="123"/>
      <c r="E125" s="123"/>
      <c r="F125" s="123"/>
      <c r="G125" s="123"/>
      <c r="H125" s="2">
        <v>1</v>
      </c>
      <c r="J125" s="256" t="str">
        <f>CONCATENATE(SUM($G$17:G125),".",SUM($H$109:H125))</f>
        <v>6.8</v>
      </c>
      <c r="K125" s="2" t="s">
        <v>401</v>
      </c>
      <c r="L125" s="7"/>
      <c r="M125" s="250"/>
      <c r="N125" s="7"/>
      <c r="O125" s="385" t="str">
        <f>CONCATENATE(J125,". ",K125,$K$17)</f>
        <v>6.8. Especificações quanto a administração do Shopping (própria) ou Contrato com empresa administradora;------------------------------------------------------------------------------------------------------------------------------------------------------------------------</v>
      </c>
      <c r="P125" s="385"/>
      <c r="Q125" s="385"/>
      <c r="R125" s="385"/>
      <c r="S125" s="385"/>
      <c r="T125" s="385"/>
      <c r="U125" s="385"/>
      <c r="V125" s="385"/>
      <c r="W125" s="385"/>
      <c r="X125" s="385"/>
      <c r="Y125" s="385"/>
      <c r="Z125" s="385"/>
      <c r="AA125" s="385"/>
      <c r="AB125" s="385"/>
      <c r="AC125" s="385"/>
      <c r="AD125" s="162"/>
      <c r="AE125" s="379"/>
      <c r="AF125" s="7"/>
      <c r="AG125" s="80"/>
      <c r="AJ125" s="58">
        <f>IF($M$6=0,1,0)</f>
        <v>1</v>
      </c>
      <c r="AK125" s="160"/>
      <c r="AL125" s="58">
        <f t="shared" ref="AL125" si="136">IF(AND(AC125&lt;&gt;"",AE125&lt;&gt;""),4,IF(AC125&lt;&gt;"",1,IF(AE125&lt;&gt;"",2,IF(OR($AC$109&lt;&gt;"",$M$6=1),3,0))))</f>
        <v>0</v>
      </c>
      <c r="AM125" s="13"/>
      <c r="AN125" s="188">
        <f t="shared" ref="AN125" si="137">IF(AND(AC125&lt;&gt;"",AE125&lt;&gt;""),1,IF(AL125&lt;&gt;0,0,1))</f>
        <v>1</v>
      </c>
      <c r="AO125" s="75">
        <f ca="1">SUM($AN$21:OFFSET(AO125,-2,-1))</f>
        <v>45</v>
      </c>
      <c r="AP125" s="75" t="str">
        <f t="shared" ref="AP125" ca="1" si="138">IF(AND(OFFSET(AP125,0,-18)="",AO125=0),AQ125,"XX")</f>
        <v>XX</v>
      </c>
      <c r="AQ125" s="75">
        <f>MAX($AE$21:AE123)</f>
        <v>0</v>
      </c>
      <c r="AR125" s="13">
        <f>IF(SUM(AE127:$AE$348)&gt;0,MIN(AE127:$AE$348),10000)</f>
        <v>10000</v>
      </c>
      <c r="AS125" s="14"/>
      <c r="AT125" s="14"/>
      <c r="AU125" s="75">
        <f t="shared" ref="AU125" si="139">IF(AND(AC125&lt;&gt;"",AE125&lt;&gt;""),4,0)</f>
        <v>0</v>
      </c>
      <c r="AV125" s="2" t="e">
        <f ca="1">IF(AND(AL125&lt;&gt;1,AL125&lt;&gt;3,AL125&lt;&gt;4),AP125+1,XX)</f>
        <v>#VALUE!</v>
      </c>
      <c r="AW125" s="2">
        <f>IF(AND(AL125&lt;&gt;1,AL125&lt;&gt;3,AL125&lt;&gt;4),AR125-1,XX)</f>
        <v>9999</v>
      </c>
    </row>
    <row r="126" spans="1:49" ht="3" customHeight="1">
      <c r="A126" s="123"/>
      <c r="B126" s="123"/>
      <c r="C126" s="123"/>
      <c r="D126" s="123"/>
      <c r="E126" s="123"/>
      <c r="F126" s="123"/>
      <c r="G126" s="123"/>
      <c r="I126" s="6"/>
      <c r="J126" s="257"/>
      <c r="L126" s="7"/>
      <c r="M126" s="250"/>
      <c r="N126" s="7"/>
      <c r="O126" s="36"/>
      <c r="P126" s="36"/>
      <c r="Q126" s="36"/>
      <c r="R126" s="36"/>
      <c r="S126" s="36"/>
      <c r="T126" s="36"/>
      <c r="U126" s="36"/>
      <c r="V126" s="36"/>
      <c r="W126" s="36"/>
      <c r="X126" s="36"/>
      <c r="Y126" s="36"/>
      <c r="Z126" s="36"/>
      <c r="AA126" s="36"/>
      <c r="AB126" s="9"/>
      <c r="AC126" s="164"/>
      <c r="AD126" s="162"/>
      <c r="AE126" s="165"/>
      <c r="AF126" s="7"/>
      <c r="AG126" s="123"/>
      <c r="AJ126" s="58"/>
      <c r="AK126" s="160"/>
      <c r="AL126" s="58"/>
      <c r="AM126" s="13"/>
      <c r="AN126" s="160"/>
      <c r="AO126" s="160"/>
      <c r="AP126" s="160"/>
      <c r="AQ126" s="160"/>
      <c r="AR126" s="13"/>
      <c r="AS126" s="161"/>
      <c r="AT126" s="161"/>
      <c r="AU126" s="160"/>
      <c r="AV126" s="161"/>
      <c r="AW126" s="161"/>
    </row>
    <row r="127" spans="1:49" ht="14.25" customHeight="1">
      <c r="A127" s="123"/>
      <c r="B127" s="123"/>
      <c r="C127" s="123"/>
      <c r="D127" s="123"/>
      <c r="E127" s="123"/>
      <c r="F127" s="123"/>
      <c r="G127" s="123"/>
      <c r="H127" s="2">
        <v>1</v>
      </c>
      <c r="J127" s="256" t="str">
        <f>CONCATENATE(SUM($G$17:G127),".",SUM($H$109:H127))</f>
        <v>6.9</v>
      </c>
      <c r="K127" s="2" t="s">
        <v>402</v>
      </c>
      <c r="L127" s="7"/>
      <c r="M127" s="250"/>
      <c r="N127" s="7"/>
      <c r="O127" s="385" t="str">
        <f>CONCATENATE(J127,". ",K127,$K$17)</f>
        <v>6.9. Minuta dos Contratos de Lojas Âncoras com o Shopping;------------------------------------------------------------------------------------------------------------------------------------------------------------------------</v>
      </c>
      <c r="P127" s="385"/>
      <c r="Q127" s="385"/>
      <c r="R127" s="385"/>
      <c r="S127" s="385"/>
      <c r="T127" s="385"/>
      <c r="U127" s="385"/>
      <c r="V127" s="385"/>
      <c r="W127" s="385"/>
      <c r="X127" s="385"/>
      <c r="Y127" s="385"/>
      <c r="Z127" s="385"/>
      <c r="AA127" s="385"/>
      <c r="AB127" s="385"/>
      <c r="AC127" s="385"/>
      <c r="AD127" s="162"/>
      <c r="AE127" s="379"/>
      <c r="AF127" s="7"/>
      <c r="AG127" s="80"/>
      <c r="AJ127" s="58">
        <f>IF($M$6=0,1,0)</f>
        <v>1</v>
      </c>
      <c r="AK127" s="160"/>
      <c r="AL127" s="58">
        <f t="shared" ref="AL127" si="140">IF(AND(AC127&lt;&gt;"",AE127&lt;&gt;""),4,IF(AC127&lt;&gt;"",1,IF(AE127&lt;&gt;"",2,IF(OR($AC$109&lt;&gt;"",$M$6=1),3,0))))</f>
        <v>0</v>
      </c>
      <c r="AM127" s="13"/>
      <c r="AN127" s="188">
        <f t="shared" ref="AN127" si="141">IF(AND(AC127&lt;&gt;"",AE127&lt;&gt;""),1,IF(AL127&lt;&gt;0,0,1))</f>
        <v>1</v>
      </c>
      <c r="AO127" s="75">
        <f ca="1">SUM($AN$21:OFFSET(AO127,-2,-1))</f>
        <v>46</v>
      </c>
      <c r="AP127" s="75" t="str">
        <f t="shared" ref="AP127" ca="1" si="142">IF(AND(OFFSET(AP127,0,-18)="",AO127=0),AQ127,"XX")</f>
        <v>XX</v>
      </c>
      <c r="AQ127" s="75">
        <f>MAX($AE$21:AE125)</f>
        <v>0</v>
      </c>
      <c r="AR127" s="13">
        <f>IF(SUM(AE129:$AE$348)&gt;0,MIN(AE129:$AE$348),10000)</f>
        <v>10000</v>
      </c>
      <c r="AS127" s="14"/>
      <c r="AT127" s="14"/>
      <c r="AU127" s="75">
        <f t="shared" ref="AU127" si="143">IF(AND(AC127&lt;&gt;"",AE127&lt;&gt;""),4,0)</f>
        <v>0</v>
      </c>
      <c r="AV127" s="2" t="e">
        <f ca="1">IF(AND(AL127&lt;&gt;1,AL127&lt;&gt;3,AL127&lt;&gt;4),AP127+1,XX)</f>
        <v>#VALUE!</v>
      </c>
      <c r="AW127" s="2">
        <f>IF(AND(AL127&lt;&gt;1,AL127&lt;&gt;3,AL127&lt;&gt;4),AR127-1,XX)</f>
        <v>9999</v>
      </c>
    </row>
    <row r="128" spans="1:49" ht="3" customHeight="1">
      <c r="B128" s="1"/>
      <c r="H128" s="6"/>
      <c r="I128" s="14"/>
      <c r="J128" s="74"/>
      <c r="L128" s="7"/>
      <c r="M128" s="250"/>
      <c r="N128" s="11"/>
      <c r="O128" s="129"/>
      <c r="P128" s="129"/>
      <c r="Q128" s="129"/>
      <c r="R128" s="129"/>
      <c r="S128" s="129"/>
      <c r="T128" s="129"/>
      <c r="U128" s="129"/>
      <c r="V128" s="129"/>
      <c r="W128" s="129"/>
      <c r="X128" s="129"/>
      <c r="Y128" s="129"/>
      <c r="Z128" s="129"/>
      <c r="AA128" s="129"/>
      <c r="AB128" s="29"/>
      <c r="AC128" s="29"/>
      <c r="AD128" s="29"/>
      <c r="AE128" s="29"/>
      <c r="AF128" s="7"/>
      <c r="AG128" s="1"/>
      <c r="AJ128" s="13"/>
      <c r="AK128" s="13"/>
      <c r="AL128" s="13"/>
      <c r="AM128" s="13"/>
      <c r="AN128" s="160"/>
      <c r="AO128" s="160"/>
      <c r="AP128" s="160"/>
      <c r="AQ128" s="160"/>
      <c r="AR128" s="13"/>
      <c r="AS128" s="161"/>
      <c r="AT128" s="161"/>
      <c r="AU128" s="160"/>
      <c r="AV128" s="161"/>
      <c r="AW128" s="161"/>
    </row>
    <row r="129" spans="1:49" ht="14.25" customHeight="1">
      <c r="B129" s="1"/>
      <c r="G129" s="2">
        <v>1</v>
      </c>
      <c r="J129" s="71">
        <f>SUM($G$17:G129)</f>
        <v>7</v>
      </c>
      <c r="K129" s="2" t="s">
        <v>22</v>
      </c>
      <c r="L129" s="7"/>
      <c r="M129" s="250">
        <f>IF(AC129&lt;&gt;"",1,0)</f>
        <v>0</v>
      </c>
      <c r="N129" s="7"/>
      <c r="O129" s="451" t="str">
        <f>CONCATENATE(J129,". ",K129)</f>
        <v>7. Se Indústria de Beneficiamento de Madeira:</v>
      </c>
      <c r="P129" s="451"/>
      <c r="Q129" s="451"/>
      <c r="R129" s="451"/>
      <c r="S129" s="451"/>
      <c r="T129" s="451"/>
      <c r="U129" s="451"/>
      <c r="V129" s="451"/>
      <c r="W129" s="451"/>
      <c r="X129" s="451"/>
      <c r="Y129" s="451"/>
      <c r="Z129" s="451"/>
      <c r="AA129" s="451"/>
      <c r="AB129" s="12"/>
      <c r="AC129" s="380"/>
      <c r="AD129" s="8"/>
      <c r="AE129" s="136" t="s">
        <v>389</v>
      </c>
      <c r="AF129" s="7"/>
      <c r="AG129" s="2"/>
      <c r="AJ129" s="13"/>
      <c r="AK129" s="13" t="str">
        <f>IF(AND(AE131="",AE133="",AE135="",AC131="",AC135="",$AC$129=""),"X","")</f>
        <v>X</v>
      </c>
      <c r="AL129" s="75">
        <f>IF(OR(AE131&lt;&gt;"",AE133&lt;&gt;"",AE135&lt;&gt;"",AC131&lt;&gt;"",AC135&lt;&gt;""),3,0)</f>
        <v>0</v>
      </c>
      <c r="AM129" s="13"/>
      <c r="AN129" s="188"/>
      <c r="AO129" s="75">
        <f ca="1">SUM($AN$21:OFFSET(AO129,-2,-1))</f>
        <v>47</v>
      </c>
      <c r="AP129" s="75"/>
      <c r="AQ129" s="75"/>
      <c r="AR129" s="13"/>
      <c r="AS129" s="14"/>
      <c r="AT129" s="14"/>
      <c r="AU129" s="75"/>
    </row>
    <row r="130" spans="1:49" s="6" customFormat="1" ht="3" customHeight="1">
      <c r="A130" s="1"/>
      <c r="B130" s="1"/>
      <c r="I130" s="2"/>
      <c r="J130" s="69"/>
      <c r="L130" s="28"/>
      <c r="M130" s="251"/>
      <c r="N130" s="28"/>
      <c r="O130" s="36"/>
      <c r="P130" s="36"/>
      <c r="Q130" s="37"/>
      <c r="R130" s="37"/>
      <c r="S130" s="37"/>
      <c r="T130" s="37"/>
      <c r="U130" s="37"/>
      <c r="V130" s="37"/>
      <c r="W130" s="37"/>
      <c r="X130" s="37"/>
      <c r="Y130" s="37"/>
      <c r="Z130" s="37"/>
      <c r="AA130" s="37"/>
      <c r="AB130" s="12"/>
      <c r="AC130" s="10"/>
      <c r="AD130" s="8"/>
      <c r="AE130" s="11"/>
      <c r="AF130" s="28"/>
      <c r="AG130" s="1"/>
      <c r="AJ130" s="13"/>
      <c r="AK130" s="13"/>
      <c r="AL130" s="56"/>
      <c r="AM130" s="13"/>
      <c r="AN130" s="160"/>
      <c r="AO130" s="160"/>
      <c r="AP130" s="160"/>
      <c r="AQ130" s="160"/>
      <c r="AR130" s="13"/>
      <c r="AS130" s="161"/>
      <c r="AT130" s="161"/>
      <c r="AU130" s="160"/>
      <c r="AV130" s="161"/>
      <c r="AW130" s="161"/>
    </row>
    <row r="131" spans="1:49" ht="14.25" customHeight="1">
      <c r="B131" s="1"/>
      <c r="H131" s="2">
        <v>1</v>
      </c>
      <c r="J131" s="71" t="str">
        <f>CONCATENATE(SUM($G$17:G131),".",SUM($H$129:H131))</f>
        <v>7.1</v>
      </c>
      <c r="K131" s="2" t="s">
        <v>46</v>
      </c>
      <c r="L131" s="7"/>
      <c r="M131" s="250"/>
      <c r="N131" s="7"/>
      <c r="O131" s="385" t="str">
        <f>CONCATENATE(J131,". ",K131,$K$17)</f>
        <v>7.1. Contrato firmado com os fornecedores; (se utilizar madeira explorada por terceiros)------------------------------------------------------------------------------------------------------------------------------------------------------------------------</v>
      </c>
      <c r="P131" s="385"/>
      <c r="Q131" s="385"/>
      <c r="R131" s="385"/>
      <c r="S131" s="385"/>
      <c r="T131" s="385"/>
      <c r="U131" s="385"/>
      <c r="V131" s="385"/>
      <c r="W131" s="385"/>
      <c r="X131" s="385"/>
      <c r="Y131" s="385"/>
      <c r="Z131" s="385"/>
      <c r="AA131" s="385"/>
      <c r="AB131" s="12"/>
      <c r="AC131" s="380"/>
      <c r="AD131" s="8"/>
      <c r="AE131" s="379"/>
      <c r="AF131" s="7"/>
      <c r="AG131" s="80"/>
      <c r="AJ131" s="13">
        <v>1</v>
      </c>
      <c r="AK131" s="13" t="str">
        <f>IF(AND(AE131="",$AC$129="",AC131=""),"X","")</f>
        <v>X</v>
      </c>
      <c r="AL131" s="13">
        <f>IF(AND(AC131&lt;&gt;"",AE131&lt;&gt;""),4,IF(AC131&lt;&gt;"",1,IF(AE131&lt;&gt;"",2,IF($AC$129&lt;&gt;"",3,0))))</f>
        <v>0</v>
      </c>
      <c r="AM131" s="13"/>
      <c r="AN131" s="188">
        <f t="shared" ref="AN131" si="144">IF(AND(AC131&lt;&gt;"",AE131&lt;&gt;""),1,IF(AL131&lt;&gt;0,0,1))</f>
        <v>1</v>
      </c>
      <c r="AO131" s="75">
        <f ca="1">SUM($AN$21:OFFSET(AO131,-2,-1))</f>
        <v>47</v>
      </c>
      <c r="AP131" s="75" t="str">
        <f t="shared" ref="AP131" ca="1" si="145">IF(AND(OFFSET(AP131,0,-18)="",AO131=0),AQ131,"XX")</f>
        <v>XX</v>
      </c>
      <c r="AQ131" s="75">
        <f>MAX($AE$21:AE129)</f>
        <v>0</v>
      </c>
      <c r="AR131" s="13">
        <f>IF(SUM(AE133:$AE$348)&gt;0,MIN(AE133:$AE$348),10000)</f>
        <v>10000</v>
      </c>
      <c r="AS131" s="14"/>
      <c r="AT131" s="14"/>
      <c r="AU131" s="75">
        <f t="shared" ref="AU131" si="146">IF(AND(AC131&lt;&gt;"",AE131&lt;&gt;""),4,0)</f>
        <v>0</v>
      </c>
      <c r="AV131" s="2" t="e">
        <f ca="1">IF(AND(AL131&lt;&gt;1,AL131&lt;&gt;3,AL131&lt;&gt;4),AP131+1,XX)</f>
        <v>#VALUE!</v>
      </c>
      <c r="AW131" s="2">
        <f>IF(AND(AL131&lt;&gt;1,AL131&lt;&gt;3,AL131&lt;&gt;4),AR131-1,XX)</f>
        <v>9999</v>
      </c>
    </row>
    <row r="132" spans="1:49" s="6" customFormat="1" ht="3" customHeight="1">
      <c r="A132" s="1"/>
      <c r="B132" s="1"/>
      <c r="H132" s="2"/>
      <c r="I132" s="2"/>
      <c r="J132" s="70"/>
      <c r="L132" s="28"/>
      <c r="M132" s="251"/>
      <c r="N132" s="28"/>
      <c r="O132" s="36"/>
      <c r="P132" s="36"/>
      <c r="Q132" s="37"/>
      <c r="R132" s="37"/>
      <c r="S132" s="37"/>
      <c r="T132" s="37"/>
      <c r="U132" s="37"/>
      <c r="V132" s="37"/>
      <c r="W132" s="37"/>
      <c r="X132" s="37"/>
      <c r="Y132" s="37"/>
      <c r="Z132" s="37"/>
      <c r="AA132" s="37"/>
      <c r="AB132" s="12"/>
      <c r="AC132" s="10"/>
      <c r="AD132" s="8"/>
      <c r="AE132" s="11"/>
      <c r="AF132" s="28"/>
      <c r="AG132" s="1"/>
      <c r="AJ132" s="13"/>
      <c r="AK132" s="13"/>
      <c r="AL132" s="56"/>
      <c r="AM132" s="13"/>
      <c r="AN132" s="160"/>
      <c r="AO132" s="160"/>
      <c r="AP132" s="160"/>
      <c r="AQ132" s="160"/>
      <c r="AR132" s="13"/>
      <c r="AS132" s="161"/>
      <c r="AT132" s="161"/>
      <c r="AU132" s="160"/>
      <c r="AV132" s="161"/>
      <c r="AW132" s="161"/>
    </row>
    <row r="133" spans="1:49" ht="14.25" customHeight="1">
      <c r="B133" s="1"/>
      <c r="H133" s="2">
        <v>1</v>
      </c>
      <c r="J133" s="71" t="str">
        <f>CONCATENATE(SUM($G$17:G133),".",SUM($H$129:H133))</f>
        <v>7.2</v>
      </c>
      <c r="K133" s="2" t="s">
        <v>49</v>
      </c>
      <c r="L133" s="7"/>
      <c r="M133" s="250"/>
      <c r="N133" s="7"/>
      <c r="O133" s="385" t="str">
        <f>CONCATENATE(J133,". ",K133,$K$17)</f>
        <v>7.2. Autorização de exploração florestal - AUTEF;------------------------------------------------------------------------------------------------------------------------------------------------------------------------</v>
      </c>
      <c r="P133" s="385"/>
      <c r="Q133" s="385"/>
      <c r="R133" s="385"/>
      <c r="S133" s="385"/>
      <c r="T133" s="385"/>
      <c r="U133" s="385"/>
      <c r="V133" s="385"/>
      <c r="W133" s="385"/>
      <c r="X133" s="385"/>
      <c r="Y133" s="385"/>
      <c r="Z133" s="385"/>
      <c r="AA133" s="385"/>
      <c r="AB133" s="385"/>
      <c r="AC133" s="385"/>
      <c r="AD133" s="8"/>
      <c r="AE133" s="379"/>
      <c r="AF133" s="7"/>
      <c r="AG133" s="80"/>
      <c r="AJ133" s="13">
        <v>1</v>
      </c>
      <c r="AK133" s="13"/>
      <c r="AL133" s="13">
        <f>IF(AND(AC133&lt;&gt;"",AE133&lt;&gt;""),4,IF(AC133&lt;&gt;"",1,IF(AE133&lt;&gt;"",2,IF($AC$129&lt;&gt;"",3,0))))</f>
        <v>0</v>
      </c>
      <c r="AM133" s="13"/>
      <c r="AN133" s="188">
        <f t="shared" ref="AN133" si="147">IF(AND(AC133&lt;&gt;"",AE133&lt;&gt;""),1,IF(AL133&lt;&gt;0,0,1))</f>
        <v>1</v>
      </c>
      <c r="AO133" s="75">
        <f ca="1">SUM($AN$21:OFFSET(AO133,-2,-1))</f>
        <v>48</v>
      </c>
      <c r="AP133" s="75" t="str">
        <f t="shared" ref="AP133" ca="1" si="148">IF(AND(OFFSET(AP133,0,-18)="",AO133=0),AQ133,"XX")</f>
        <v>XX</v>
      </c>
      <c r="AQ133" s="75">
        <f>MAX($AE$21:AE131)</f>
        <v>0</v>
      </c>
      <c r="AR133" s="13">
        <f>IF(SUM(AE135:$AE$348)&gt;0,MIN(AE135:$AE$348),10000)</f>
        <v>10000</v>
      </c>
      <c r="AS133" s="14"/>
      <c r="AT133" s="14"/>
      <c r="AU133" s="75">
        <f t="shared" ref="AU133" si="149">IF(AND(AC133&lt;&gt;"",AE133&lt;&gt;""),4,0)</f>
        <v>0</v>
      </c>
      <c r="AV133" s="2" t="e">
        <f ca="1">IF(AND(AL133&lt;&gt;1,AL133&lt;&gt;3,AL133&lt;&gt;4),AP133+1,XX)</f>
        <v>#VALUE!</v>
      </c>
      <c r="AW133" s="2">
        <f>IF(AND(AL133&lt;&gt;1,AL133&lt;&gt;3,AL133&lt;&gt;4),AR133-1,XX)</f>
        <v>9999</v>
      </c>
    </row>
    <row r="134" spans="1:49" s="6" customFormat="1" ht="3" customHeight="1">
      <c r="A134" s="1"/>
      <c r="B134" s="1"/>
      <c r="I134" s="2"/>
      <c r="J134" s="70"/>
      <c r="L134" s="28"/>
      <c r="M134" s="251"/>
      <c r="N134" s="28"/>
      <c r="O134" s="36"/>
      <c r="P134" s="36"/>
      <c r="Q134" s="37"/>
      <c r="R134" s="37"/>
      <c r="S134" s="37"/>
      <c r="T134" s="37"/>
      <c r="U134" s="37"/>
      <c r="V134" s="37"/>
      <c r="W134" s="37"/>
      <c r="X134" s="37"/>
      <c r="Y134" s="37"/>
      <c r="Z134" s="37"/>
      <c r="AA134" s="37"/>
      <c r="AB134" s="12"/>
      <c r="AC134" s="10"/>
      <c r="AD134" s="8"/>
      <c r="AE134" s="11"/>
      <c r="AF134" s="28"/>
      <c r="AG134" s="25"/>
      <c r="AJ134" s="13"/>
      <c r="AK134" s="13"/>
      <c r="AL134" s="56"/>
      <c r="AM134" s="13"/>
      <c r="AN134" s="160"/>
      <c r="AO134" s="160"/>
      <c r="AP134" s="160"/>
      <c r="AQ134" s="160"/>
      <c r="AR134" s="13"/>
      <c r="AS134" s="161"/>
      <c r="AT134" s="161"/>
      <c r="AU134" s="160"/>
      <c r="AV134" s="161"/>
      <c r="AW134" s="161"/>
    </row>
    <row r="135" spans="1:49" ht="14.25" customHeight="1">
      <c r="B135" s="1"/>
      <c r="H135" s="2">
        <v>1</v>
      </c>
      <c r="J135" s="71" t="str">
        <f>CONCATENATE(SUM($G$17:G135),".",SUM($H$129:H135))</f>
        <v>7.3</v>
      </c>
      <c r="K135" s="2" t="s">
        <v>232</v>
      </c>
      <c r="L135" s="7"/>
      <c r="M135" s="250"/>
      <c r="N135" s="7"/>
      <c r="O135" s="385" t="str">
        <f>CONCATENATE(J135,". ",K135,$K$17)</f>
        <v>7.3. Declaração de Origem Florestal - DOF; (se também realizar transporte de madeira)------------------------------------------------------------------------------------------------------------------------------------------------------------------------</v>
      </c>
      <c r="P135" s="385"/>
      <c r="Q135" s="385"/>
      <c r="R135" s="385"/>
      <c r="S135" s="385"/>
      <c r="T135" s="385"/>
      <c r="U135" s="385"/>
      <c r="V135" s="385"/>
      <c r="W135" s="385"/>
      <c r="X135" s="385"/>
      <c r="Y135" s="385"/>
      <c r="Z135" s="385"/>
      <c r="AA135" s="385"/>
      <c r="AB135" s="9"/>
      <c r="AC135" s="380"/>
      <c r="AD135" s="8"/>
      <c r="AE135" s="379"/>
      <c r="AF135" s="7"/>
      <c r="AG135" s="80"/>
      <c r="AJ135" s="13">
        <v>1</v>
      </c>
      <c r="AK135" s="13" t="str">
        <f>IF(AND(AE135="",$AC$129="",AC135=""),"X","")</f>
        <v>X</v>
      </c>
      <c r="AL135" s="13">
        <f>IF(AND(AC135&lt;&gt;"",AE135&lt;&gt;""),4,IF(AC135&lt;&gt;"",1,IF(AE135&lt;&gt;"",2,IF($AC$129&lt;&gt;"",3,0))))</f>
        <v>0</v>
      </c>
      <c r="AM135" s="13"/>
      <c r="AN135" s="188">
        <f t="shared" ref="AN135" si="150">IF(AND(AC135&lt;&gt;"",AE135&lt;&gt;""),1,IF(AL135&lt;&gt;0,0,1))</f>
        <v>1</v>
      </c>
      <c r="AO135" s="75">
        <f ca="1">SUM($AN$21:OFFSET(AO135,-2,-1))</f>
        <v>49</v>
      </c>
      <c r="AP135" s="75" t="str">
        <f t="shared" ref="AP135" ca="1" si="151">IF(AND(OFFSET(AP135,0,-18)="",AO135=0),AQ135,"XX")</f>
        <v>XX</v>
      </c>
      <c r="AQ135" s="75">
        <f>MAX($AE$21:AE133)</f>
        <v>0</v>
      </c>
      <c r="AR135" s="13">
        <f>IF(SUM(AE137:$AE$348)&gt;0,MIN(AE137:$AE$348),10000)</f>
        <v>10000</v>
      </c>
      <c r="AS135" s="14"/>
      <c r="AT135" s="14"/>
      <c r="AU135" s="75">
        <f t="shared" ref="AU135" si="152">IF(AND(AC135&lt;&gt;"",AE135&lt;&gt;""),4,0)</f>
        <v>0</v>
      </c>
      <c r="AV135" s="2" t="e">
        <f ca="1">IF(AND(AL135&lt;&gt;1,AL135&lt;&gt;3,AL135&lt;&gt;4),AP135+1,XX)</f>
        <v>#VALUE!</v>
      </c>
      <c r="AW135" s="2">
        <f>IF(AND(AL135&lt;&gt;1,AL135&lt;&gt;3,AL135&lt;&gt;4),AR135-1,XX)</f>
        <v>9999</v>
      </c>
    </row>
    <row r="136" spans="1:49" ht="3" customHeight="1">
      <c r="B136" s="1"/>
      <c r="J136" s="70"/>
      <c r="L136" s="7"/>
      <c r="M136" s="250"/>
      <c r="N136" s="7"/>
      <c r="O136" s="36"/>
      <c r="P136" s="36"/>
      <c r="Q136" s="37"/>
      <c r="R136" s="37"/>
      <c r="S136" s="37"/>
      <c r="T136" s="37"/>
      <c r="U136" s="37"/>
      <c r="V136" s="37"/>
      <c r="W136" s="37"/>
      <c r="X136" s="37"/>
      <c r="Y136" s="37"/>
      <c r="Z136" s="37"/>
      <c r="AA136" s="37"/>
      <c r="AB136" s="12"/>
      <c r="AC136" s="10"/>
      <c r="AD136" s="8"/>
      <c r="AE136" s="11"/>
      <c r="AF136" s="7"/>
      <c r="AG136" s="1"/>
      <c r="AJ136" s="13"/>
      <c r="AK136" s="13"/>
      <c r="AL136" s="13"/>
      <c r="AM136" s="13"/>
      <c r="AN136" s="160"/>
      <c r="AO136" s="160"/>
      <c r="AP136" s="160"/>
      <c r="AQ136" s="160"/>
      <c r="AR136" s="13"/>
      <c r="AS136" s="161"/>
      <c r="AT136" s="161"/>
      <c r="AU136" s="160"/>
      <c r="AV136" s="161"/>
      <c r="AW136" s="161"/>
    </row>
    <row r="137" spans="1:49" ht="14.25" customHeight="1">
      <c r="B137" s="1"/>
      <c r="G137" s="2">
        <v>1</v>
      </c>
      <c r="J137" s="71">
        <f>SUM($G$17:G137)</f>
        <v>8</v>
      </c>
      <c r="K137" s="2" t="s">
        <v>23</v>
      </c>
      <c r="L137" s="7"/>
      <c r="M137" s="250">
        <f>IF(AC137&lt;&gt;"",1,0)</f>
        <v>0</v>
      </c>
      <c r="N137" s="7"/>
      <c r="O137" s="408" t="str">
        <f>CONCATENATE(J137,". ",K137)</f>
        <v>8. Se Indústria Mineral:</v>
      </c>
      <c r="P137" s="408"/>
      <c r="Q137" s="408"/>
      <c r="R137" s="408"/>
      <c r="S137" s="408"/>
      <c r="T137" s="408"/>
      <c r="U137" s="408"/>
      <c r="V137" s="408"/>
      <c r="W137" s="408"/>
      <c r="X137" s="408"/>
      <c r="Y137" s="408"/>
      <c r="Z137" s="408"/>
      <c r="AA137" s="408"/>
      <c r="AB137" s="12"/>
      <c r="AC137" s="380"/>
      <c r="AD137" s="8"/>
      <c r="AE137" s="136" t="s">
        <v>389</v>
      </c>
      <c r="AF137" s="7"/>
      <c r="AG137" s="2"/>
      <c r="AJ137" s="13"/>
      <c r="AK137" s="13" t="str">
        <f>IF(AND(AE139="",AE141="",AE143="",AE145="",AE147="",$AC$137=""),"X","")</f>
        <v>X</v>
      </c>
      <c r="AL137" s="75">
        <f>IF(OR(AE139&lt;&gt;"",AE141&lt;&gt;"",AE143&lt;&gt;"",AE145&lt;&gt;"",AE147&lt;&gt;""),3,0)</f>
        <v>0</v>
      </c>
      <c r="AM137" s="13"/>
      <c r="AN137" s="188"/>
      <c r="AO137" s="75">
        <f ca="1">SUM($AN$21:OFFSET(AO137,-2,-1))</f>
        <v>50</v>
      </c>
      <c r="AP137" s="75"/>
      <c r="AQ137" s="75"/>
      <c r="AR137" s="13"/>
      <c r="AS137" s="14"/>
      <c r="AT137" s="14"/>
      <c r="AU137" s="75"/>
    </row>
    <row r="138" spans="1:49" ht="3" customHeight="1">
      <c r="B138" s="1"/>
      <c r="H138" s="6"/>
      <c r="I138" s="6"/>
      <c r="J138" s="70"/>
      <c r="L138" s="7"/>
      <c r="M138" s="250"/>
      <c r="N138" s="7"/>
      <c r="O138" s="36"/>
      <c r="P138" s="36"/>
      <c r="Q138" s="37"/>
      <c r="R138" s="37"/>
      <c r="S138" s="37"/>
      <c r="T138" s="37"/>
      <c r="U138" s="37"/>
      <c r="V138" s="37"/>
      <c r="W138" s="37"/>
      <c r="X138" s="37"/>
      <c r="Y138" s="37"/>
      <c r="Z138" s="37"/>
      <c r="AA138" s="37"/>
      <c r="AB138" s="12"/>
      <c r="AC138" s="10"/>
      <c r="AD138" s="8"/>
      <c r="AE138" s="11"/>
      <c r="AF138" s="7"/>
      <c r="AG138" s="1"/>
      <c r="AJ138" s="13"/>
      <c r="AK138" s="13"/>
      <c r="AL138" s="13"/>
      <c r="AM138" s="13"/>
      <c r="AN138" s="160"/>
      <c r="AO138" s="160"/>
      <c r="AP138" s="160"/>
      <c r="AQ138" s="160"/>
      <c r="AR138" s="13"/>
      <c r="AS138" s="161"/>
      <c r="AT138" s="161"/>
      <c r="AU138" s="160"/>
      <c r="AV138" s="161"/>
      <c r="AW138" s="161"/>
    </row>
    <row r="139" spans="1:49" ht="14.25" customHeight="1">
      <c r="B139" s="1"/>
      <c r="H139" s="2">
        <v>1</v>
      </c>
      <c r="J139" s="71" t="str">
        <f>CONCATENATE(SUM($G$17:G139),".",SUM($H$137:H139))</f>
        <v>8.1</v>
      </c>
      <c r="K139" s="2" t="s">
        <v>24</v>
      </c>
      <c r="L139" s="7"/>
      <c r="M139" s="250"/>
      <c r="N139" s="7"/>
      <c r="O139" s="384" t="str">
        <f>CONCATENATE(J139,". ",K139,$K$17)</f>
        <v>8.1. Portaria de Lavra, com prova de respectiva transcrição do DNPM;------------------------------------------------------------------------------------------------------------------------------------------------------------------------</v>
      </c>
      <c r="P139" s="384"/>
      <c r="Q139" s="384"/>
      <c r="R139" s="384"/>
      <c r="S139" s="384"/>
      <c r="T139" s="384"/>
      <c r="U139" s="384"/>
      <c r="V139" s="384"/>
      <c r="W139" s="384"/>
      <c r="X139" s="384"/>
      <c r="Y139" s="384"/>
      <c r="Z139" s="384"/>
      <c r="AA139" s="384"/>
      <c r="AB139" s="384"/>
      <c r="AC139" s="384"/>
      <c r="AD139" s="8"/>
      <c r="AE139" s="379"/>
      <c r="AF139" s="7"/>
      <c r="AG139" s="80"/>
      <c r="AJ139" s="13">
        <v>1</v>
      </c>
      <c r="AK139" s="13"/>
      <c r="AL139" s="13">
        <f>IF(AND(AC139&lt;&gt;"",AE139&lt;&gt;""),4,IF(AC139&lt;&gt;"",1,IF(AE139&lt;&gt;"",2,IF($AC$137&lt;&gt;"",3,0))))</f>
        <v>0</v>
      </c>
      <c r="AM139" s="13"/>
      <c r="AN139" s="188">
        <f t="shared" ref="AN139" si="153">IF(AND(AC139&lt;&gt;"",AE139&lt;&gt;""),1,IF(AL139&lt;&gt;0,0,1))</f>
        <v>1</v>
      </c>
      <c r="AO139" s="75">
        <f ca="1">SUM($AN$21:OFFSET(AO139,-2,-1))</f>
        <v>50</v>
      </c>
      <c r="AP139" s="75" t="str">
        <f t="shared" ref="AP139" ca="1" si="154">IF(AND(OFFSET(AP139,0,-18)="",AO139=0),AQ139,"XX")</f>
        <v>XX</v>
      </c>
      <c r="AQ139" s="75">
        <f>MAX($AE$21:AE137)</f>
        <v>0</v>
      </c>
      <c r="AR139" s="13">
        <f>IF(SUM(AE141:$AE$348)&gt;0,MIN(AE141:$AE$348),10000)</f>
        <v>10000</v>
      </c>
      <c r="AS139" s="14"/>
      <c r="AT139" s="14"/>
      <c r="AU139" s="75">
        <f t="shared" ref="AU139" si="155">IF(AND(AC139&lt;&gt;"",AE139&lt;&gt;""),4,0)</f>
        <v>0</v>
      </c>
      <c r="AV139" s="2" t="e">
        <f ca="1">IF(AND(AL139&lt;&gt;1,AL139&lt;&gt;3,AL139&lt;&gt;4),AP139+1,XX)</f>
        <v>#VALUE!</v>
      </c>
      <c r="AW139" s="2">
        <f>IF(AND(AL139&lt;&gt;1,AL139&lt;&gt;3,AL139&lt;&gt;4),AR139-1,XX)</f>
        <v>9999</v>
      </c>
    </row>
    <row r="140" spans="1:49" ht="3" customHeight="1">
      <c r="B140" s="1"/>
      <c r="I140" s="6"/>
      <c r="J140" s="70"/>
      <c r="L140" s="7"/>
      <c r="M140" s="250"/>
      <c r="N140" s="7"/>
      <c r="O140" s="36"/>
      <c r="P140" s="36"/>
      <c r="Q140" s="37"/>
      <c r="R140" s="37"/>
      <c r="S140" s="37"/>
      <c r="T140" s="37"/>
      <c r="U140" s="37"/>
      <c r="V140" s="37"/>
      <c r="W140" s="37"/>
      <c r="X140" s="37"/>
      <c r="Y140" s="37"/>
      <c r="Z140" s="37"/>
      <c r="AA140" s="37"/>
      <c r="AB140" s="12"/>
      <c r="AC140" s="10"/>
      <c r="AD140" s="8"/>
      <c r="AE140" s="11"/>
      <c r="AF140" s="7"/>
      <c r="AG140" s="2"/>
      <c r="AJ140" s="13"/>
      <c r="AK140" s="13"/>
      <c r="AL140" s="13"/>
      <c r="AM140" s="13"/>
      <c r="AN140" s="160"/>
      <c r="AO140" s="160"/>
      <c r="AP140" s="160"/>
      <c r="AQ140" s="160"/>
      <c r="AR140" s="13"/>
      <c r="AS140" s="161"/>
      <c r="AT140" s="161"/>
      <c r="AU140" s="160"/>
      <c r="AV140" s="161"/>
      <c r="AW140" s="161"/>
    </row>
    <row r="141" spans="1:49" ht="14.25" customHeight="1">
      <c r="B141" s="1"/>
      <c r="H141" s="2">
        <v>1</v>
      </c>
      <c r="J141" s="71" t="str">
        <f>CONCATENATE(SUM($G$17:G141),".",SUM($H$137:H141))</f>
        <v>8.2</v>
      </c>
      <c r="K141" s="2" t="s">
        <v>48</v>
      </c>
      <c r="L141" s="7"/>
      <c r="M141" s="250"/>
      <c r="N141" s="7"/>
      <c r="O141" s="384" t="str">
        <f>CONCATENATE(J141,". ",K141,$K$17)</f>
        <v>8.2. Projeto aprovado pelo DNPM;------------------------------------------------------------------------------------------------------------------------------------------------------------------------</v>
      </c>
      <c r="P141" s="384"/>
      <c r="Q141" s="384"/>
      <c r="R141" s="384"/>
      <c r="S141" s="384"/>
      <c r="T141" s="384"/>
      <c r="U141" s="384"/>
      <c r="V141" s="384"/>
      <c r="W141" s="384"/>
      <c r="X141" s="384"/>
      <c r="Y141" s="384"/>
      <c r="Z141" s="384"/>
      <c r="AA141" s="384"/>
      <c r="AB141" s="384"/>
      <c r="AC141" s="384"/>
      <c r="AD141" s="8"/>
      <c r="AE141" s="379"/>
      <c r="AF141" s="7"/>
      <c r="AG141" s="80"/>
      <c r="AJ141" s="13">
        <v>1</v>
      </c>
      <c r="AK141" s="13"/>
      <c r="AL141" s="13">
        <f>IF(AND(AC141&lt;&gt;"",AE141&lt;&gt;""),4,IF(AC141&lt;&gt;"",1,IF(AE141&lt;&gt;"",2,IF($AC$137&lt;&gt;"",3,0))))</f>
        <v>0</v>
      </c>
      <c r="AM141" s="13"/>
      <c r="AN141" s="188">
        <f t="shared" ref="AN141" si="156">IF(AND(AC141&lt;&gt;"",AE141&lt;&gt;""),1,IF(AL141&lt;&gt;0,0,1))</f>
        <v>1</v>
      </c>
      <c r="AO141" s="75">
        <f ca="1">SUM($AN$21:OFFSET(AO141,-2,-1))</f>
        <v>51</v>
      </c>
      <c r="AP141" s="75" t="str">
        <f t="shared" ref="AP141" ca="1" si="157">IF(AND(OFFSET(AP141,0,-18)="",AO141=0),AQ141,"XX")</f>
        <v>XX</v>
      </c>
      <c r="AQ141" s="75">
        <f>MAX($AE$21:AE139)</f>
        <v>0</v>
      </c>
      <c r="AR141" s="13">
        <f>IF(SUM(AE143:$AE$348)&gt;0,MIN(AE143:$AE$348),10000)</f>
        <v>10000</v>
      </c>
      <c r="AS141" s="14"/>
      <c r="AT141" s="14"/>
      <c r="AU141" s="75">
        <f t="shared" ref="AU141" si="158">IF(AND(AC141&lt;&gt;"",AE141&lt;&gt;""),4,0)</f>
        <v>0</v>
      </c>
      <c r="AV141" s="2" t="e">
        <f ca="1">IF(AND(AL141&lt;&gt;1,AL141&lt;&gt;3,AL141&lt;&gt;4),AP141+1,XX)</f>
        <v>#VALUE!</v>
      </c>
      <c r="AW141" s="2">
        <f>IF(AND(AL141&lt;&gt;1,AL141&lt;&gt;3,AL141&lt;&gt;4),AR141-1,XX)</f>
        <v>9999</v>
      </c>
    </row>
    <row r="142" spans="1:49" ht="3" customHeight="1">
      <c r="B142" s="1"/>
      <c r="H142" s="6"/>
      <c r="I142" s="6"/>
      <c r="J142" s="70"/>
      <c r="L142" s="7"/>
      <c r="M142" s="250"/>
      <c r="N142" s="7"/>
      <c r="O142" s="36"/>
      <c r="P142" s="36"/>
      <c r="Q142" s="37"/>
      <c r="R142" s="37"/>
      <c r="S142" s="37"/>
      <c r="T142" s="37"/>
      <c r="U142" s="37"/>
      <c r="V142" s="37"/>
      <c r="W142" s="37"/>
      <c r="X142" s="37"/>
      <c r="Y142" s="37"/>
      <c r="Z142" s="37"/>
      <c r="AA142" s="37"/>
      <c r="AB142" s="12"/>
      <c r="AC142" s="10"/>
      <c r="AD142" s="8"/>
      <c r="AE142" s="11"/>
      <c r="AF142" s="7"/>
      <c r="AG142" s="2"/>
      <c r="AJ142" s="13"/>
      <c r="AK142" s="13"/>
      <c r="AL142" s="13"/>
      <c r="AM142" s="13"/>
      <c r="AN142" s="160"/>
      <c r="AO142" s="160"/>
      <c r="AP142" s="160"/>
      <c r="AQ142" s="160"/>
      <c r="AR142" s="13"/>
      <c r="AS142" s="161"/>
      <c r="AT142" s="161"/>
      <c r="AU142" s="160"/>
      <c r="AV142" s="161"/>
      <c r="AW142" s="161"/>
    </row>
    <row r="143" spans="1:49" ht="14.25" customHeight="1">
      <c r="B143" s="1"/>
      <c r="H143" s="2">
        <v>1</v>
      </c>
      <c r="J143" s="71" t="str">
        <f>CONCATENATE(SUM($G$17:G143),".",SUM($H$137:H143))</f>
        <v>8.3</v>
      </c>
      <c r="K143" s="2" t="s">
        <v>231</v>
      </c>
      <c r="L143" s="7"/>
      <c r="M143" s="250"/>
      <c r="N143" s="7"/>
      <c r="O143" s="384" t="str">
        <f>CONCATENATE(J143,". ",K143,$K$17)</f>
        <v>8.3. Licença expedida pela autoridade administrativa do município de localização da jazida - regist. no DNPM;------------------------------------------------------------------------------------------------------------------------------------------------------------------------</v>
      </c>
      <c r="P143" s="384"/>
      <c r="Q143" s="384"/>
      <c r="R143" s="384"/>
      <c r="S143" s="384"/>
      <c r="T143" s="384"/>
      <c r="U143" s="384"/>
      <c r="V143" s="384"/>
      <c r="W143" s="384"/>
      <c r="X143" s="384"/>
      <c r="Y143" s="384"/>
      <c r="Z143" s="384"/>
      <c r="AA143" s="384"/>
      <c r="AB143" s="384"/>
      <c r="AC143" s="384"/>
      <c r="AD143" s="8"/>
      <c r="AE143" s="379"/>
      <c r="AF143" s="7"/>
      <c r="AG143" s="80"/>
      <c r="AJ143" s="13">
        <v>1</v>
      </c>
      <c r="AK143" s="13"/>
      <c r="AL143" s="13">
        <f>IF(AND(AC143&lt;&gt;"",AE143&lt;&gt;""),4,IF(AC143&lt;&gt;"",1,IF(AE143&lt;&gt;"",2,IF($AC$137&lt;&gt;"",3,0))))</f>
        <v>0</v>
      </c>
      <c r="AM143" s="13"/>
      <c r="AN143" s="188">
        <f t="shared" ref="AN143" si="159">IF(AND(AC143&lt;&gt;"",AE143&lt;&gt;""),1,IF(AL143&lt;&gt;0,0,1))</f>
        <v>1</v>
      </c>
      <c r="AO143" s="75">
        <f ca="1">SUM($AN$21:OFFSET(AO143,-2,-1))</f>
        <v>52</v>
      </c>
      <c r="AP143" s="75" t="str">
        <f t="shared" ref="AP143" ca="1" si="160">IF(AND(OFFSET(AP143,0,-18)="",AO143=0),AQ143,"XX")</f>
        <v>XX</v>
      </c>
      <c r="AQ143" s="75">
        <f>MAX($AE$21:AE141)</f>
        <v>0</v>
      </c>
      <c r="AR143" s="13">
        <f>IF(SUM(AE145:$AE$348)&gt;0,MIN(AE145:$AE$348),10000)</f>
        <v>10000</v>
      </c>
      <c r="AS143" s="14"/>
      <c r="AT143" s="14"/>
      <c r="AU143" s="75">
        <f t="shared" ref="AU143" si="161">IF(AND(AC143&lt;&gt;"",AE143&lt;&gt;""),4,0)</f>
        <v>0</v>
      </c>
      <c r="AV143" s="2" t="e">
        <f ca="1">IF(AND(AL143&lt;&gt;1,AL143&lt;&gt;3,AL143&lt;&gt;4),AP143+1,XX)</f>
        <v>#VALUE!</v>
      </c>
      <c r="AW143" s="2">
        <f>IF(AND(AL143&lt;&gt;1,AL143&lt;&gt;3,AL143&lt;&gt;4),AR143-1,XX)</f>
        <v>9999</v>
      </c>
    </row>
    <row r="144" spans="1:49" ht="3" customHeight="1">
      <c r="B144" s="1"/>
      <c r="J144" s="70"/>
      <c r="L144" s="7"/>
      <c r="M144" s="250"/>
      <c r="N144" s="7"/>
      <c r="O144" s="36"/>
      <c r="P144" s="36"/>
      <c r="Q144" s="37"/>
      <c r="R144" s="37"/>
      <c r="S144" s="37"/>
      <c r="T144" s="37"/>
      <c r="U144" s="37"/>
      <c r="V144" s="37"/>
      <c r="W144" s="37"/>
      <c r="X144" s="37"/>
      <c r="Y144" s="37"/>
      <c r="Z144" s="37"/>
      <c r="AA144" s="37"/>
      <c r="AB144" s="12"/>
      <c r="AC144" s="10"/>
      <c r="AD144" s="8"/>
      <c r="AE144" s="11"/>
      <c r="AF144" s="7"/>
      <c r="AG144" s="1"/>
      <c r="AJ144" s="13"/>
      <c r="AK144" s="13"/>
      <c r="AL144" s="13"/>
      <c r="AM144" s="13"/>
      <c r="AN144" s="160"/>
      <c r="AO144" s="160"/>
      <c r="AP144" s="160"/>
      <c r="AQ144" s="160"/>
      <c r="AR144" s="13"/>
      <c r="AS144" s="161"/>
      <c r="AT144" s="161"/>
      <c r="AU144" s="160"/>
      <c r="AV144" s="161"/>
      <c r="AW144" s="161"/>
    </row>
    <row r="145" spans="1:49" ht="14.25" customHeight="1">
      <c r="B145" s="1"/>
      <c r="H145" s="2">
        <v>1</v>
      </c>
      <c r="J145" s="71" t="str">
        <f>CONCATENATE(SUM($G$17:G145),".",SUM($H$137:H145))</f>
        <v>8.4</v>
      </c>
      <c r="K145" s="2" t="s">
        <v>25</v>
      </c>
      <c r="L145" s="7"/>
      <c r="M145" s="250"/>
      <c r="N145" s="7"/>
      <c r="O145" s="384" t="str">
        <f>CONCATENATE(J145,". ",K145,$K$17)</f>
        <v>8.4. Estudos geológicos sobre a jazida;------------------------------------------------------------------------------------------------------------------------------------------------------------------------</v>
      </c>
      <c r="P145" s="384"/>
      <c r="Q145" s="384"/>
      <c r="R145" s="384"/>
      <c r="S145" s="384"/>
      <c r="T145" s="384"/>
      <c r="U145" s="384"/>
      <c r="V145" s="384"/>
      <c r="W145" s="384"/>
      <c r="X145" s="384"/>
      <c r="Y145" s="384"/>
      <c r="Z145" s="384"/>
      <c r="AA145" s="384"/>
      <c r="AB145" s="384"/>
      <c r="AC145" s="384"/>
      <c r="AD145" s="8"/>
      <c r="AE145" s="379"/>
      <c r="AF145" s="7"/>
      <c r="AG145" s="80"/>
      <c r="AJ145" s="13">
        <v>1</v>
      </c>
      <c r="AK145" s="13"/>
      <c r="AL145" s="13">
        <f>IF(AND(AC145&lt;&gt;"",AE145&lt;&gt;""),4,IF(AC145&lt;&gt;"",1,IF(AE145&lt;&gt;"",2,IF($AC$137&lt;&gt;"",3,0))))</f>
        <v>0</v>
      </c>
      <c r="AM145" s="13"/>
      <c r="AN145" s="188">
        <f t="shared" ref="AN145" si="162">IF(AND(AC145&lt;&gt;"",AE145&lt;&gt;""),1,IF(AL145&lt;&gt;0,0,1))</f>
        <v>1</v>
      </c>
      <c r="AO145" s="75">
        <f ca="1">SUM($AN$21:OFFSET(AO145,-2,-1))</f>
        <v>53</v>
      </c>
      <c r="AP145" s="75" t="str">
        <f t="shared" ref="AP145" ca="1" si="163">IF(AND(OFFSET(AP145,0,-18)="",AO145=0),AQ145,"XX")</f>
        <v>XX</v>
      </c>
      <c r="AQ145" s="75">
        <f>MAX($AE$21:AE143)</f>
        <v>0</v>
      </c>
      <c r="AR145" s="13">
        <f>IF(SUM(AE147:$AE$348)&gt;0,MIN(AE147:$AE$348),10000)</f>
        <v>10000</v>
      </c>
      <c r="AS145" s="14"/>
      <c r="AT145" s="14"/>
      <c r="AU145" s="75">
        <f t="shared" ref="AU145" si="164">IF(AND(AC145&lt;&gt;"",AE145&lt;&gt;""),4,0)</f>
        <v>0</v>
      </c>
      <c r="AV145" s="2" t="e">
        <f ca="1">IF(AND(AL145&lt;&gt;1,AL145&lt;&gt;3,AL145&lt;&gt;4),AP145+1,XX)</f>
        <v>#VALUE!</v>
      </c>
      <c r="AW145" s="2">
        <f>IF(AND(AL145&lt;&gt;1,AL145&lt;&gt;3,AL145&lt;&gt;4),AR145-1,XX)</f>
        <v>9999</v>
      </c>
    </row>
    <row r="146" spans="1:49" ht="3" customHeight="1">
      <c r="B146" s="1"/>
      <c r="H146" s="6"/>
      <c r="J146" s="70"/>
      <c r="L146" s="7"/>
      <c r="M146" s="250"/>
      <c r="N146" s="7"/>
      <c r="O146" s="36"/>
      <c r="P146" s="36"/>
      <c r="Q146" s="37"/>
      <c r="R146" s="37"/>
      <c r="S146" s="37"/>
      <c r="T146" s="37"/>
      <c r="U146" s="37"/>
      <c r="V146" s="37"/>
      <c r="W146" s="37"/>
      <c r="X146" s="37"/>
      <c r="Y146" s="37"/>
      <c r="Z146" s="37"/>
      <c r="AA146" s="37"/>
      <c r="AB146" s="12"/>
      <c r="AC146" s="10"/>
      <c r="AD146" s="8"/>
      <c r="AE146" s="11"/>
      <c r="AF146" s="7"/>
      <c r="AG146" s="25"/>
      <c r="AJ146" s="13"/>
      <c r="AK146" s="13"/>
      <c r="AL146" s="13"/>
      <c r="AM146" s="13"/>
      <c r="AN146" s="160"/>
      <c r="AO146" s="160"/>
      <c r="AP146" s="160"/>
      <c r="AQ146" s="160"/>
      <c r="AR146" s="13"/>
      <c r="AS146" s="161"/>
      <c r="AT146" s="161"/>
      <c r="AU146" s="160"/>
      <c r="AV146" s="161"/>
      <c r="AW146" s="161"/>
    </row>
    <row r="147" spans="1:49" ht="14.25" customHeight="1">
      <c r="B147" s="1"/>
      <c r="H147" s="2">
        <v>1</v>
      </c>
      <c r="J147" s="71" t="str">
        <f>CONCATENATE(SUM($G$17:G147),".",SUM($H$137:H147))</f>
        <v>8.5</v>
      </c>
      <c r="K147" s="2" t="s">
        <v>171</v>
      </c>
      <c r="L147" s="7"/>
      <c r="M147" s="250"/>
      <c r="N147" s="7"/>
      <c r="O147" s="384" t="str">
        <f>CONCATENATE(J147,". ",K147,$K$17)</f>
        <v>8.5. Testes laboratoriais sobre o mineral.------------------------------------------------------------------------------------------------------------------------------------------------------------------------</v>
      </c>
      <c r="P147" s="384"/>
      <c r="Q147" s="384"/>
      <c r="R147" s="384"/>
      <c r="S147" s="384"/>
      <c r="T147" s="384"/>
      <c r="U147" s="384"/>
      <c r="V147" s="384"/>
      <c r="W147" s="384"/>
      <c r="X147" s="384"/>
      <c r="Y147" s="384"/>
      <c r="Z147" s="384"/>
      <c r="AA147" s="384"/>
      <c r="AB147" s="384"/>
      <c r="AC147" s="384"/>
      <c r="AD147" s="8"/>
      <c r="AE147" s="379"/>
      <c r="AF147" s="7"/>
      <c r="AG147" s="80"/>
      <c r="AJ147" s="13">
        <v>1</v>
      </c>
      <c r="AK147" s="13"/>
      <c r="AL147" s="13">
        <f>IF(AND(AC147&lt;&gt;"",AE147&lt;&gt;""),4,IF(AC147&lt;&gt;"",1,IF(AE147&lt;&gt;"",2,IF($AC$137&lt;&gt;"",3,0))))</f>
        <v>0</v>
      </c>
      <c r="AM147" s="13"/>
      <c r="AN147" s="188">
        <f t="shared" ref="AN147" si="165">IF(AND(AC147&lt;&gt;"",AE147&lt;&gt;""),1,IF(AL147&lt;&gt;0,0,1))</f>
        <v>1</v>
      </c>
      <c r="AO147" s="75">
        <f ca="1">SUM($AN$21:OFFSET(AO147,-2,-1))</f>
        <v>54</v>
      </c>
      <c r="AP147" s="75" t="str">
        <f t="shared" ref="AP147" ca="1" si="166">IF(AND(OFFSET(AP147,0,-18)="",AO147=0),AQ147,"XX")</f>
        <v>XX</v>
      </c>
      <c r="AQ147" s="75">
        <f>MAX($AE$21:AE145)</f>
        <v>0</v>
      </c>
      <c r="AR147" s="13">
        <f>IF(SUM(AE149:$AE$348)&gt;0,MIN(AE149:$AE$348),10000)</f>
        <v>10000</v>
      </c>
      <c r="AS147" s="14"/>
      <c r="AT147" s="14"/>
      <c r="AU147" s="75">
        <f t="shared" ref="AU147" si="167">IF(AND(AC147&lt;&gt;"",AE147&lt;&gt;""),4,0)</f>
        <v>0</v>
      </c>
      <c r="AV147" s="2" t="e">
        <f ca="1">IF(AND(AL147&lt;&gt;1,AL147&lt;&gt;3,AL147&lt;&gt;4),AP147+1,XX)</f>
        <v>#VALUE!</v>
      </c>
      <c r="AW147" s="2">
        <f>IF(AND(AL147&lt;&gt;1,AL147&lt;&gt;3,AL147&lt;&gt;4),AR147-1,XX)</f>
        <v>9999</v>
      </c>
    </row>
    <row r="148" spans="1:49" ht="3" customHeight="1">
      <c r="B148" s="1"/>
      <c r="J148" s="70"/>
      <c r="L148" s="7"/>
      <c r="M148" s="250"/>
      <c r="N148" s="7"/>
      <c r="O148" s="36"/>
      <c r="P148" s="36"/>
      <c r="Q148" s="37"/>
      <c r="R148" s="37"/>
      <c r="S148" s="37"/>
      <c r="T148" s="37"/>
      <c r="U148" s="37"/>
      <c r="V148" s="37"/>
      <c r="W148" s="37"/>
      <c r="X148" s="37"/>
      <c r="Y148" s="37"/>
      <c r="Z148" s="37"/>
      <c r="AA148" s="37"/>
      <c r="AB148" s="12"/>
      <c r="AC148" s="10"/>
      <c r="AD148" s="8"/>
      <c r="AE148" s="11"/>
      <c r="AF148" s="7"/>
      <c r="AG148" s="1"/>
      <c r="AJ148" s="13"/>
      <c r="AK148" s="13"/>
      <c r="AL148" s="13"/>
      <c r="AM148" s="13"/>
      <c r="AN148" s="160"/>
      <c r="AO148" s="160"/>
      <c r="AP148" s="160"/>
      <c r="AQ148" s="160"/>
      <c r="AR148" s="13"/>
      <c r="AS148" s="161"/>
      <c r="AT148" s="161"/>
      <c r="AU148" s="160"/>
      <c r="AV148" s="161"/>
      <c r="AW148" s="161"/>
    </row>
    <row r="149" spans="1:49" ht="14.25" customHeight="1">
      <c r="B149" s="1"/>
      <c r="G149" s="2">
        <v>1</v>
      </c>
      <c r="J149" s="71">
        <f>SUM($G$17:G149)</f>
        <v>9</v>
      </c>
      <c r="K149" s="2" t="s">
        <v>210</v>
      </c>
      <c r="L149" s="7"/>
      <c r="M149" s="250">
        <f>IF(AC149&lt;&gt;"",1,0)</f>
        <v>0</v>
      </c>
      <c r="N149" s="7"/>
      <c r="O149" s="451" t="str">
        <f>CONCATENATE(J149,". ",K149)</f>
        <v>9. Se Indústria Alimentícia:</v>
      </c>
      <c r="P149" s="451"/>
      <c r="Q149" s="451"/>
      <c r="R149" s="451"/>
      <c r="S149" s="451"/>
      <c r="T149" s="451"/>
      <c r="U149" s="451"/>
      <c r="V149" s="451"/>
      <c r="W149" s="451"/>
      <c r="X149" s="451"/>
      <c r="Y149" s="451"/>
      <c r="Z149" s="451"/>
      <c r="AA149" s="451"/>
      <c r="AB149" s="12"/>
      <c r="AC149" s="380"/>
      <c r="AD149" s="8"/>
      <c r="AE149" s="136" t="s">
        <v>389</v>
      </c>
      <c r="AF149" s="7"/>
      <c r="AG149" s="2"/>
      <c r="AJ149" s="13"/>
      <c r="AK149" s="13" t="str">
        <f>IF(AND(AE151="",AE153="",AE155="",AC151="",AC153="",AC155="",$AC$149=""),"X","")</f>
        <v>X</v>
      </c>
      <c r="AL149" s="75">
        <f>IF(OR(AE151&lt;&gt;"",AE153&lt;&gt;"",AE155&lt;&gt;"",AC151&lt;&gt;"",AC153&lt;&gt;"",AC155&lt;&gt;""),3,0)</f>
        <v>0</v>
      </c>
      <c r="AM149" s="13"/>
      <c r="AN149" s="188"/>
      <c r="AO149" s="75">
        <f ca="1">SUM($AN$21:OFFSET(AO149,-2,-1))</f>
        <v>55</v>
      </c>
      <c r="AP149" s="75"/>
      <c r="AQ149" s="75"/>
      <c r="AR149" s="13"/>
      <c r="AS149" s="14"/>
      <c r="AT149" s="14"/>
      <c r="AU149" s="75"/>
    </row>
    <row r="150" spans="1:49" ht="3" customHeight="1">
      <c r="B150" s="1"/>
      <c r="H150" s="6"/>
      <c r="J150" s="70"/>
      <c r="L150" s="7"/>
      <c r="M150" s="250"/>
      <c r="N150" s="7"/>
      <c r="O150" s="36"/>
      <c r="P150" s="36"/>
      <c r="Q150" s="37"/>
      <c r="R150" s="37"/>
      <c r="S150" s="37"/>
      <c r="T150" s="37"/>
      <c r="U150" s="37"/>
      <c r="V150" s="37"/>
      <c r="W150" s="37"/>
      <c r="X150" s="37"/>
      <c r="Y150" s="37"/>
      <c r="Z150" s="37"/>
      <c r="AA150" s="37"/>
      <c r="AB150" s="12"/>
      <c r="AC150" s="190"/>
      <c r="AD150" s="8"/>
      <c r="AE150" s="11"/>
      <c r="AF150" s="7"/>
      <c r="AG150" s="1"/>
      <c r="AJ150" s="13"/>
      <c r="AK150" s="13"/>
      <c r="AL150" s="13"/>
      <c r="AM150" s="13"/>
      <c r="AN150" s="160"/>
      <c r="AO150" s="160"/>
      <c r="AP150" s="160"/>
      <c r="AQ150" s="160"/>
      <c r="AR150" s="13"/>
      <c r="AS150" s="161"/>
      <c r="AT150" s="161"/>
      <c r="AU150" s="160"/>
      <c r="AV150" s="161"/>
      <c r="AW150" s="161"/>
    </row>
    <row r="151" spans="1:49" s="59" customFormat="1" ht="14.25" customHeight="1">
      <c r="A151" s="58"/>
      <c r="B151" s="58"/>
      <c r="H151" s="2">
        <v>1</v>
      </c>
      <c r="J151" s="71" t="str">
        <f>CONCATENATE(SUM($G$17:G151),".",SUM($H$149:H151))</f>
        <v>9.1</v>
      </c>
      <c r="K151" s="59" t="s">
        <v>201</v>
      </c>
      <c r="L151" s="61"/>
      <c r="M151" s="250"/>
      <c r="N151" s="61"/>
      <c r="O151" s="385" t="str">
        <f>CONCATENATE(J151,". ",K151,$K$17)</f>
        <v>9.1. Aprovação do Projeto pelo MAPA/ANVISA ou entidades delegadas/conveniadas; (se em implant./ampli.)------------------------------------------------------------------------------------------------------------------------------------------------------------------------</v>
      </c>
      <c r="P151" s="385"/>
      <c r="Q151" s="385"/>
      <c r="R151" s="385"/>
      <c r="S151" s="385"/>
      <c r="T151" s="385"/>
      <c r="U151" s="385"/>
      <c r="V151" s="385"/>
      <c r="W151" s="385"/>
      <c r="X151" s="385"/>
      <c r="Y151" s="385"/>
      <c r="Z151" s="385"/>
      <c r="AA151" s="385"/>
      <c r="AB151" s="62"/>
      <c r="AC151" s="380"/>
      <c r="AD151" s="60"/>
      <c r="AE151" s="379"/>
      <c r="AF151" s="61"/>
      <c r="AG151" s="81"/>
      <c r="AJ151" s="13">
        <v>1</v>
      </c>
      <c r="AK151" s="13" t="str">
        <f>IF(AND(AE151="",$AC$149="",AC151=""),"X","")</f>
        <v>X</v>
      </c>
      <c r="AL151" s="13">
        <f>IF(AND(AC151&lt;&gt;"",AE151&lt;&gt;""),4,IF(AC151&lt;&gt;"",1,IF(AE151&lt;&gt;"",2,IF($AC$149&lt;&gt;"",3,0))))</f>
        <v>0</v>
      </c>
      <c r="AM151" s="13"/>
      <c r="AN151" s="188">
        <f t="shared" ref="AN151" si="168">IF(AND(AC151&lt;&gt;"",AE151&lt;&gt;""),1,IF(AL151&lt;&gt;0,0,1))</f>
        <v>1</v>
      </c>
      <c r="AO151" s="75">
        <f ca="1">SUM($AN$21:OFFSET(AO151,-2,-1))</f>
        <v>55</v>
      </c>
      <c r="AP151" s="75" t="str">
        <f t="shared" ref="AP151" ca="1" si="169">IF(AND(OFFSET(AP151,0,-18)="",AO151=0),AQ151,"XX")</f>
        <v>XX</v>
      </c>
      <c r="AQ151" s="75">
        <f>MAX($AE$21:AE149)</f>
        <v>0</v>
      </c>
      <c r="AR151" s="13">
        <f>IF(SUM(AE153:$AE$348)&gt;0,MIN(AE153:$AE$348),10000)</f>
        <v>10000</v>
      </c>
      <c r="AS151" s="14"/>
      <c r="AT151" s="14"/>
      <c r="AU151" s="75">
        <f t="shared" ref="AU151" si="170">IF(AND(AC151&lt;&gt;"",AE151&lt;&gt;""),4,0)</f>
        <v>0</v>
      </c>
      <c r="AV151" s="2" t="e">
        <f ca="1">IF(AND(AL151&lt;&gt;1,AL151&lt;&gt;3,AL151&lt;&gt;4),AP151+1,XX)</f>
        <v>#VALUE!</v>
      </c>
      <c r="AW151" s="2">
        <f>IF(AND(AL151&lt;&gt;1,AL151&lt;&gt;3,AL151&lt;&gt;4),AR151-1,XX)</f>
        <v>9999</v>
      </c>
    </row>
    <row r="152" spans="1:49" s="6" customFormat="1" ht="3" customHeight="1">
      <c r="A152" s="1"/>
      <c r="B152" s="1"/>
      <c r="H152" s="2"/>
      <c r="I152" s="2"/>
      <c r="J152" s="70"/>
      <c r="L152" s="28"/>
      <c r="M152" s="251"/>
      <c r="N152" s="28"/>
      <c r="O152" s="36"/>
      <c r="P152" s="36"/>
      <c r="Q152" s="37"/>
      <c r="R152" s="37"/>
      <c r="S152" s="37"/>
      <c r="T152" s="37"/>
      <c r="U152" s="37"/>
      <c r="V152" s="37"/>
      <c r="W152" s="37"/>
      <c r="X152" s="37"/>
      <c r="Y152" s="37"/>
      <c r="Z152" s="37"/>
      <c r="AA152" s="37"/>
      <c r="AB152" s="12"/>
      <c r="AC152" s="190"/>
      <c r="AD152" s="8"/>
      <c r="AE152" s="11"/>
      <c r="AF152" s="28"/>
      <c r="AG152" s="2"/>
      <c r="AJ152" s="13"/>
      <c r="AK152" s="13"/>
      <c r="AL152" s="56"/>
      <c r="AM152" s="13"/>
      <c r="AN152" s="160"/>
      <c r="AO152" s="160"/>
      <c r="AP152" s="160"/>
      <c r="AQ152" s="160"/>
      <c r="AR152" s="13"/>
      <c r="AS152" s="161"/>
      <c r="AT152" s="161"/>
      <c r="AU152" s="160"/>
      <c r="AV152" s="161"/>
      <c r="AW152" s="161"/>
    </row>
    <row r="153" spans="1:49" ht="14.25" customHeight="1">
      <c r="B153" s="1"/>
      <c r="H153" s="2">
        <v>1</v>
      </c>
      <c r="J153" s="71" t="str">
        <f>CONCATENATE(SUM($G$17:G153),".",SUM($H$149:H153))</f>
        <v>9.2</v>
      </c>
      <c r="K153" s="2" t="s">
        <v>200</v>
      </c>
      <c r="L153" s="7"/>
      <c r="M153" s="250"/>
      <c r="N153" s="7"/>
      <c r="O153" s="385" t="str">
        <f>CONCATENATE(J153,". ",K153,$K$17)</f>
        <v>9.2. Autorização do MAPA/ANVISA ou entidades delegadas/conveniadas; (se em operação)------------------------------------------------------------------------------------------------------------------------------------------------------------------------</v>
      </c>
      <c r="P153" s="385"/>
      <c r="Q153" s="385"/>
      <c r="R153" s="385"/>
      <c r="S153" s="385"/>
      <c r="T153" s="385"/>
      <c r="U153" s="385"/>
      <c r="V153" s="385"/>
      <c r="W153" s="385"/>
      <c r="X153" s="385"/>
      <c r="Y153" s="385"/>
      <c r="Z153" s="385"/>
      <c r="AA153" s="385"/>
      <c r="AB153" s="9"/>
      <c r="AC153" s="380"/>
      <c r="AD153" s="8"/>
      <c r="AE153" s="379"/>
      <c r="AF153" s="7"/>
      <c r="AG153" s="80"/>
      <c r="AJ153" s="13">
        <v>1</v>
      </c>
      <c r="AK153" s="13" t="str">
        <f>IF(AND(AE153="",$AC$149="",AC153=""),"X","")</f>
        <v>X</v>
      </c>
      <c r="AL153" s="13">
        <f>IF(AND(AC153&lt;&gt;"",AE153&lt;&gt;""),4,IF(AC153&lt;&gt;"",1,IF(AE153&lt;&gt;"",2,IF($AC$149&lt;&gt;"",3,0))))</f>
        <v>0</v>
      </c>
      <c r="AM153" s="13"/>
      <c r="AN153" s="188">
        <f t="shared" ref="AN153" si="171">IF(AND(AC153&lt;&gt;"",AE153&lt;&gt;""),1,IF(AL153&lt;&gt;0,0,1))</f>
        <v>1</v>
      </c>
      <c r="AO153" s="75">
        <f ca="1">SUM($AN$21:OFFSET(AO153,-2,-1))</f>
        <v>56</v>
      </c>
      <c r="AP153" s="75" t="str">
        <f t="shared" ref="AP153" ca="1" si="172">IF(AND(OFFSET(AP153,0,-18)="",AO153=0),AQ153,"XX")</f>
        <v>XX</v>
      </c>
      <c r="AQ153" s="75">
        <f>MAX($AE$21:AE151)</f>
        <v>0</v>
      </c>
      <c r="AR153" s="13">
        <f>IF(SUM(AE155:$AE$348)&gt;0,MIN(AE155:$AE$348),10000)</f>
        <v>10000</v>
      </c>
      <c r="AS153" s="14"/>
      <c r="AT153" s="14"/>
      <c r="AU153" s="75">
        <f t="shared" ref="AU153" si="173">IF(AND(AC153&lt;&gt;"",AE153&lt;&gt;""),4,0)</f>
        <v>0</v>
      </c>
      <c r="AV153" s="2" t="e">
        <f ca="1">IF(AND(AL153&lt;&gt;1,AL153&lt;&gt;3,AL153&lt;&gt;4),AP153+1,XX)</f>
        <v>#VALUE!</v>
      </c>
      <c r="AW153" s="2">
        <f>IF(AND(AL153&lt;&gt;1,AL153&lt;&gt;3,AL153&lt;&gt;4),AR153-1,XX)</f>
        <v>9999</v>
      </c>
    </row>
    <row r="154" spans="1:49" ht="3" customHeight="1">
      <c r="B154" s="1"/>
      <c r="H154" s="6"/>
      <c r="J154" s="70"/>
      <c r="L154" s="7"/>
      <c r="M154" s="250"/>
      <c r="N154" s="7"/>
      <c r="O154" s="36"/>
      <c r="P154" s="36"/>
      <c r="Q154" s="37"/>
      <c r="R154" s="37"/>
      <c r="S154" s="37"/>
      <c r="T154" s="37"/>
      <c r="U154" s="37"/>
      <c r="V154" s="37"/>
      <c r="W154" s="37"/>
      <c r="X154" s="37"/>
      <c r="Y154" s="37"/>
      <c r="Z154" s="37"/>
      <c r="AA154" s="37"/>
      <c r="AB154" s="12"/>
      <c r="AC154" s="190"/>
      <c r="AD154" s="8"/>
      <c r="AE154" s="11"/>
      <c r="AF154" s="7"/>
      <c r="AG154" s="1"/>
      <c r="AJ154" s="13"/>
      <c r="AK154" s="13"/>
      <c r="AL154" s="13"/>
      <c r="AM154" s="13"/>
      <c r="AN154" s="160"/>
      <c r="AO154" s="160"/>
      <c r="AP154" s="160"/>
      <c r="AQ154" s="160"/>
      <c r="AR154" s="13"/>
      <c r="AS154" s="161"/>
      <c r="AT154" s="161"/>
      <c r="AU154" s="160"/>
      <c r="AV154" s="161"/>
      <c r="AW154" s="161"/>
    </row>
    <row r="155" spans="1:49" ht="14.25" customHeight="1">
      <c r="B155" s="1"/>
      <c r="H155" s="2">
        <v>1</v>
      </c>
      <c r="J155" s="71" t="str">
        <f>CONCATENATE(SUM($G$17:G155),".",SUM($H$149:H155))</f>
        <v>9.3</v>
      </c>
      <c r="K155" s="2" t="s">
        <v>172</v>
      </c>
      <c r="L155" s="7"/>
      <c r="M155" s="250"/>
      <c r="N155" s="7"/>
      <c r="O155" s="385" t="str">
        <f>CONCATENATE(J155,". ",K155,$K$17)</f>
        <v>9.3. SIF ou SIE ou SIM. (se em operação)------------------------------------------------------------------------------------------------------------------------------------------------------------------------</v>
      </c>
      <c r="P155" s="385"/>
      <c r="Q155" s="385"/>
      <c r="R155" s="385"/>
      <c r="S155" s="385"/>
      <c r="T155" s="385"/>
      <c r="U155" s="385"/>
      <c r="V155" s="385"/>
      <c r="W155" s="385"/>
      <c r="X155" s="385"/>
      <c r="Y155" s="385"/>
      <c r="Z155" s="385"/>
      <c r="AA155" s="385"/>
      <c r="AB155" s="12"/>
      <c r="AC155" s="380"/>
      <c r="AD155" s="8"/>
      <c r="AE155" s="379"/>
      <c r="AF155" s="7"/>
      <c r="AG155" s="80"/>
      <c r="AJ155" s="13">
        <v>1</v>
      </c>
      <c r="AK155" s="13" t="str">
        <f>IF(AND(AE155="",$AC$149="",AC155=""),"X","")</f>
        <v>X</v>
      </c>
      <c r="AL155" s="13">
        <f>IF(AND(AC155&lt;&gt;"",AE155&lt;&gt;""),4,IF(AC155&lt;&gt;"",1,IF(AE155&lt;&gt;"",2,IF($AC$149&lt;&gt;"",3,0))))</f>
        <v>0</v>
      </c>
      <c r="AM155" s="13"/>
      <c r="AN155" s="188">
        <f t="shared" ref="AN155" si="174">IF(AND(AC155&lt;&gt;"",AE155&lt;&gt;""),1,IF(AL155&lt;&gt;0,0,1))</f>
        <v>1</v>
      </c>
      <c r="AO155" s="75">
        <f ca="1">SUM($AN$21:OFFSET(AO155,-2,-1))</f>
        <v>57</v>
      </c>
      <c r="AP155" s="75" t="str">
        <f t="shared" ref="AP155" ca="1" si="175">IF(AND(OFFSET(AP155,0,-18)="",AO155=0),AQ155,"XX")</f>
        <v>XX</v>
      </c>
      <c r="AQ155" s="75">
        <f>MAX($AE$21:AE153)</f>
        <v>0</v>
      </c>
      <c r="AR155" s="13">
        <f>IF(SUM(AE157:$AE$348)&gt;0,MIN(AE157:$AE$348),10000)</f>
        <v>10000</v>
      </c>
      <c r="AS155" s="14"/>
      <c r="AT155" s="14"/>
      <c r="AU155" s="75">
        <f t="shared" ref="AU155" si="176">IF(AND(AC155&lt;&gt;"",AE155&lt;&gt;""),4,0)</f>
        <v>0</v>
      </c>
      <c r="AV155" s="2" t="e">
        <f ca="1">IF(AND(AL155&lt;&gt;1,AL155&lt;&gt;3,AL155&lt;&gt;4),AP155+1,XX)</f>
        <v>#VALUE!</v>
      </c>
      <c r="AW155" s="2">
        <f>IF(AND(AL155&lt;&gt;1,AL155&lt;&gt;3,AL155&lt;&gt;4),AR155-1,XX)</f>
        <v>9999</v>
      </c>
    </row>
    <row r="156" spans="1:49" ht="3" customHeight="1">
      <c r="B156" s="1"/>
      <c r="J156" s="70"/>
      <c r="L156" s="7"/>
      <c r="M156" s="250"/>
      <c r="N156" s="7"/>
      <c r="O156" s="36"/>
      <c r="P156" s="36"/>
      <c r="Q156" s="37"/>
      <c r="R156" s="37"/>
      <c r="S156" s="37"/>
      <c r="T156" s="37"/>
      <c r="U156" s="37"/>
      <c r="V156" s="37"/>
      <c r="W156" s="37"/>
      <c r="X156" s="37"/>
      <c r="Y156" s="37"/>
      <c r="Z156" s="37"/>
      <c r="AA156" s="37"/>
      <c r="AB156" s="12"/>
      <c r="AC156" s="10"/>
      <c r="AD156" s="8"/>
      <c r="AE156" s="11"/>
      <c r="AF156" s="7"/>
      <c r="AG156" s="25"/>
      <c r="AJ156" s="13"/>
      <c r="AK156" s="13"/>
      <c r="AL156" s="13"/>
      <c r="AM156" s="13"/>
      <c r="AN156" s="160"/>
      <c r="AO156" s="160"/>
      <c r="AP156" s="160"/>
      <c r="AQ156" s="160"/>
      <c r="AR156" s="13"/>
      <c r="AS156" s="161"/>
      <c r="AT156" s="161"/>
      <c r="AU156" s="160"/>
      <c r="AV156" s="161"/>
      <c r="AW156" s="161"/>
    </row>
    <row r="157" spans="1:49" ht="14.25" customHeight="1">
      <c r="B157" s="1"/>
      <c r="G157" s="2">
        <v>1</v>
      </c>
      <c r="J157" s="71">
        <f>SUM($G$17:G157)</f>
        <v>10</v>
      </c>
      <c r="K157" s="2" t="s">
        <v>154</v>
      </c>
      <c r="L157" s="7"/>
      <c r="M157" s="250">
        <f>IF(AC157&lt;&gt;"",1,0)</f>
        <v>0</v>
      </c>
      <c r="N157" s="7"/>
      <c r="O157" s="451" t="str">
        <f>CONCATENATE(J157,". ",K157)</f>
        <v>10. Se Empresa de Transporte Aquaviário:</v>
      </c>
      <c r="P157" s="451"/>
      <c r="Q157" s="451"/>
      <c r="R157" s="451"/>
      <c r="S157" s="451"/>
      <c r="T157" s="451"/>
      <c r="U157" s="451"/>
      <c r="V157" s="451"/>
      <c r="W157" s="451"/>
      <c r="X157" s="451"/>
      <c r="Y157" s="451"/>
      <c r="Z157" s="451"/>
      <c r="AA157" s="451"/>
      <c r="AB157" s="12"/>
      <c r="AC157" s="380"/>
      <c r="AD157" s="8"/>
      <c r="AE157" s="136" t="s">
        <v>389</v>
      </c>
      <c r="AF157" s="7"/>
      <c r="AG157" s="2"/>
      <c r="AJ157" s="13"/>
      <c r="AK157" s="13" t="str">
        <f>IF(AND(AE159="",AE161="",AC161="",$AC$157=""),"X","")</f>
        <v>X</v>
      </c>
      <c r="AL157" s="75">
        <f>IF(OR(AE159&lt;&gt;"",AE161&lt;&gt;"",AE163&lt;&gt;"",AC161&lt;&gt;""),3,0)</f>
        <v>0</v>
      </c>
      <c r="AM157" s="13"/>
      <c r="AN157" s="188"/>
      <c r="AO157" s="75">
        <f ca="1">SUM($AN$21:OFFSET(AO157,-2,-1))</f>
        <v>58</v>
      </c>
      <c r="AP157" s="75"/>
      <c r="AQ157" s="75"/>
      <c r="AR157" s="13"/>
      <c r="AS157" s="14"/>
      <c r="AT157" s="14"/>
      <c r="AU157" s="75"/>
    </row>
    <row r="158" spans="1:49" ht="3" customHeight="1">
      <c r="B158" s="1"/>
      <c r="H158" s="6"/>
      <c r="J158" s="70"/>
      <c r="L158" s="7"/>
      <c r="M158" s="250"/>
      <c r="N158" s="7"/>
      <c r="O158" s="36"/>
      <c r="P158" s="36"/>
      <c r="Q158" s="37"/>
      <c r="R158" s="37"/>
      <c r="S158" s="37"/>
      <c r="T158" s="37"/>
      <c r="U158" s="37"/>
      <c r="V158" s="37"/>
      <c r="W158" s="37"/>
      <c r="X158" s="37"/>
      <c r="Y158" s="37"/>
      <c r="Z158" s="37"/>
      <c r="AA158" s="37"/>
      <c r="AB158" s="12"/>
      <c r="AC158" s="10"/>
      <c r="AD158" s="8"/>
      <c r="AE158" s="11"/>
      <c r="AF158" s="7"/>
      <c r="AG158" s="1"/>
      <c r="AJ158" s="13"/>
      <c r="AK158" s="13"/>
      <c r="AL158" s="13"/>
      <c r="AM158" s="13"/>
      <c r="AN158" s="160"/>
      <c r="AO158" s="160"/>
      <c r="AP158" s="160"/>
      <c r="AQ158" s="160"/>
      <c r="AR158" s="13"/>
      <c r="AS158" s="161"/>
      <c r="AT158" s="161"/>
      <c r="AU158" s="160"/>
      <c r="AV158" s="161"/>
      <c r="AW158" s="161"/>
    </row>
    <row r="159" spans="1:49" ht="14.25" customHeight="1">
      <c r="B159" s="1"/>
      <c r="H159" s="2">
        <v>1</v>
      </c>
      <c r="J159" s="71" t="str">
        <f>CONCATENATE(SUM($G$17:G159),".",SUM($H$157:H159))</f>
        <v>10.1</v>
      </c>
      <c r="K159" s="2" t="s">
        <v>355</v>
      </c>
      <c r="L159" s="7"/>
      <c r="M159" s="250"/>
      <c r="N159" s="7"/>
      <c r="O159" s="384" t="str">
        <f>CONCATENATE(J159,". ",K159,$K$17)</f>
        <v>10.1. Autorização da ANTAQ ou órgão regulador estadual;------------------------------------------------------------------------------------------------------------------------------------------------------------------------</v>
      </c>
      <c r="P159" s="384"/>
      <c r="Q159" s="384"/>
      <c r="R159" s="384"/>
      <c r="S159" s="384"/>
      <c r="T159" s="384"/>
      <c r="U159" s="384"/>
      <c r="V159" s="384"/>
      <c r="W159" s="384"/>
      <c r="X159" s="384"/>
      <c r="Y159" s="384"/>
      <c r="Z159" s="384"/>
      <c r="AA159" s="384"/>
      <c r="AB159" s="384"/>
      <c r="AC159" s="384"/>
      <c r="AD159" s="8"/>
      <c r="AE159" s="379"/>
      <c r="AF159" s="7"/>
      <c r="AG159" s="80"/>
      <c r="AJ159" s="13">
        <v>1</v>
      </c>
      <c r="AK159" s="13"/>
      <c r="AL159" s="13">
        <f>IF(AND(AC159&lt;&gt;"",AE159&lt;&gt;""),4,IF(AC159&lt;&gt;"",1,IF(AE159&lt;&gt;"",2,IF($AC$157&lt;&gt;"",3,0))))</f>
        <v>0</v>
      </c>
      <c r="AM159" s="13"/>
      <c r="AN159" s="188">
        <f t="shared" ref="AN159" si="177">IF(AND(AC159&lt;&gt;"",AE159&lt;&gt;""),1,IF(AL159&lt;&gt;0,0,1))</f>
        <v>1</v>
      </c>
      <c r="AO159" s="75">
        <f ca="1">SUM($AN$21:OFFSET(AO159,-2,-1))</f>
        <v>58</v>
      </c>
      <c r="AP159" s="75" t="str">
        <f t="shared" ref="AP159" ca="1" si="178">IF(AND(OFFSET(AP159,0,-18)="",AO159=0),AQ159,"XX")</f>
        <v>XX</v>
      </c>
      <c r="AQ159" s="75">
        <f>MAX($AE$21:AE157)</f>
        <v>0</v>
      </c>
      <c r="AR159" s="13">
        <f>IF(SUM(AE161:$AE$348)&gt;0,MIN(AE161:$AE$348),10000)</f>
        <v>10000</v>
      </c>
      <c r="AS159" s="14"/>
      <c r="AT159" s="14"/>
      <c r="AU159" s="75">
        <f t="shared" ref="AU159" si="179">IF(AND(AC159&lt;&gt;"",AE159&lt;&gt;""),4,0)</f>
        <v>0</v>
      </c>
      <c r="AV159" s="2" t="e">
        <f ca="1">IF(AND(AL159&lt;&gt;1,AL159&lt;&gt;3,AL159&lt;&gt;4),AP159+1,XX)</f>
        <v>#VALUE!</v>
      </c>
      <c r="AW159" s="2">
        <f>IF(AND(AL159&lt;&gt;1,AL159&lt;&gt;3,AL159&lt;&gt;4),AR159-1,XX)</f>
        <v>9999</v>
      </c>
    </row>
    <row r="160" spans="1:49" s="6" customFormat="1" ht="3" customHeight="1">
      <c r="A160" s="1"/>
      <c r="B160" s="1"/>
      <c r="H160" s="2"/>
      <c r="J160" s="70"/>
      <c r="L160" s="28"/>
      <c r="M160" s="251"/>
      <c r="N160" s="28"/>
      <c r="O160" s="36"/>
      <c r="P160" s="36"/>
      <c r="Q160" s="37"/>
      <c r="R160" s="37"/>
      <c r="S160" s="37"/>
      <c r="T160" s="37"/>
      <c r="U160" s="37"/>
      <c r="V160" s="37"/>
      <c r="W160" s="37"/>
      <c r="X160" s="37"/>
      <c r="Y160" s="37"/>
      <c r="Z160" s="37"/>
      <c r="AA160" s="37"/>
      <c r="AB160" s="12"/>
      <c r="AC160" s="10"/>
      <c r="AD160" s="8"/>
      <c r="AE160" s="11"/>
      <c r="AF160" s="28"/>
      <c r="AG160" s="1"/>
      <c r="AJ160" s="13"/>
      <c r="AK160" s="13"/>
      <c r="AL160" s="56"/>
      <c r="AM160" s="13"/>
      <c r="AN160" s="160"/>
      <c r="AO160" s="160"/>
      <c r="AP160" s="160"/>
      <c r="AQ160" s="160"/>
      <c r="AR160" s="13"/>
      <c r="AS160" s="161"/>
      <c r="AT160" s="161"/>
      <c r="AU160" s="160"/>
      <c r="AV160" s="161"/>
      <c r="AW160" s="161"/>
    </row>
    <row r="161" spans="1:49" ht="14.25" customHeight="1">
      <c r="B161" s="1"/>
      <c r="H161" s="2">
        <v>1</v>
      </c>
      <c r="J161" s="71" t="str">
        <f>CONCATENATE(SUM($G$17:G161),".",SUM($H$157:H161))</f>
        <v>10.2</v>
      </c>
      <c r="K161" s="2" t="s">
        <v>118</v>
      </c>
      <c r="L161" s="7"/>
      <c r="M161" s="250"/>
      <c r="N161" s="7"/>
      <c r="O161" s="385" t="str">
        <f>CONCATENATE(J161,". ",K161,$K$17)</f>
        <v>10.2. Autorização Ambiental de Transporte Interestadual de Produtos Perigosos  - expedida pelo IBAMA;------------------------------------------------------------------------------------------------------------------------------------------------------------------------</v>
      </c>
      <c r="P161" s="385"/>
      <c r="Q161" s="385"/>
      <c r="R161" s="385"/>
      <c r="S161" s="385"/>
      <c r="T161" s="385"/>
      <c r="U161" s="385"/>
      <c r="V161" s="385"/>
      <c r="W161" s="385"/>
      <c r="X161" s="385"/>
      <c r="Y161" s="385"/>
      <c r="Z161" s="385"/>
      <c r="AA161" s="385"/>
      <c r="AB161" s="9"/>
      <c r="AC161" s="380"/>
      <c r="AD161" s="8"/>
      <c r="AE161" s="379"/>
      <c r="AF161" s="7"/>
      <c r="AG161" s="80"/>
      <c r="AJ161" s="13">
        <v>1</v>
      </c>
      <c r="AK161" s="13" t="str">
        <f>IF(AND(AE161="",$AC$157="",AC161=""),"X","")</f>
        <v>X</v>
      </c>
      <c r="AL161" s="13">
        <f>IF(AND(AC161&lt;&gt;"",AE161&lt;&gt;""),4,IF(AC161&lt;&gt;"",1,IF(AE161&lt;&gt;"",2,IF($AC$157&lt;&gt;"",3,0))))</f>
        <v>0</v>
      </c>
      <c r="AM161" s="13"/>
      <c r="AN161" s="188">
        <f t="shared" ref="AN161" si="180">IF(AND(AC161&lt;&gt;"",AE161&lt;&gt;""),1,IF(AL161&lt;&gt;0,0,1))</f>
        <v>1</v>
      </c>
      <c r="AO161" s="75">
        <f ca="1">SUM($AN$21:OFFSET(AO161,-2,-1))</f>
        <v>59</v>
      </c>
      <c r="AP161" s="75" t="str">
        <f t="shared" ref="AP161" ca="1" si="181">IF(AND(OFFSET(AP161,0,-18)="",AO161=0),AQ161,"XX")</f>
        <v>XX</v>
      </c>
      <c r="AQ161" s="75">
        <f>MAX($AE$21:AE159)</f>
        <v>0</v>
      </c>
      <c r="AR161" s="13">
        <f>IF(SUM(AE163:$AE$348)&gt;0,MIN(AE163:$AE$348),10000)</f>
        <v>10000</v>
      </c>
      <c r="AS161" s="14"/>
      <c r="AT161" s="14"/>
      <c r="AU161" s="75">
        <f t="shared" ref="AU161" si="182">IF(AND(AC161&lt;&gt;"",AE161&lt;&gt;""),4,0)</f>
        <v>0</v>
      </c>
      <c r="AV161" s="2" t="e">
        <f ca="1">IF(AND(AL161&lt;&gt;1,AL161&lt;&gt;3,AL161&lt;&gt;4),AP161+1,XX)</f>
        <v>#VALUE!</v>
      </c>
      <c r="AW161" s="2">
        <f>IF(AND(AL161&lt;&gt;1,AL161&lt;&gt;3,AL161&lt;&gt;4),AR161-1,XX)</f>
        <v>9999</v>
      </c>
    </row>
    <row r="162" spans="1:49" s="6" customFormat="1" ht="3" customHeight="1">
      <c r="A162" s="79"/>
      <c r="B162" s="79"/>
      <c r="J162" s="70"/>
      <c r="L162" s="28"/>
      <c r="M162" s="251"/>
      <c r="N162" s="28"/>
      <c r="O162" s="36"/>
      <c r="P162" s="36"/>
      <c r="Q162" s="37"/>
      <c r="R162" s="37"/>
      <c r="S162" s="37"/>
      <c r="T162" s="37"/>
      <c r="U162" s="37"/>
      <c r="V162" s="37"/>
      <c r="W162" s="37"/>
      <c r="X162" s="37"/>
      <c r="Y162" s="37"/>
      <c r="Z162" s="37"/>
      <c r="AA162" s="37"/>
      <c r="AB162" s="12"/>
      <c r="AC162" s="10"/>
      <c r="AD162" s="8"/>
      <c r="AE162" s="11"/>
      <c r="AF162" s="28"/>
      <c r="AG162" s="79"/>
      <c r="AJ162" s="13"/>
      <c r="AK162" s="13"/>
      <c r="AL162" s="56"/>
      <c r="AM162" s="13"/>
      <c r="AN162" s="160"/>
      <c r="AO162" s="160"/>
      <c r="AP162" s="160"/>
      <c r="AQ162" s="160"/>
      <c r="AR162" s="13"/>
      <c r="AS162" s="161"/>
      <c r="AT162" s="161"/>
      <c r="AU162" s="160"/>
      <c r="AV162" s="161"/>
      <c r="AW162" s="161"/>
    </row>
    <row r="163" spans="1:49" ht="14.25" customHeight="1">
      <c r="A163" s="79"/>
      <c r="B163" s="79"/>
      <c r="H163" s="2">
        <v>1</v>
      </c>
      <c r="J163" s="71" t="str">
        <f>CONCATENATE(SUM($G$17:G163),".",SUM($H$157:H163))</f>
        <v>10.3</v>
      </c>
      <c r="K163" s="2" t="s">
        <v>368</v>
      </c>
      <c r="L163" s="7"/>
      <c r="M163" s="250"/>
      <c r="N163" s="7"/>
      <c r="O163" s="384" t="str">
        <f>CONCATENATE(J163,". ",K163,$K$17)</f>
        <v>10.3. Certificado de Armador emitido pelo Tribunal Marítimo;------------------------------------------------------------------------------------------------------------------------------------------------------------------------</v>
      </c>
      <c r="P163" s="384"/>
      <c r="Q163" s="384"/>
      <c r="R163" s="384"/>
      <c r="S163" s="384"/>
      <c r="T163" s="384"/>
      <c r="U163" s="384"/>
      <c r="V163" s="384"/>
      <c r="W163" s="384"/>
      <c r="X163" s="384"/>
      <c r="Y163" s="384"/>
      <c r="Z163" s="384"/>
      <c r="AA163" s="384"/>
      <c r="AB163" s="384"/>
      <c r="AC163" s="384"/>
      <c r="AD163" s="8"/>
      <c r="AE163" s="379"/>
      <c r="AF163" s="7"/>
      <c r="AG163" s="80"/>
      <c r="AJ163" s="13">
        <v>1</v>
      </c>
      <c r="AK163" s="13"/>
      <c r="AL163" s="13">
        <f>IF(AND(AC163&lt;&gt;"",AE163&lt;&gt;""),4,IF(AC163&lt;&gt;"",1,IF(AE163&lt;&gt;"",2,IF($AC$157&lt;&gt;"",3,0))))</f>
        <v>0</v>
      </c>
      <c r="AM163" s="13"/>
      <c r="AN163" s="188">
        <f t="shared" ref="AN163" si="183">IF(AND(AC163&lt;&gt;"",AE163&lt;&gt;""),1,IF(AL163&lt;&gt;0,0,1))</f>
        <v>1</v>
      </c>
      <c r="AO163" s="75">
        <f ca="1">SUM($AN$21:OFFSET(AO163,-2,-1))</f>
        <v>60</v>
      </c>
      <c r="AP163" s="75" t="str">
        <f t="shared" ref="AP163" ca="1" si="184">IF(AND(OFFSET(AP163,0,-18)="",AO163=0),AQ163,"XX")</f>
        <v>XX</v>
      </c>
      <c r="AQ163" s="75">
        <f>MAX($AE$21:AE161)</f>
        <v>0</v>
      </c>
      <c r="AR163" s="13">
        <f>IF(SUM(AE165:$AE$348)&gt;0,MIN(AE165:$AE$348),10000)</f>
        <v>10000</v>
      </c>
      <c r="AS163" s="14"/>
      <c r="AT163" s="14"/>
      <c r="AU163" s="75">
        <f t="shared" ref="AU163" si="185">IF(AND(AC163&lt;&gt;"",AE163&lt;&gt;""),4,0)</f>
        <v>0</v>
      </c>
      <c r="AV163" s="2" t="e">
        <f ca="1">IF(AND(AL163&lt;&gt;1,AL163&lt;&gt;3,AL163&lt;&gt;4),AP163+1,XX)</f>
        <v>#VALUE!</v>
      </c>
      <c r="AW163" s="2">
        <f>IF(AND(AL163&lt;&gt;1,AL163&lt;&gt;3,AL163&lt;&gt;4),AR163-1,XX)</f>
        <v>9999</v>
      </c>
    </row>
    <row r="164" spans="1:49" ht="3" customHeight="1">
      <c r="B164" s="1"/>
      <c r="J164" s="70"/>
      <c r="L164" s="7"/>
      <c r="M164" s="250"/>
      <c r="N164" s="7"/>
      <c r="O164" s="36"/>
      <c r="P164" s="36"/>
      <c r="Q164" s="37"/>
      <c r="R164" s="37"/>
      <c r="S164" s="37"/>
      <c r="T164" s="37"/>
      <c r="U164" s="37"/>
      <c r="V164" s="37"/>
      <c r="W164" s="37"/>
      <c r="X164" s="37"/>
      <c r="Y164" s="37"/>
      <c r="Z164" s="37"/>
      <c r="AA164" s="37"/>
      <c r="AB164" s="12"/>
      <c r="AC164" s="10"/>
      <c r="AD164" s="8"/>
      <c r="AE164" s="11"/>
      <c r="AF164" s="7"/>
      <c r="AG164" s="2"/>
      <c r="AJ164" s="13"/>
      <c r="AK164" s="13"/>
      <c r="AL164" s="13"/>
      <c r="AM164" s="13"/>
      <c r="AN164" s="160"/>
      <c r="AO164" s="160"/>
      <c r="AP164" s="160"/>
      <c r="AQ164" s="160"/>
      <c r="AR164" s="13"/>
      <c r="AS164" s="161"/>
      <c r="AT164" s="161"/>
      <c r="AU164" s="160"/>
      <c r="AV164" s="161"/>
      <c r="AW164" s="161"/>
    </row>
    <row r="165" spans="1:49" ht="14.25" customHeight="1">
      <c r="B165" s="1"/>
      <c r="G165" s="2">
        <v>1</v>
      </c>
      <c r="J165" s="71">
        <f>SUM($G$17:G165)</f>
        <v>11</v>
      </c>
      <c r="K165" s="2" t="s">
        <v>215</v>
      </c>
      <c r="L165" s="7"/>
      <c r="M165" s="250">
        <f>IF(AC165&lt;&gt;"",1,0)</f>
        <v>0</v>
      </c>
      <c r="N165" s="7"/>
      <c r="O165" s="451" t="str">
        <f>CONCATENATE(J165,". ",K165)</f>
        <v>11. Se Embarcação Existente:</v>
      </c>
      <c r="P165" s="451"/>
      <c r="Q165" s="451"/>
      <c r="R165" s="451"/>
      <c r="S165" s="451"/>
      <c r="T165" s="451"/>
      <c r="U165" s="451"/>
      <c r="V165" s="451"/>
      <c r="W165" s="451"/>
      <c r="X165" s="451"/>
      <c r="Y165" s="451"/>
      <c r="Z165" s="451"/>
      <c r="AA165" s="451"/>
      <c r="AB165" s="12"/>
      <c r="AC165" s="380"/>
      <c r="AD165" s="8"/>
      <c r="AE165" s="136" t="s">
        <v>389</v>
      </c>
      <c r="AF165" s="7"/>
      <c r="AG165" s="2"/>
      <c r="AJ165" s="13"/>
      <c r="AK165" s="13" t="str">
        <f>IF(AND($AC$165="",AE167="",AE169="",AE171="",AE173="",AE175="",AE177="",AE179="",AE181="",AE183="",AE185="",AC183="",AC181="",AC179="",AC173=""),"X","")</f>
        <v>X</v>
      </c>
      <c r="AL165" s="75">
        <f>IF(OR(AE167&lt;&gt;"",AE169&lt;&gt;"",AE171&lt;&gt;"",AE173&lt;&gt;"",AE175&lt;&gt;"",AE177&lt;&gt;"",AE179&lt;&gt;"",AE181&lt;&gt;"",AE183&lt;&gt;"",AE185&lt;&gt;"",AE187&lt;&gt;"",AC173&lt;&gt;"",AC179&lt;&gt;"",AC181&lt;&gt;"",AC183&lt;&gt;""),3,0)</f>
        <v>0</v>
      </c>
      <c r="AM165" s="13"/>
      <c r="AN165" s="188"/>
      <c r="AO165" s="75">
        <f ca="1">SUM($AN$21:OFFSET(AO165,-2,-1))</f>
        <v>61</v>
      </c>
      <c r="AP165" s="75"/>
      <c r="AQ165" s="75"/>
      <c r="AR165" s="13"/>
      <c r="AS165" s="14"/>
      <c r="AT165" s="14"/>
      <c r="AU165" s="75"/>
    </row>
    <row r="166" spans="1:49" ht="3" customHeight="1">
      <c r="B166" s="1"/>
      <c r="H166" s="6"/>
      <c r="J166" s="70"/>
      <c r="L166" s="7"/>
      <c r="M166" s="250"/>
      <c r="N166" s="7"/>
      <c r="O166" s="36"/>
      <c r="P166" s="36"/>
      <c r="Q166" s="37"/>
      <c r="R166" s="37"/>
      <c r="S166" s="37"/>
      <c r="T166" s="37"/>
      <c r="U166" s="37"/>
      <c r="V166" s="37"/>
      <c r="W166" s="37"/>
      <c r="X166" s="37"/>
      <c r="Y166" s="37"/>
      <c r="Z166" s="37"/>
      <c r="AA166" s="37"/>
      <c r="AB166" s="12"/>
      <c r="AC166" s="10"/>
      <c r="AD166" s="8"/>
      <c r="AE166" s="11"/>
      <c r="AF166" s="7"/>
      <c r="AG166" s="2"/>
      <c r="AJ166" s="13"/>
      <c r="AK166" s="13"/>
      <c r="AL166" s="13"/>
      <c r="AM166" s="13"/>
      <c r="AN166" s="160"/>
      <c r="AO166" s="160"/>
      <c r="AP166" s="160"/>
      <c r="AQ166" s="160"/>
      <c r="AR166" s="13"/>
      <c r="AS166" s="161"/>
      <c r="AT166" s="161"/>
      <c r="AU166" s="160"/>
      <c r="AV166" s="161"/>
      <c r="AW166" s="161"/>
    </row>
    <row r="167" spans="1:49" ht="14.25" customHeight="1">
      <c r="B167" s="1"/>
      <c r="H167" s="2">
        <v>1</v>
      </c>
      <c r="J167" s="71" t="str">
        <f>CONCATENATE(SUM($G$17:G167),".",SUM($H$165:H167))</f>
        <v>11.1</v>
      </c>
      <c r="K167" s="2" t="s">
        <v>228</v>
      </c>
      <c r="L167" s="7"/>
      <c r="M167" s="250"/>
      <c r="N167" s="7"/>
      <c r="O167" s="385" t="str">
        <f>CONCATENATE(J167,". ",K167,$K$17)</f>
        <v>11.1. Licença da própria embarcação;------------------------------------------------------------------------------------------------------------------------------------------------------------------------</v>
      </c>
      <c r="P167" s="385"/>
      <c r="Q167" s="385"/>
      <c r="R167" s="385"/>
      <c r="S167" s="385"/>
      <c r="T167" s="385"/>
      <c r="U167" s="385"/>
      <c r="V167" s="385"/>
      <c r="W167" s="385"/>
      <c r="X167" s="385"/>
      <c r="Y167" s="385"/>
      <c r="Z167" s="385"/>
      <c r="AA167" s="385"/>
      <c r="AB167" s="385"/>
      <c r="AC167" s="385"/>
      <c r="AD167" s="8"/>
      <c r="AE167" s="379"/>
      <c r="AF167" s="7"/>
      <c r="AG167" s="80"/>
      <c r="AJ167" s="13">
        <v>1</v>
      </c>
      <c r="AK167" s="13"/>
      <c r="AL167" s="13">
        <f>IF(AND(AC167&lt;&gt;"",AE167&lt;&gt;""),4,IF(AC167&lt;&gt;"",1,IF(AE167&lt;&gt;"",2,IF($AC$165&lt;&gt;"",3,0))))</f>
        <v>0</v>
      </c>
      <c r="AM167" s="13"/>
      <c r="AN167" s="188">
        <f t="shared" ref="AN167" si="186">IF(AND(AC167&lt;&gt;"",AE167&lt;&gt;""),1,IF(AL167&lt;&gt;0,0,1))</f>
        <v>1</v>
      </c>
      <c r="AO167" s="75">
        <f ca="1">SUM($AN$21:OFFSET(AO167,-2,-1))</f>
        <v>61</v>
      </c>
      <c r="AP167" s="75" t="str">
        <f t="shared" ref="AP167" ca="1" si="187">IF(AND(OFFSET(AP167,0,-18)="",AO167=0),AQ167,"XX")</f>
        <v>XX</v>
      </c>
      <c r="AQ167" s="75">
        <f>MAX($AE$21:AE165)</f>
        <v>0</v>
      </c>
      <c r="AR167" s="13">
        <f>IF(SUM(AE169:$AE$348)&gt;0,MIN(AE169:$AE$348),10000)</f>
        <v>10000</v>
      </c>
      <c r="AS167" s="14"/>
      <c r="AT167" s="14"/>
      <c r="AU167" s="75">
        <f t="shared" ref="AU167" si="188">IF(AND(AC167&lt;&gt;"",AE167&lt;&gt;""),4,0)</f>
        <v>0</v>
      </c>
      <c r="AV167" s="2" t="e">
        <f ca="1">IF(AND(AL167&lt;&gt;1,AL167&lt;&gt;3,AL167&lt;&gt;4),AP167+1,XX)</f>
        <v>#VALUE!</v>
      </c>
      <c r="AW167" s="2">
        <f>IF(AND(AL167&lt;&gt;1,AL167&lt;&gt;3,AL167&lt;&gt;4),AR167-1,XX)</f>
        <v>9999</v>
      </c>
    </row>
    <row r="168" spans="1:49" s="6" customFormat="1" ht="3" customHeight="1">
      <c r="A168" s="1"/>
      <c r="B168" s="1"/>
      <c r="H168" s="2"/>
      <c r="J168" s="70"/>
      <c r="L168" s="28"/>
      <c r="M168" s="251"/>
      <c r="N168" s="28"/>
      <c r="O168" s="36"/>
      <c r="P168" s="36"/>
      <c r="Q168" s="37"/>
      <c r="R168" s="37"/>
      <c r="S168" s="37"/>
      <c r="T168" s="37"/>
      <c r="U168" s="37"/>
      <c r="V168" s="37"/>
      <c r="W168" s="37"/>
      <c r="X168" s="37"/>
      <c r="Y168" s="37"/>
      <c r="Z168" s="37"/>
      <c r="AA168" s="37"/>
      <c r="AB168" s="12"/>
      <c r="AC168" s="10"/>
      <c r="AD168" s="8"/>
      <c r="AE168" s="11"/>
      <c r="AF168" s="28"/>
      <c r="AG168" s="1"/>
      <c r="AJ168" s="13"/>
      <c r="AK168" s="13"/>
      <c r="AL168" s="13"/>
      <c r="AM168" s="13"/>
      <c r="AN168" s="160"/>
      <c r="AO168" s="160"/>
      <c r="AP168" s="160"/>
      <c r="AQ168" s="160"/>
      <c r="AR168" s="13"/>
      <c r="AS168" s="161"/>
      <c r="AT168" s="161"/>
      <c r="AU168" s="160"/>
      <c r="AV168" s="161"/>
      <c r="AW168" s="161"/>
    </row>
    <row r="169" spans="1:49" ht="14.25" customHeight="1">
      <c r="B169" s="1"/>
      <c r="H169" s="2">
        <v>1</v>
      </c>
      <c r="J169" s="71" t="str">
        <f>CONCATENATE(SUM($G$17:G169),".",SUM($H$165:H169))</f>
        <v>11.2</v>
      </c>
      <c r="K169" s="2" t="s">
        <v>372</v>
      </c>
      <c r="L169" s="7"/>
      <c r="M169" s="250"/>
      <c r="N169" s="7"/>
      <c r="O169" s="385" t="str">
        <f>CONCATENATE(J169,". ",K169,$K$17)</f>
        <v>11.2. Título de propriedade registrado no TM (se AB &gt; 100), ou na Capitania dos Portos (se AB &lt; 100);------------------------------------------------------------------------------------------------------------------------------------------------------------------------</v>
      </c>
      <c r="P169" s="385"/>
      <c r="Q169" s="385"/>
      <c r="R169" s="385"/>
      <c r="S169" s="385"/>
      <c r="T169" s="385"/>
      <c r="U169" s="385"/>
      <c r="V169" s="385"/>
      <c r="W169" s="385"/>
      <c r="X169" s="385"/>
      <c r="Y169" s="385"/>
      <c r="Z169" s="385"/>
      <c r="AA169" s="385"/>
      <c r="AB169" s="385"/>
      <c r="AC169" s="385"/>
      <c r="AD169" s="8"/>
      <c r="AE169" s="379"/>
      <c r="AF169" s="7"/>
      <c r="AG169" s="80"/>
      <c r="AJ169" s="13">
        <v>1</v>
      </c>
      <c r="AK169" s="13"/>
      <c r="AL169" s="13">
        <f t="shared" ref="AL169:AL185" si="189">IF(AND(AC169&lt;&gt;"",AE169&lt;&gt;""),4,IF(AC169&lt;&gt;"",1,IF(AE169&lt;&gt;"",2,IF($AC$165&lt;&gt;"",3,0))))</f>
        <v>0</v>
      </c>
      <c r="AM169" s="13"/>
      <c r="AN169" s="188">
        <f t="shared" ref="AN169" si="190">IF(AND(AC169&lt;&gt;"",AE169&lt;&gt;""),1,IF(AL169&lt;&gt;0,0,1))</f>
        <v>1</v>
      </c>
      <c r="AO169" s="75">
        <f ca="1">SUM($AN$21:OFFSET(AO169,-2,-1))</f>
        <v>62</v>
      </c>
      <c r="AP169" s="75" t="str">
        <f t="shared" ref="AP169" ca="1" si="191">IF(AND(OFFSET(AP169,0,-18)="",AO169=0),AQ169,"XX")</f>
        <v>XX</v>
      </c>
      <c r="AQ169" s="75">
        <f>MAX($AE$21:AE167)</f>
        <v>0</v>
      </c>
      <c r="AR169" s="13">
        <f>IF(SUM(AE171:$AE$348)&gt;0,MIN(AE171:$AE$348),10000)</f>
        <v>10000</v>
      </c>
      <c r="AS169" s="14"/>
      <c r="AT169" s="14"/>
      <c r="AU169" s="75">
        <f t="shared" ref="AU169" si="192">IF(AND(AC169&lt;&gt;"",AE169&lt;&gt;""),4,0)</f>
        <v>0</v>
      </c>
      <c r="AV169" s="2" t="e">
        <f ca="1">IF(AND(AL169&lt;&gt;1,AL169&lt;&gt;3,AL169&lt;&gt;4),AP169+1,XX)</f>
        <v>#VALUE!</v>
      </c>
      <c r="AW169" s="2">
        <f>IF(AND(AL169&lt;&gt;1,AL169&lt;&gt;3,AL169&lt;&gt;4),AR169-1,XX)</f>
        <v>9999</v>
      </c>
    </row>
    <row r="170" spans="1:49" s="6" customFormat="1" ht="3" customHeight="1">
      <c r="A170" s="1"/>
      <c r="B170" s="1"/>
      <c r="J170" s="70"/>
      <c r="L170" s="28"/>
      <c r="M170" s="251"/>
      <c r="N170" s="28"/>
      <c r="O170" s="36"/>
      <c r="P170" s="36"/>
      <c r="Q170" s="37"/>
      <c r="R170" s="37"/>
      <c r="S170" s="37"/>
      <c r="T170" s="37"/>
      <c r="U170" s="37"/>
      <c r="V170" s="37"/>
      <c r="W170" s="37"/>
      <c r="X170" s="37"/>
      <c r="Y170" s="37"/>
      <c r="Z170" s="37"/>
      <c r="AA170" s="37"/>
      <c r="AB170" s="12"/>
      <c r="AC170" s="10"/>
      <c r="AD170" s="8"/>
      <c r="AE170" s="11"/>
      <c r="AF170" s="28"/>
      <c r="AG170" s="25"/>
      <c r="AJ170" s="13"/>
      <c r="AK170" s="13"/>
      <c r="AL170" s="13"/>
      <c r="AM170" s="13"/>
      <c r="AN170" s="160"/>
      <c r="AO170" s="160"/>
      <c r="AP170" s="160"/>
      <c r="AQ170" s="160"/>
      <c r="AR170" s="13"/>
      <c r="AS170" s="161"/>
      <c r="AT170" s="161"/>
      <c r="AU170" s="160"/>
      <c r="AV170" s="161"/>
      <c r="AW170" s="161"/>
    </row>
    <row r="171" spans="1:49" ht="14.25" customHeight="1">
      <c r="B171" s="1"/>
      <c r="H171" s="2">
        <v>1</v>
      </c>
      <c r="J171" s="71" t="str">
        <f>CONCATENATE(SUM($G$17:G171),".",SUM($H$165:H171))</f>
        <v>11.3</v>
      </c>
      <c r="K171" s="2" t="s">
        <v>373</v>
      </c>
      <c r="L171" s="7"/>
      <c r="M171" s="250"/>
      <c r="N171" s="7"/>
      <c r="O171" s="385" t="str">
        <f>CONCATENATE(J171,". ",K171,$K$17)</f>
        <v>11.3. Certidão negativa de ônus sobre a embarcação - fornecida pelo TM (se AB &gt; 100) ou no CM (se AB &lt; 100);------------------------------------------------------------------------------------------------------------------------------------------------------------------------</v>
      </c>
      <c r="P171" s="385"/>
      <c r="Q171" s="385"/>
      <c r="R171" s="385"/>
      <c r="S171" s="385"/>
      <c r="T171" s="385"/>
      <c r="U171" s="385"/>
      <c r="V171" s="385"/>
      <c r="W171" s="385"/>
      <c r="X171" s="385"/>
      <c r="Y171" s="385"/>
      <c r="Z171" s="385"/>
      <c r="AA171" s="385"/>
      <c r="AB171" s="385"/>
      <c r="AC171" s="385"/>
      <c r="AD171" s="8"/>
      <c r="AE171" s="379"/>
      <c r="AF171" s="7"/>
      <c r="AG171" s="80"/>
      <c r="AJ171" s="13">
        <v>1</v>
      </c>
      <c r="AK171" s="13"/>
      <c r="AL171" s="13">
        <f t="shared" si="189"/>
        <v>0</v>
      </c>
      <c r="AM171" s="13"/>
      <c r="AN171" s="188">
        <f t="shared" ref="AN171" si="193">IF(AND(AC171&lt;&gt;"",AE171&lt;&gt;""),1,IF(AL171&lt;&gt;0,0,1))</f>
        <v>1</v>
      </c>
      <c r="AO171" s="75">
        <f ca="1">SUM($AN$21:OFFSET(AO171,-2,-1))</f>
        <v>63</v>
      </c>
      <c r="AP171" s="75" t="str">
        <f t="shared" ref="AP171" ca="1" si="194">IF(AND(OFFSET(AP171,0,-18)="",AO171=0),AQ171,"XX")</f>
        <v>XX</v>
      </c>
      <c r="AQ171" s="75">
        <f>MAX($AE$21:AE169)</f>
        <v>0</v>
      </c>
      <c r="AR171" s="13">
        <f>IF(SUM(AE173:$AE$348)&gt;0,MIN(AE173:$AE$348),10000)</f>
        <v>10000</v>
      </c>
      <c r="AS171" s="14"/>
      <c r="AT171" s="14"/>
      <c r="AU171" s="75">
        <f t="shared" ref="AU171" si="195">IF(AND(AC171&lt;&gt;"",AE171&lt;&gt;""),4,0)</f>
        <v>0</v>
      </c>
      <c r="AV171" s="2" t="e">
        <f ca="1">IF(AND(AL171&lt;&gt;1,AL171&lt;&gt;3,AL171&lt;&gt;4),AP171+1,XX)</f>
        <v>#VALUE!</v>
      </c>
      <c r="AW171" s="2">
        <f>IF(AND(AL171&lt;&gt;1,AL171&lt;&gt;3,AL171&lt;&gt;4),AR171-1,XX)</f>
        <v>9999</v>
      </c>
    </row>
    <row r="172" spans="1:49" s="6" customFormat="1" ht="3" customHeight="1">
      <c r="A172" s="1"/>
      <c r="B172" s="1"/>
      <c r="H172" s="2"/>
      <c r="J172" s="70"/>
      <c r="L172" s="28"/>
      <c r="M172" s="251"/>
      <c r="N172" s="28"/>
      <c r="O172" s="36"/>
      <c r="P172" s="36"/>
      <c r="Q172" s="37"/>
      <c r="R172" s="37"/>
      <c r="S172" s="37"/>
      <c r="T172" s="37"/>
      <c r="U172" s="37"/>
      <c r="V172" s="37"/>
      <c r="W172" s="37"/>
      <c r="X172" s="37"/>
      <c r="Y172" s="37"/>
      <c r="Z172" s="37"/>
      <c r="AA172" s="37"/>
      <c r="AB172" s="12"/>
      <c r="AC172" s="10"/>
      <c r="AD172" s="8"/>
      <c r="AE172" s="11"/>
      <c r="AF172" s="28"/>
      <c r="AG172" s="1"/>
      <c r="AJ172" s="13"/>
      <c r="AK172" s="13"/>
      <c r="AL172" s="13"/>
      <c r="AM172" s="13"/>
      <c r="AN172" s="160"/>
      <c r="AO172" s="160"/>
      <c r="AP172" s="160"/>
      <c r="AQ172" s="160"/>
      <c r="AR172" s="13"/>
      <c r="AS172" s="161"/>
      <c r="AT172" s="161"/>
      <c r="AU172" s="160"/>
      <c r="AV172" s="161"/>
      <c r="AW172" s="161"/>
    </row>
    <row r="173" spans="1:49" ht="14.25" customHeight="1">
      <c r="B173" s="1"/>
      <c r="H173" s="2">
        <v>1</v>
      </c>
      <c r="J173" s="71" t="str">
        <f>CONCATENATE(SUM($G$17:G173),".",SUM($H$165:H173))</f>
        <v>11.4</v>
      </c>
      <c r="K173" s="2" t="s">
        <v>45</v>
      </c>
      <c r="L173" s="7"/>
      <c r="M173" s="250"/>
      <c r="N173" s="7"/>
      <c r="O173" s="385" t="str">
        <f>CONCATENATE(J173,". ",K173,$K$17)</f>
        <v>11.4. Certificado de Segurança da Navegação (CSN);------------------------------------------------------------------------------------------------------------------------------------------------------------------------</v>
      </c>
      <c r="P173" s="385"/>
      <c r="Q173" s="385"/>
      <c r="R173" s="385"/>
      <c r="S173" s="385"/>
      <c r="T173" s="385"/>
      <c r="U173" s="385"/>
      <c r="V173" s="385"/>
      <c r="W173" s="385"/>
      <c r="X173" s="385"/>
      <c r="Y173" s="385"/>
      <c r="Z173" s="385"/>
      <c r="AA173" s="385"/>
      <c r="AB173" s="9"/>
      <c r="AC173" s="380"/>
      <c r="AD173" s="8"/>
      <c r="AE173" s="379"/>
      <c r="AF173" s="7"/>
      <c r="AG173" s="80"/>
      <c r="AJ173" s="13">
        <v>1</v>
      </c>
      <c r="AK173" s="13" t="str">
        <f>IF(AND(AE173="",$AC$165="",AC173=""),"X","")</f>
        <v>X</v>
      </c>
      <c r="AL173" s="13">
        <f t="shared" si="189"/>
        <v>0</v>
      </c>
      <c r="AM173" s="13"/>
      <c r="AN173" s="188">
        <f t="shared" ref="AN173" si="196">IF(AND(AC173&lt;&gt;"",AE173&lt;&gt;""),1,IF(AL173&lt;&gt;0,0,1))</f>
        <v>1</v>
      </c>
      <c r="AO173" s="75">
        <f ca="1">SUM($AN$21:OFFSET(AO173,-2,-1))</f>
        <v>64</v>
      </c>
      <c r="AP173" s="75" t="str">
        <f t="shared" ref="AP173" ca="1" si="197">IF(AND(OFFSET(AP173,0,-18)="",AO173=0),AQ173,"XX")</f>
        <v>XX</v>
      </c>
      <c r="AQ173" s="75">
        <f>MAX($AE$21:AE171)</f>
        <v>0</v>
      </c>
      <c r="AR173" s="13">
        <f>IF(SUM(AE175:$AE$348)&gt;0,MIN(AE175:$AE$348),10000)</f>
        <v>10000</v>
      </c>
      <c r="AS173" s="14"/>
      <c r="AT173" s="14"/>
      <c r="AU173" s="75">
        <f t="shared" ref="AU173" si="198">IF(AND(AC173&lt;&gt;"",AE173&lt;&gt;""),4,0)</f>
        <v>0</v>
      </c>
      <c r="AV173" s="2" t="e">
        <f ca="1">IF(AND(AL173&lt;&gt;1,AL173&lt;&gt;3,AL173&lt;&gt;4),AP173+1,XX)</f>
        <v>#VALUE!</v>
      </c>
      <c r="AW173" s="2">
        <f>IF(AND(AL173&lt;&gt;1,AL173&lt;&gt;3,AL173&lt;&gt;4),AR173-1,XX)</f>
        <v>9999</v>
      </c>
    </row>
    <row r="174" spans="1:49" s="6" customFormat="1" ht="3" customHeight="1">
      <c r="A174" s="1"/>
      <c r="B174" s="1"/>
      <c r="J174" s="70"/>
      <c r="L174" s="28"/>
      <c r="M174" s="251"/>
      <c r="N174" s="28"/>
      <c r="O174" s="36"/>
      <c r="P174" s="36"/>
      <c r="Q174" s="37"/>
      <c r="R174" s="37"/>
      <c r="S174" s="37"/>
      <c r="T174" s="37"/>
      <c r="U174" s="37"/>
      <c r="V174" s="37"/>
      <c r="W174" s="37"/>
      <c r="X174" s="37"/>
      <c r="Y174" s="37"/>
      <c r="Z174" s="37"/>
      <c r="AA174" s="37"/>
      <c r="AB174" s="12"/>
      <c r="AC174" s="10"/>
      <c r="AD174" s="8"/>
      <c r="AE174" s="11"/>
      <c r="AF174" s="28"/>
      <c r="AG174" s="2"/>
      <c r="AJ174" s="13"/>
      <c r="AK174" s="13"/>
      <c r="AL174" s="13"/>
      <c r="AM174" s="13"/>
      <c r="AN174" s="160"/>
      <c r="AO174" s="160"/>
      <c r="AP174" s="160"/>
      <c r="AQ174" s="160"/>
      <c r="AR174" s="13"/>
      <c r="AS174" s="161"/>
      <c r="AT174" s="161"/>
      <c r="AU174" s="160"/>
      <c r="AV174" s="161"/>
      <c r="AW174" s="161"/>
    </row>
    <row r="175" spans="1:49" ht="14.25" customHeight="1">
      <c r="B175" s="1"/>
      <c r="H175" s="2">
        <v>1</v>
      </c>
      <c r="J175" s="71" t="str">
        <f>CONCATENATE(SUM($G$17:G175),".",SUM($H$165:H175))</f>
        <v>11.5</v>
      </c>
      <c r="K175" s="2" t="s">
        <v>44</v>
      </c>
      <c r="L175" s="7"/>
      <c r="M175" s="250"/>
      <c r="N175" s="7"/>
      <c r="O175" s="385" t="str">
        <f>CONCATENATE(J175,". ",K175,$K$17)</f>
        <v>11.5. Termo de Vistoria em Seco e Termo de Vistoria Flutuando;------------------------------------------------------------------------------------------------------------------------------------------------------------------------</v>
      </c>
      <c r="P175" s="385"/>
      <c r="Q175" s="385"/>
      <c r="R175" s="385"/>
      <c r="S175" s="385"/>
      <c r="T175" s="385"/>
      <c r="U175" s="385"/>
      <c r="V175" s="385"/>
      <c r="W175" s="385"/>
      <c r="X175" s="385"/>
      <c r="Y175" s="385"/>
      <c r="Z175" s="385"/>
      <c r="AA175" s="385"/>
      <c r="AB175" s="385"/>
      <c r="AC175" s="385"/>
      <c r="AD175" s="8"/>
      <c r="AE175" s="379"/>
      <c r="AF175" s="7"/>
      <c r="AG175" s="80"/>
      <c r="AJ175" s="13">
        <v>1</v>
      </c>
      <c r="AK175" s="13"/>
      <c r="AL175" s="13">
        <f t="shared" si="189"/>
        <v>0</v>
      </c>
      <c r="AM175" s="13"/>
      <c r="AN175" s="188">
        <f t="shared" ref="AN175" si="199">IF(AND(AC175&lt;&gt;"",AE175&lt;&gt;""),1,IF(AL175&lt;&gt;0,0,1))</f>
        <v>1</v>
      </c>
      <c r="AO175" s="75">
        <f ca="1">SUM($AN$21:OFFSET(AO175,-2,-1))</f>
        <v>65</v>
      </c>
      <c r="AP175" s="75" t="str">
        <f t="shared" ref="AP175" ca="1" si="200">IF(AND(OFFSET(AP175,0,-18)="",AO175=0),AQ175,"XX")</f>
        <v>XX</v>
      </c>
      <c r="AQ175" s="75">
        <f>MAX($AE$21:AE173)</f>
        <v>0</v>
      </c>
      <c r="AR175" s="13">
        <f>IF(SUM(AE177:$AE$348)&gt;0,MIN(AE177:$AE$348),10000)</f>
        <v>10000</v>
      </c>
      <c r="AS175" s="14"/>
      <c r="AT175" s="14"/>
      <c r="AU175" s="75">
        <f t="shared" ref="AU175" si="201">IF(AND(AC175&lt;&gt;"",AE175&lt;&gt;""),4,0)</f>
        <v>0</v>
      </c>
      <c r="AV175" s="2" t="e">
        <f ca="1">IF(AND(AL175&lt;&gt;1,AL175&lt;&gt;3,AL175&lt;&gt;4),AP175+1,XX)</f>
        <v>#VALUE!</v>
      </c>
      <c r="AW175" s="2">
        <f>IF(AND(AL175&lt;&gt;1,AL175&lt;&gt;3,AL175&lt;&gt;4),AR175-1,XX)</f>
        <v>9999</v>
      </c>
    </row>
    <row r="176" spans="1:49" s="6" customFormat="1" ht="3" customHeight="1">
      <c r="A176" s="1"/>
      <c r="B176" s="1"/>
      <c r="H176" s="2"/>
      <c r="J176" s="70"/>
      <c r="L176" s="28"/>
      <c r="M176" s="251"/>
      <c r="N176" s="28"/>
      <c r="O176" s="36"/>
      <c r="P176" s="36"/>
      <c r="Q176" s="37"/>
      <c r="R176" s="37"/>
      <c r="S176" s="37"/>
      <c r="T176" s="37"/>
      <c r="U176" s="37"/>
      <c r="V176" s="37"/>
      <c r="W176" s="37"/>
      <c r="X176" s="37"/>
      <c r="Y176" s="37"/>
      <c r="Z176" s="37"/>
      <c r="AA176" s="37"/>
      <c r="AB176" s="12"/>
      <c r="AC176" s="10"/>
      <c r="AD176" s="8"/>
      <c r="AE176" s="11"/>
      <c r="AF176" s="28"/>
      <c r="AG176" s="2"/>
      <c r="AJ176" s="13"/>
      <c r="AK176" s="13"/>
      <c r="AL176" s="13"/>
      <c r="AM176" s="13"/>
      <c r="AN176" s="160"/>
      <c r="AO176" s="160"/>
      <c r="AP176" s="160"/>
      <c r="AQ176" s="160"/>
      <c r="AR176" s="13"/>
      <c r="AS176" s="161"/>
      <c r="AT176" s="161"/>
      <c r="AU176" s="160"/>
      <c r="AV176" s="161"/>
      <c r="AW176" s="161"/>
    </row>
    <row r="177" spans="1:49" ht="14.25" customHeight="1">
      <c r="B177" s="1"/>
      <c r="H177" s="2">
        <v>1</v>
      </c>
      <c r="J177" s="71" t="str">
        <f>CONCATENATE(SUM($G$17:G177),".",SUM($H$165:H177))</f>
        <v>11.6</v>
      </c>
      <c r="K177" s="2" t="s">
        <v>230</v>
      </c>
      <c r="L177" s="7"/>
      <c r="M177" s="250"/>
      <c r="N177" s="7"/>
      <c r="O177" s="385" t="str">
        <f>CONCATENATE(J177,". ",K177,$K$17)</f>
        <v>11.6. Proposta de seguro do casco; (patrimonial)------------------------------------------------------------------------------------------------------------------------------------------------------------------------</v>
      </c>
      <c r="P177" s="385"/>
      <c r="Q177" s="385"/>
      <c r="R177" s="385"/>
      <c r="S177" s="385"/>
      <c r="T177" s="385"/>
      <c r="U177" s="385"/>
      <c r="V177" s="385"/>
      <c r="W177" s="385"/>
      <c r="X177" s="385"/>
      <c r="Y177" s="385"/>
      <c r="Z177" s="385"/>
      <c r="AA177" s="385"/>
      <c r="AB177" s="385"/>
      <c r="AC177" s="385"/>
      <c r="AD177" s="8"/>
      <c r="AE177" s="379"/>
      <c r="AF177" s="7"/>
      <c r="AG177" s="80"/>
      <c r="AJ177" s="13">
        <v>1</v>
      </c>
      <c r="AK177" s="13"/>
      <c r="AL177" s="13">
        <f t="shared" si="189"/>
        <v>0</v>
      </c>
      <c r="AM177" s="13"/>
      <c r="AN177" s="188">
        <f t="shared" ref="AN177" si="202">IF(AND(AC177&lt;&gt;"",AE177&lt;&gt;""),1,IF(AL177&lt;&gt;0,0,1))</f>
        <v>1</v>
      </c>
      <c r="AO177" s="75">
        <f ca="1">SUM($AN$21:OFFSET(AO177,-2,-1))</f>
        <v>66</v>
      </c>
      <c r="AP177" s="75" t="str">
        <f t="shared" ref="AP177" ca="1" si="203">IF(AND(OFFSET(AP177,0,-18)="",AO177=0),AQ177,"XX")</f>
        <v>XX</v>
      </c>
      <c r="AQ177" s="75">
        <f>MAX($AE$21:AE175)</f>
        <v>0</v>
      </c>
      <c r="AR177" s="13">
        <f>IF(SUM(AE179:$AE$348)&gt;0,MIN(AE179:$AE$348),10000)</f>
        <v>10000</v>
      </c>
      <c r="AS177" s="14"/>
      <c r="AT177" s="14"/>
      <c r="AU177" s="75">
        <f t="shared" ref="AU177" si="204">IF(AND(AC177&lt;&gt;"",AE177&lt;&gt;""),4,0)</f>
        <v>0</v>
      </c>
      <c r="AV177" s="2" t="e">
        <f ca="1">IF(AND(AL177&lt;&gt;1,AL177&lt;&gt;3,AL177&lt;&gt;4),AP177+1,XX)</f>
        <v>#VALUE!</v>
      </c>
      <c r="AW177" s="2">
        <f>IF(AND(AL177&lt;&gt;1,AL177&lt;&gt;3,AL177&lt;&gt;4),AR177-1,XX)</f>
        <v>9999</v>
      </c>
    </row>
    <row r="178" spans="1:49" s="6" customFormat="1" ht="3" customHeight="1">
      <c r="A178" s="1"/>
      <c r="B178" s="1"/>
      <c r="J178" s="70"/>
      <c r="L178" s="28"/>
      <c r="M178" s="251"/>
      <c r="N178" s="28"/>
      <c r="O178" s="452"/>
      <c r="P178" s="452"/>
      <c r="Q178" s="452"/>
      <c r="R178" s="452"/>
      <c r="S178" s="452"/>
      <c r="T178" s="452"/>
      <c r="U178" s="452"/>
      <c r="V178" s="452"/>
      <c r="W178" s="452"/>
      <c r="X178" s="452"/>
      <c r="Y178" s="452"/>
      <c r="Z178" s="452"/>
      <c r="AA178" s="452"/>
      <c r="AB178" s="12"/>
      <c r="AC178" s="10"/>
      <c r="AD178" s="8"/>
      <c r="AE178" s="11"/>
      <c r="AF178" s="28"/>
      <c r="AG178" s="1"/>
      <c r="AJ178" s="13"/>
      <c r="AK178" s="13"/>
      <c r="AL178" s="13"/>
      <c r="AM178" s="13"/>
      <c r="AN178" s="160"/>
      <c r="AO178" s="160"/>
      <c r="AP178" s="160"/>
      <c r="AQ178" s="160"/>
      <c r="AR178" s="13"/>
      <c r="AS178" s="161"/>
      <c r="AT178" s="161"/>
      <c r="AU178" s="160"/>
      <c r="AV178" s="161"/>
      <c r="AW178" s="161"/>
    </row>
    <row r="179" spans="1:49" ht="14.25" customHeight="1">
      <c r="B179" s="1"/>
      <c r="H179" s="2">
        <v>1</v>
      </c>
      <c r="J179" s="71" t="str">
        <f>CONCATENATE(SUM($G$17:G179),".",SUM($H$165:H179))</f>
        <v>11.7</v>
      </c>
      <c r="K179" s="2" t="s">
        <v>167</v>
      </c>
      <c r="L179" s="7"/>
      <c r="M179" s="250"/>
      <c r="N179" s="7"/>
      <c r="O179" s="385" t="str">
        <f>CONCATENATE(J179,". ",K179,$K$17)</f>
        <v>11.7. Certificado de Classificação de Casco e Estrutura;  (se Arqueação Bruta = ou &gt; 500)------------------------------------------------------------------------------------------------------------------------------------------------------------------------</v>
      </c>
      <c r="P179" s="385"/>
      <c r="Q179" s="385"/>
      <c r="R179" s="385"/>
      <c r="S179" s="385"/>
      <c r="T179" s="385"/>
      <c r="U179" s="385"/>
      <c r="V179" s="385"/>
      <c r="W179" s="385"/>
      <c r="X179" s="385"/>
      <c r="Y179" s="385"/>
      <c r="Z179" s="385"/>
      <c r="AA179" s="385"/>
      <c r="AB179" s="9"/>
      <c r="AC179" s="380"/>
      <c r="AD179" s="8"/>
      <c r="AE179" s="379"/>
      <c r="AF179" s="7"/>
      <c r="AG179" s="80"/>
      <c r="AJ179" s="13">
        <v>1</v>
      </c>
      <c r="AK179" s="13" t="str">
        <f>IF(AND(AE179="",$AC$165="",AC179=""),"X","")</f>
        <v>X</v>
      </c>
      <c r="AL179" s="13">
        <f t="shared" si="189"/>
        <v>0</v>
      </c>
      <c r="AM179" s="13"/>
      <c r="AN179" s="188">
        <f t="shared" ref="AN179" si="205">IF(AND(AC179&lt;&gt;"",AE179&lt;&gt;""),1,IF(AL179&lt;&gt;0,0,1))</f>
        <v>1</v>
      </c>
      <c r="AO179" s="75">
        <f ca="1">SUM($AN$21:OFFSET(AO179,-2,-1))</f>
        <v>67</v>
      </c>
      <c r="AP179" s="75" t="str">
        <f t="shared" ref="AP179" ca="1" si="206">IF(AND(OFFSET(AP179,0,-18)="",AO179=0),AQ179,"XX")</f>
        <v>XX</v>
      </c>
      <c r="AQ179" s="75">
        <f>MAX($AE$21:AE177)</f>
        <v>0</v>
      </c>
      <c r="AR179" s="13">
        <f>IF(SUM(AE181:$AE$348)&gt;0,MIN(AE181:$AE$348),10000)</f>
        <v>10000</v>
      </c>
      <c r="AS179" s="14"/>
      <c r="AT179" s="14"/>
      <c r="AU179" s="75">
        <f t="shared" ref="AU179" si="207">IF(AND(AC179&lt;&gt;"",AE179&lt;&gt;""),4,0)</f>
        <v>0</v>
      </c>
      <c r="AV179" s="2" t="e">
        <f ca="1">IF(AND(AL179&lt;&gt;1,AL179&lt;&gt;3,AL179&lt;&gt;4),AP179+1,XX)</f>
        <v>#VALUE!</v>
      </c>
      <c r="AW179" s="2">
        <f>IF(AND(AL179&lt;&gt;1,AL179&lt;&gt;3,AL179&lt;&gt;4),AR179-1,XX)</f>
        <v>9999</v>
      </c>
    </row>
    <row r="180" spans="1:49" s="6" customFormat="1" ht="3" customHeight="1">
      <c r="A180" s="1"/>
      <c r="B180" s="1"/>
      <c r="H180" s="2"/>
      <c r="J180" s="70"/>
      <c r="L180" s="28"/>
      <c r="M180" s="251"/>
      <c r="N180" s="28"/>
      <c r="O180" s="36"/>
      <c r="P180" s="36"/>
      <c r="Q180" s="37"/>
      <c r="R180" s="37"/>
      <c r="S180" s="37"/>
      <c r="T180" s="37"/>
      <c r="U180" s="37"/>
      <c r="V180" s="37"/>
      <c r="W180" s="37"/>
      <c r="X180" s="37"/>
      <c r="Y180" s="37"/>
      <c r="Z180" s="37"/>
      <c r="AA180" s="37"/>
      <c r="AB180" s="12"/>
      <c r="AC180" s="190"/>
      <c r="AD180" s="8"/>
      <c r="AE180" s="11"/>
      <c r="AF180" s="28"/>
      <c r="AG180" s="1"/>
      <c r="AJ180" s="13"/>
      <c r="AK180" s="13"/>
      <c r="AL180" s="13"/>
      <c r="AM180" s="13"/>
      <c r="AN180" s="160"/>
      <c r="AO180" s="160"/>
      <c r="AP180" s="160"/>
      <c r="AQ180" s="160"/>
      <c r="AR180" s="13"/>
      <c r="AS180" s="161"/>
      <c r="AT180" s="161"/>
      <c r="AU180" s="160"/>
      <c r="AV180" s="161"/>
      <c r="AW180" s="161"/>
    </row>
    <row r="181" spans="1:49" ht="14.25" customHeight="1">
      <c r="B181" s="1"/>
      <c r="H181" s="2">
        <v>1</v>
      </c>
      <c r="J181" s="71" t="str">
        <f>CONCATENATE(SUM($G$17:G181),".",SUM($H$165:H181))</f>
        <v>11.8</v>
      </c>
      <c r="K181" s="2" t="s">
        <v>166</v>
      </c>
      <c r="L181" s="7"/>
      <c r="M181" s="250"/>
      <c r="N181" s="7"/>
      <c r="O181" s="385" t="str">
        <f>CONCATENATE(J181,". ",K181,$K$17)</f>
        <v>11.8. Certificado de Classificação de Máquinas, Equipamentos e Eletricidade; (se Arqueação Bruta = ou &gt; 500)------------------------------------------------------------------------------------------------------------------------------------------------------------------------</v>
      </c>
      <c r="P181" s="385"/>
      <c r="Q181" s="385"/>
      <c r="R181" s="385"/>
      <c r="S181" s="385"/>
      <c r="T181" s="385"/>
      <c r="U181" s="385"/>
      <c r="V181" s="385"/>
      <c r="W181" s="385"/>
      <c r="X181" s="385"/>
      <c r="Y181" s="385"/>
      <c r="Z181" s="385"/>
      <c r="AA181" s="385"/>
      <c r="AB181" s="9"/>
      <c r="AC181" s="380"/>
      <c r="AD181" s="8"/>
      <c r="AE181" s="379"/>
      <c r="AF181" s="7"/>
      <c r="AG181" s="80"/>
      <c r="AJ181" s="13">
        <v>1</v>
      </c>
      <c r="AK181" s="13" t="str">
        <f>IF(AND(AE181="",$AC$165="",AC181=""),"X","")</f>
        <v>X</v>
      </c>
      <c r="AL181" s="13">
        <f t="shared" si="189"/>
        <v>0</v>
      </c>
      <c r="AM181" s="13"/>
      <c r="AN181" s="188">
        <f t="shared" ref="AN181" si="208">IF(AND(AC181&lt;&gt;"",AE181&lt;&gt;""),1,IF(AL181&lt;&gt;0,0,1))</f>
        <v>1</v>
      </c>
      <c r="AO181" s="75">
        <f ca="1">SUM($AN$21:OFFSET(AO181,-2,-1))</f>
        <v>68</v>
      </c>
      <c r="AP181" s="75" t="str">
        <f t="shared" ref="AP181" ca="1" si="209">IF(AND(OFFSET(AP181,0,-18)="",AO181=0),AQ181,"XX")</f>
        <v>XX</v>
      </c>
      <c r="AQ181" s="75">
        <f>MAX($AE$21:AE179)</f>
        <v>0</v>
      </c>
      <c r="AR181" s="13">
        <f>IF(SUM(AE183:$AE$348)&gt;0,MIN(AE183:$AE$348),10000)</f>
        <v>10000</v>
      </c>
      <c r="AS181" s="14"/>
      <c r="AT181" s="14"/>
      <c r="AU181" s="75">
        <f t="shared" ref="AU181" si="210">IF(AND(AC181&lt;&gt;"",AE181&lt;&gt;""),4,0)</f>
        <v>0</v>
      </c>
      <c r="AV181" s="2" t="e">
        <f ca="1">IF(AND(AL181&lt;&gt;1,AL181&lt;&gt;3,AL181&lt;&gt;4),AP181+1,XX)</f>
        <v>#VALUE!</v>
      </c>
      <c r="AW181" s="2">
        <f>IF(AND(AL181&lt;&gt;1,AL181&lt;&gt;3,AL181&lt;&gt;4),AR181-1,XX)</f>
        <v>9999</v>
      </c>
    </row>
    <row r="182" spans="1:49" s="6" customFormat="1" ht="3" customHeight="1">
      <c r="A182" s="1"/>
      <c r="B182" s="1"/>
      <c r="J182" s="70"/>
      <c r="L182" s="28"/>
      <c r="M182" s="251"/>
      <c r="N182" s="28"/>
      <c r="O182" s="36"/>
      <c r="P182" s="36"/>
      <c r="Q182" s="37"/>
      <c r="R182" s="37"/>
      <c r="S182" s="37"/>
      <c r="T182" s="37"/>
      <c r="U182" s="37"/>
      <c r="V182" s="37"/>
      <c r="W182" s="37"/>
      <c r="X182" s="37"/>
      <c r="Y182" s="37"/>
      <c r="Z182" s="37"/>
      <c r="AA182" s="37"/>
      <c r="AB182" s="12"/>
      <c r="AC182" s="190"/>
      <c r="AD182" s="8"/>
      <c r="AE182" s="11"/>
      <c r="AF182" s="28"/>
      <c r="AG182" s="25"/>
      <c r="AJ182" s="13"/>
      <c r="AK182" s="13"/>
      <c r="AL182" s="13"/>
      <c r="AM182" s="13"/>
      <c r="AN182" s="160"/>
      <c r="AO182" s="160"/>
      <c r="AP182" s="160"/>
      <c r="AQ182" s="160"/>
      <c r="AR182" s="13"/>
      <c r="AS182" s="161"/>
      <c r="AT182" s="161"/>
      <c r="AU182" s="160"/>
      <c r="AV182" s="161"/>
      <c r="AW182" s="161"/>
    </row>
    <row r="183" spans="1:49" ht="14.25" customHeight="1">
      <c r="B183" s="1"/>
      <c r="H183" s="2">
        <v>1</v>
      </c>
      <c r="J183" s="71" t="str">
        <f>CONCATENATE(SUM($G$17:G183),".",SUM($H$165:H183))</f>
        <v>11.9</v>
      </c>
      <c r="K183" s="2" t="s">
        <v>205</v>
      </c>
      <c r="L183" s="7"/>
      <c r="M183" s="250"/>
      <c r="N183" s="7"/>
      <c r="O183" s="385" t="str">
        <f>CONCATENATE(J183,". ",K183,$K$17)</f>
        <v>11.9. Autorização para transporte de carga na navegação interior de percurso longitudinal; interestadual/internacional; (da ANTAQ)------------------------------------------------------------------------------------------------------------------------------------------------------------------------</v>
      </c>
      <c r="P183" s="385"/>
      <c r="Q183" s="385"/>
      <c r="R183" s="385"/>
      <c r="S183" s="385"/>
      <c r="T183" s="385"/>
      <c r="U183" s="385"/>
      <c r="V183" s="385"/>
      <c r="W183" s="385"/>
      <c r="X183" s="385"/>
      <c r="Y183" s="385"/>
      <c r="Z183" s="385"/>
      <c r="AA183" s="385"/>
      <c r="AB183" s="9"/>
      <c r="AC183" s="380"/>
      <c r="AD183" s="8"/>
      <c r="AE183" s="379"/>
      <c r="AF183" s="7"/>
      <c r="AG183" s="80"/>
      <c r="AJ183" s="13">
        <v>1</v>
      </c>
      <c r="AK183" s="13" t="str">
        <f>IF(AND(AE183="",$AC$165="",AC183=""),"X","")</f>
        <v>X</v>
      </c>
      <c r="AL183" s="13">
        <f t="shared" si="189"/>
        <v>0</v>
      </c>
      <c r="AM183" s="13"/>
      <c r="AN183" s="188">
        <f t="shared" ref="AN183" si="211">IF(AND(AC183&lt;&gt;"",AE183&lt;&gt;""),1,IF(AL183&lt;&gt;0,0,1))</f>
        <v>1</v>
      </c>
      <c r="AO183" s="75">
        <f ca="1">SUM($AN$21:OFFSET(AO183,-2,-1))</f>
        <v>69</v>
      </c>
      <c r="AP183" s="75" t="str">
        <f t="shared" ref="AP183" ca="1" si="212">IF(AND(OFFSET(AP183,0,-18)="",AO183=0),AQ183,"XX")</f>
        <v>XX</v>
      </c>
      <c r="AQ183" s="75">
        <f>MAX($AE$21:AE181)</f>
        <v>0</v>
      </c>
      <c r="AR183" s="13">
        <f>IF(SUM(AE185:$AE$348)&gt;0,MIN(AE185:$AE$348),10000)</f>
        <v>10000</v>
      </c>
      <c r="AS183" s="14"/>
      <c r="AT183" s="14"/>
      <c r="AU183" s="75">
        <f t="shared" ref="AU183" si="213">IF(AND(AC183&lt;&gt;"",AE183&lt;&gt;""),4,0)</f>
        <v>0</v>
      </c>
      <c r="AV183" s="2" t="e">
        <f ca="1">IF(AND(AL183&lt;&gt;1,AL183&lt;&gt;3,AL183&lt;&gt;4),AP183+1,XX)</f>
        <v>#VALUE!</v>
      </c>
      <c r="AW183" s="2">
        <f>IF(AND(AL183&lt;&gt;1,AL183&lt;&gt;3,AL183&lt;&gt;4),AR183-1,XX)</f>
        <v>9999</v>
      </c>
    </row>
    <row r="184" spans="1:49" s="6" customFormat="1" ht="3" customHeight="1">
      <c r="A184" s="1"/>
      <c r="B184" s="1"/>
      <c r="H184" s="2"/>
      <c r="J184" s="70"/>
      <c r="L184" s="28"/>
      <c r="M184" s="251"/>
      <c r="N184" s="28"/>
      <c r="O184" s="36"/>
      <c r="P184" s="36"/>
      <c r="Q184" s="37"/>
      <c r="R184" s="37"/>
      <c r="S184" s="37"/>
      <c r="T184" s="37"/>
      <c r="U184" s="37"/>
      <c r="V184" s="37"/>
      <c r="W184" s="37"/>
      <c r="X184" s="37"/>
      <c r="Y184" s="37"/>
      <c r="Z184" s="37"/>
      <c r="AA184" s="37"/>
      <c r="AB184" s="12"/>
      <c r="AC184" s="10"/>
      <c r="AD184" s="8"/>
      <c r="AE184" s="11"/>
      <c r="AF184" s="28"/>
      <c r="AG184" s="1"/>
      <c r="AJ184" s="13"/>
      <c r="AK184" s="13"/>
      <c r="AL184" s="13"/>
      <c r="AM184" s="13"/>
      <c r="AN184" s="160"/>
      <c r="AO184" s="160"/>
      <c r="AP184" s="160"/>
      <c r="AQ184" s="160"/>
      <c r="AR184" s="13"/>
      <c r="AS184" s="161"/>
      <c r="AT184" s="161"/>
      <c r="AU184" s="160"/>
      <c r="AV184" s="161"/>
      <c r="AW184" s="161"/>
    </row>
    <row r="185" spans="1:49" ht="14.25" customHeight="1">
      <c r="B185" s="1"/>
      <c r="H185" s="2">
        <v>1</v>
      </c>
      <c r="J185" s="71" t="str">
        <f>CONCATENATE(SUM($G$17:G185),".",SUM($H$165:H185))</f>
        <v>11.10</v>
      </c>
      <c r="K185" s="2" t="s">
        <v>370</v>
      </c>
      <c r="L185" s="7"/>
      <c r="M185" s="250"/>
      <c r="N185" s="7"/>
      <c r="O185" s="385" t="str">
        <f>CONCATENATE(J185,". ",K185,$K$17)</f>
        <v>11.10. Promessa de Compra e Venda da Embarcação;------------------------------------------------------------------------------------------------------------------------------------------------------------------------</v>
      </c>
      <c r="P185" s="385"/>
      <c r="Q185" s="385"/>
      <c r="R185" s="385"/>
      <c r="S185" s="385"/>
      <c r="T185" s="385"/>
      <c r="U185" s="385"/>
      <c r="V185" s="385"/>
      <c r="W185" s="385"/>
      <c r="X185" s="385"/>
      <c r="Y185" s="385"/>
      <c r="Z185" s="385"/>
      <c r="AA185" s="385"/>
      <c r="AB185" s="385"/>
      <c r="AC185" s="385"/>
      <c r="AD185" s="8"/>
      <c r="AE185" s="379"/>
      <c r="AF185" s="7"/>
      <c r="AG185" s="80"/>
      <c r="AJ185" s="13">
        <v>1</v>
      </c>
      <c r="AK185" s="13"/>
      <c r="AL185" s="13">
        <f t="shared" si="189"/>
        <v>0</v>
      </c>
      <c r="AM185" s="13"/>
      <c r="AN185" s="188">
        <f t="shared" ref="AN185" si="214">IF(AND(AC185&lt;&gt;"",AE185&lt;&gt;""),1,IF(AL185&lt;&gt;0,0,1))</f>
        <v>1</v>
      </c>
      <c r="AO185" s="75">
        <f ca="1">SUM($AN$21:OFFSET(AO185,-2,-1))</f>
        <v>70</v>
      </c>
      <c r="AP185" s="75" t="str">
        <f t="shared" ref="AP185" ca="1" si="215">IF(AND(OFFSET(AP185,0,-18)="",AO185=0),AQ185,"XX")</f>
        <v>XX</v>
      </c>
      <c r="AQ185" s="75">
        <f>MAX($AE$21:AE183)</f>
        <v>0</v>
      </c>
      <c r="AR185" s="13">
        <f>IF(SUM(AE187:$AE$348)&gt;0,MIN(AE187:$AE$348),10000)</f>
        <v>10000</v>
      </c>
      <c r="AS185" s="14"/>
      <c r="AT185" s="14"/>
      <c r="AU185" s="75">
        <f t="shared" ref="AU185" si="216">IF(AND(AC185&lt;&gt;"",AE185&lt;&gt;""),4,0)</f>
        <v>0</v>
      </c>
      <c r="AV185" s="2" t="e">
        <f ca="1">IF(AND(AL185&lt;&gt;1,AL185&lt;&gt;3,AL185&lt;&gt;4),AP185+1,XX)</f>
        <v>#VALUE!</v>
      </c>
      <c r="AW185" s="2">
        <f>IF(AND(AL185&lt;&gt;1,AL185&lt;&gt;3,AL185&lt;&gt;4),AR185-1,XX)</f>
        <v>9999</v>
      </c>
    </row>
    <row r="186" spans="1:49" s="6" customFormat="1" ht="3" customHeight="1">
      <c r="A186" s="79"/>
      <c r="B186" s="79"/>
      <c r="J186" s="70"/>
      <c r="L186" s="28"/>
      <c r="M186" s="251"/>
      <c r="N186" s="28"/>
      <c r="O186" s="36"/>
      <c r="P186" s="36"/>
      <c r="Q186" s="37"/>
      <c r="R186" s="37"/>
      <c r="S186" s="37"/>
      <c r="T186" s="37"/>
      <c r="U186" s="37"/>
      <c r="V186" s="37"/>
      <c r="W186" s="37"/>
      <c r="X186" s="37"/>
      <c r="Y186" s="37"/>
      <c r="Z186" s="37"/>
      <c r="AA186" s="37"/>
      <c r="AB186" s="12"/>
      <c r="AC186" s="10"/>
      <c r="AD186" s="8"/>
      <c r="AE186" s="11"/>
      <c r="AF186" s="28"/>
      <c r="AG186" s="79"/>
      <c r="AJ186" s="13"/>
      <c r="AK186" s="13"/>
      <c r="AL186" s="13"/>
      <c r="AM186" s="13"/>
      <c r="AN186" s="160"/>
      <c r="AO186" s="160"/>
      <c r="AP186" s="160"/>
      <c r="AQ186" s="160"/>
      <c r="AR186" s="13"/>
      <c r="AS186" s="161"/>
      <c r="AT186" s="161"/>
      <c r="AU186" s="160"/>
      <c r="AV186" s="161"/>
      <c r="AW186" s="161"/>
    </row>
    <row r="187" spans="1:49" ht="14.25" customHeight="1">
      <c r="A187" s="79"/>
      <c r="B187" s="79"/>
      <c r="H187" s="2">
        <v>1</v>
      </c>
      <c r="J187" s="71" t="str">
        <f>CONCATENATE(SUM($G$17:G187),".",SUM($H$165:H187))</f>
        <v>11.11</v>
      </c>
      <c r="K187" s="2" t="s">
        <v>371</v>
      </c>
      <c r="L187" s="7"/>
      <c r="M187" s="250"/>
      <c r="N187" s="7"/>
      <c r="O187" s="385" t="str">
        <f>CONCATENATE(J187,". ",K187,$K$17)</f>
        <v>11.11. Seguro obrigatório da embarcação;------------------------------------------------------------------------------------------------------------------------------------------------------------------------</v>
      </c>
      <c r="P187" s="385"/>
      <c r="Q187" s="385"/>
      <c r="R187" s="385"/>
      <c r="S187" s="385"/>
      <c r="T187" s="385"/>
      <c r="U187" s="385"/>
      <c r="V187" s="385"/>
      <c r="W187" s="385"/>
      <c r="X187" s="385"/>
      <c r="Y187" s="385"/>
      <c r="Z187" s="385"/>
      <c r="AA187" s="385"/>
      <c r="AB187" s="385"/>
      <c r="AC187" s="385"/>
      <c r="AD187" s="8"/>
      <c r="AE187" s="379"/>
      <c r="AF187" s="7"/>
      <c r="AG187" s="80"/>
      <c r="AJ187" s="13">
        <v>1</v>
      </c>
      <c r="AK187" s="13"/>
      <c r="AL187" s="13">
        <f t="shared" ref="AL187" si="217">IF(AND(AC187&lt;&gt;"",AE187&lt;&gt;""),4,IF(AC187&lt;&gt;"",1,IF(AE187&lt;&gt;"",2,IF($AC$165&lt;&gt;"",3,0))))</f>
        <v>0</v>
      </c>
      <c r="AM187" s="13"/>
      <c r="AN187" s="188">
        <f t="shared" ref="AN187" si="218">IF(AND(AC187&lt;&gt;"",AE187&lt;&gt;""),1,IF(AL187&lt;&gt;0,0,1))</f>
        <v>1</v>
      </c>
      <c r="AO187" s="75">
        <f ca="1">SUM($AN$21:OFFSET(AO187,-2,-1))</f>
        <v>71</v>
      </c>
      <c r="AP187" s="75" t="str">
        <f t="shared" ref="AP187" ca="1" si="219">IF(AND(OFFSET(AP187,0,-18)="",AO187=0),AQ187,"XX")</f>
        <v>XX</v>
      </c>
      <c r="AQ187" s="75">
        <f>MAX($AE$21:AE185)</f>
        <v>0</v>
      </c>
      <c r="AR187" s="13">
        <f>IF(SUM(AE189:$AE$348)&gt;0,MIN(AE189:$AE$348),10000)</f>
        <v>10000</v>
      </c>
      <c r="AS187" s="14"/>
      <c r="AT187" s="14"/>
      <c r="AU187" s="75">
        <f t="shared" ref="AU187" si="220">IF(AND(AC187&lt;&gt;"",AE187&lt;&gt;""),4,0)</f>
        <v>0</v>
      </c>
      <c r="AV187" s="2" t="e">
        <f ca="1">IF(AND(AL187&lt;&gt;1,AL187&lt;&gt;3,AL187&lt;&gt;4),AP187+1,XX)</f>
        <v>#VALUE!</v>
      </c>
      <c r="AW187" s="2">
        <f>IF(AND(AL187&lt;&gt;1,AL187&lt;&gt;3,AL187&lt;&gt;4),AR187-1,XX)</f>
        <v>9999</v>
      </c>
    </row>
    <row r="188" spans="1:49" s="6" customFormat="1" ht="3" customHeight="1">
      <c r="A188" s="1"/>
      <c r="B188" s="1"/>
      <c r="H188" s="2"/>
      <c r="J188" s="70"/>
      <c r="L188" s="28"/>
      <c r="M188" s="251"/>
      <c r="N188" s="28"/>
      <c r="O188" s="36"/>
      <c r="P188" s="36"/>
      <c r="Q188" s="37"/>
      <c r="R188" s="37"/>
      <c r="S188" s="37"/>
      <c r="T188" s="37"/>
      <c r="U188" s="37"/>
      <c r="V188" s="37"/>
      <c r="W188" s="37"/>
      <c r="X188" s="37"/>
      <c r="Y188" s="37"/>
      <c r="Z188" s="37"/>
      <c r="AA188" s="37"/>
      <c r="AB188" s="12"/>
      <c r="AC188" s="10"/>
      <c r="AD188" s="8"/>
      <c r="AE188" s="11"/>
      <c r="AF188" s="28"/>
      <c r="AG188" s="1"/>
      <c r="AJ188" s="13"/>
      <c r="AK188" s="13"/>
      <c r="AL188" s="56"/>
      <c r="AM188" s="13"/>
      <c r="AN188" s="160"/>
      <c r="AO188" s="160"/>
      <c r="AP188" s="160"/>
      <c r="AQ188" s="160"/>
      <c r="AR188" s="13"/>
      <c r="AS188" s="161"/>
      <c r="AT188" s="161"/>
      <c r="AU188" s="160"/>
      <c r="AV188" s="161"/>
      <c r="AW188" s="161"/>
    </row>
    <row r="189" spans="1:49" ht="14.25" customHeight="1">
      <c r="B189" s="1"/>
      <c r="G189" s="2">
        <v>1</v>
      </c>
      <c r="J189" s="71">
        <f>SUM($G$17:G189)</f>
        <v>12</v>
      </c>
      <c r="K189" s="2" t="s">
        <v>211</v>
      </c>
      <c r="L189" s="7"/>
      <c r="M189" s="250">
        <f>IF(AC189&lt;&gt;"",1,0)</f>
        <v>0</v>
      </c>
      <c r="N189" s="7"/>
      <c r="O189" s="454" t="str">
        <f>CONCATENATE(J189,". ",K189)</f>
        <v>12. Se Embarcação a Ser Construída</v>
      </c>
      <c r="P189" s="454"/>
      <c r="Q189" s="454"/>
      <c r="R189" s="454"/>
      <c r="S189" s="454"/>
      <c r="T189" s="454"/>
      <c r="U189" s="454"/>
      <c r="V189" s="454"/>
      <c r="W189" s="454"/>
      <c r="X189" s="454"/>
      <c r="Y189" s="454"/>
      <c r="Z189" s="454"/>
      <c r="AA189" s="454"/>
      <c r="AB189" s="12"/>
      <c r="AC189" s="380"/>
      <c r="AD189" s="8"/>
      <c r="AE189" s="136" t="s">
        <v>389</v>
      </c>
      <c r="AF189" s="7"/>
      <c r="AG189" s="2"/>
      <c r="AJ189" s="13"/>
      <c r="AK189" s="13" t="str">
        <f>IF(AND(AE191="",AE193="",AE195="",AE197="",AE199="",AE201="",AE203="",AE205="",$AC$189=""),"X","")</f>
        <v>X</v>
      </c>
      <c r="AL189" s="75">
        <f>IF(OR(AE191&lt;&gt;"",AE193&lt;&gt;"",AE195&lt;&gt;"",AE197&lt;&gt;"",AE199&lt;&gt;"",AE201&lt;&gt;"",AE203&lt;&gt;"",AE205&lt;&gt;""),3,0)</f>
        <v>0</v>
      </c>
      <c r="AM189" s="13"/>
      <c r="AN189" s="188"/>
      <c r="AO189" s="75">
        <f ca="1">SUM($AN$21:OFFSET(AO189,-2,-1))</f>
        <v>72</v>
      </c>
      <c r="AP189" s="75"/>
      <c r="AQ189" s="75"/>
      <c r="AR189" s="13"/>
      <c r="AS189" s="14"/>
      <c r="AT189" s="14"/>
      <c r="AU189" s="75"/>
    </row>
    <row r="190" spans="1:49" s="6" customFormat="1" ht="3" customHeight="1">
      <c r="A190" s="1"/>
      <c r="B190" s="1"/>
      <c r="J190" s="70"/>
      <c r="L190" s="28"/>
      <c r="M190" s="251"/>
      <c r="N190" s="28"/>
      <c r="O190" s="36"/>
      <c r="P190" s="36"/>
      <c r="Q190" s="37"/>
      <c r="R190" s="37"/>
      <c r="S190" s="37"/>
      <c r="T190" s="37"/>
      <c r="U190" s="37"/>
      <c r="V190" s="37"/>
      <c r="W190" s="37"/>
      <c r="X190" s="37"/>
      <c r="Y190" s="37"/>
      <c r="Z190" s="37"/>
      <c r="AA190" s="37"/>
      <c r="AB190" s="12"/>
      <c r="AC190" s="10"/>
      <c r="AD190" s="8"/>
      <c r="AE190" s="11"/>
      <c r="AF190" s="28"/>
      <c r="AG190" s="2"/>
      <c r="AJ190" s="13"/>
      <c r="AK190" s="13"/>
      <c r="AL190" s="56"/>
      <c r="AM190" s="13"/>
      <c r="AN190" s="160"/>
      <c r="AO190" s="160"/>
      <c r="AP190" s="160"/>
      <c r="AQ190" s="160"/>
      <c r="AR190" s="13"/>
      <c r="AS190" s="161"/>
      <c r="AT190" s="161"/>
      <c r="AU190" s="160"/>
      <c r="AV190" s="161"/>
      <c r="AW190" s="161"/>
    </row>
    <row r="191" spans="1:49" ht="14.25" customHeight="1">
      <c r="B191" s="1"/>
      <c r="H191" s="2">
        <v>1</v>
      </c>
      <c r="J191" s="71" t="str">
        <f>CONCATENATE(SUM($G$17:G191),".",SUM($H$189:H191))</f>
        <v>12.1</v>
      </c>
      <c r="K191" s="2" t="s">
        <v>266</v>
      </c>
      <c r="L191" s="7"/>
      <c r="M191" s="250"/>
      <c r="N191" s="7"/>
      <c r="O191" s="385" t="str">
        <f>CONCATENATE(J191,". ",K191,$K$17)</f>
        <v>12.1. Projeto, Cronograma físico-financeiro e ART para embarcação a ser construída e objeto do financiamento;------------------------------------------------------------------------------------------------------------------------------------------------------------------------</v>
      </c>
      <c r="P191" s="385"/>
      <c r="Q191" s="385"/>
      <c r="R191" s="385"/>
      <c r="S191" s="385"/>
      <c r="T191" s="385"/>
      <c r="U191" s="385"/>
      <c r="V191" s="385"/>
      <c r="W191" s="385"/>
      <c r="X191" s="385"/>
      <c r="Y191" s="385"/>
      <c r="Z191" s="385"/>
      <c r="AA191" s="385"/>
      <c r="AB191" s="385"/>
      <c r="AC191" s="385"/>
      <c r="AD191" s="8"/>
      <c r="AE191" s="379"/>
      <c r="AF191" s="7"/>
      <c r="AG191" s="80"/>
      <c r="AJ191" s="13">
        <v>1</v>
      </c>
      <c r="AK191" s="13"/>
      <c r="AL191" s="13">
        <f>IF(AND(AC191&lt;&gt;"",AE191&lt;&gt;""),4,IF(AC191&lt;&gt;"",1,IF(AE191&lt;&gt;"",2,IF($AC$189&lt;&gt;"",3,0))))</f>
        <v>0</v>
      </c>
      <c r="AM191" s="13"/>
      <c r="AN191" s="188">
        <f t="shared" ref="AN191" si="221">IF(AND(AC191&lt;&gt;"",AE191&lt;&gt;""),1,IF(AL191&lt;&gt;0,0,1))</f>
        <v>1</v>
      </c>
      <c r="AO191" s="75">
        <f ca="1">SUM($AN$21:OFFSET(AO191,-2,-1))</f>
        <v>72</v>
      </c>
      <c r="AP191" s="75" t="str">
        <f t="shared" ref="AP191" ca="1" si="222">IF(AND(OFFSET(AP191,0,-18)="",AO191=0),AQ191,"XX")</f>
        <v>XX</v>
      </c>
      <c r="AQ191" s="75">
        <f>MAX($AE$21:AE189)</f>
        <v>0</v>
      </c>
      <c r="AR191" s="13">
        <f>IF(SUM(AE193:$AE$348)&gt;0,MIN(AE193:$AE$348),10000)</f>
        <v>10000</v>
      </c>
      <c r="AS191" s="14"/>
      <c r="AT191" s="14"/>
      <c r="AU191" s="75">
        <f t="shared" ref="AU191" si="223">IF(AND(AC191&lt;&gt;"",AE191&lt;&gt;""),4,0)</f>
        <v>0</v>
      </c>
      <c r="AV191" s="2" t="e">
        <f ca="1">IF(AND(AL191&lt;&gt;1,AL191&lt;&gt;3,AL191&lt;&gt;4),AP191+1,XX)</f>
        <v>#VALUE!</v>
      </c>
      <c r="AW191" s="2">
        <f>IF(AND(AL191&lt;&gt;1,AL191&lt;&gt;3,AL191&lt;&gt;4),AR191-1,XX)</f>
        <v>9999</v>
      </c>
    </row>
    <row r="192" spans="1:49" s="6" customFormat="1" ht="3" customHeight="1">
      <c r="A192" s="1"/>
      <c r="B192" s="1"/>
      <c r="H192" s="2"/>
      <c r="J192" s="70"/>
      <c r="L192" s="28"/>
      <c r="M192" s="251"/>
      <c r="N192" s="28"/>
      <c r="O192" s="36"/>
      <c r="P192" s="36"/>
      <c r="Q192" s="37"/>
      <c r="R192" s="37"/>
      <c r="S192" s="37"/>
      <c r="T192" s="37"/>
      <c r="U192" s="37"/>
      <c r="V192" s="37"/>
      <c r="W192" s="37"/>
      <c r="X192" s="37"/>
      <c r="Y192" s="37"/>
      <c r="Z192" s="37"/>
      <c r="AA192" s="37"/>
      <c r="AB192" s="12"/>
      <c r="AC192" s="10"/>
      <c r="AD192" s="8"/>
      <c r="AE192" s="11"/>
      <c r="AF192" s="28"/>
      <c r="AG192" s="2"/>
      <c r="AJ192" s="13"/>
      <c r="AK192" s="13"/>
      <c r="AL192" s="56"/>
      <c r="AM192" s="13"/>
      <c r="AN192" s="160"/>
      <c r="AO192" s="160"/>
      <c r="AP192" s="160"/>
      <c r="AQ192" s="160"/>
      <c r="AR192" s="13"/>
      <c r="AS192" s="161"/>
      <c r="AT192" s="161"/>
      <c r="AU192" s="160"/>
      <c r="AV192" s="161"/>
      <c r="AW192" s="161"/>
    </row>
    <row r="193" spans="1:49" ht="14.25" customHeight="1">
      <c r="B193" s="1"/>
      <c r="H193" s="2">
        <v>1</v>
      </c>
      <c r="J193" s="71" t="str">
        <f>CONCATENATE(SUM($G$17:G193),".",SUM($H$189:H193))</f>
        <v>12.2</v>
      </c>
      <c r="K193" s="2" t="s">
        <v>41</v>
      </c>
      <c r="L193" s="7"/>
      <c r="M193" s="250"/>
      <c r="N193" s="7"/>
      <c r="O193" s="385" t="str">
        <f>CONCATENATE(J193,". ",K193,$K$17)</f>
        <v>12.2. Proposta/orçamento de construção por estaleiro;------------------------------------------------------------------------------------------------------------------------------------------------------------------------</v>
      </c>
      <c r="P193" s="385"/>
      <c r="Q193" s="385"/>
      <c r="R193" s="385"/>
      <c r="S193" s="385"/>
      <c r="T193" s="385"/>
      <c r="U193" s="385"/>
      <c r="V193" s="385"/>
      <c r="W193" s="385"/>
      <c r="X193" s="385"/>
      <c r="Y193" s="385"/>
      <c r="Z193" s="385"/>
      <c r="AA193" s="385"/>
      <c r="AB193" s="385"/>
      <c r="AC193" s="385"/>
      <c r="AD193" s="8"/>
      <c r="AE193" s="379"/>
      <c r="AF193" s="7"/>
      <c r="AG193" s="80"/>
      <c r="AJ193" s="13">
        <v>1</v>
      </c>
      <c r="AK193" s="13"/>
      <c r="AL193" s="13">
        <f>IF(AND(AC193&lt;&gt;"",AE193&lt;&gt;""),4,IF(AC193&lt;&gt;"",1,IF(AE193&lt;&gt;"",2,IF($AC$189&lt;&gt;"",3,0))))</f>
        <v>0</v>
      </c>
      <c r="AM193" s="13"/>
      <c r="AN193" s="188">
        <f t="shared" ref="AN193" si="224">IF(AND(AC193&lt;&gt;"",AE193&lt;&gt;""),1,IF(AL193&lt;&gt;0,0,1))</f>
        <v>1</v>
      </c>
      <c r="AO193" s="75">
        <f ca="1">SUM($AN$21:OFFSET(AO193,-2,-1))</f>
        <v>73</v>
      </c>
      <c r="AP193" s="75" t="str">
        <f t="shared" ref="AP193" ca="1" si="225">IF(AND(OFFSET(AP193,0,-18)="",AO193=0),AQ193,"XX")</f>
        <v>XX</v>
      </c>
      <c r="AQ193" s="75">
        <f>MAX($AE$21:AE191)</f>
        <v>0</v>
      </c>
      <c r="AR193" s="13">
        <f>IF(SUM(AE195:$AE$348)&gt;0,MIN(AE195:$AE$348),10000)</f>
        <v>10000</v>
      </c>
      <c r="AS193" s="14"/>
      <c r="AT193" s="14"/>
      <c r="AU193" s="75">
        <f t="shared" ref="AU193" si="226">IF(AND(AC193&lt;&gt;"",AE193&lt;&gt;""),4,0)</f>
        <v>0</v>
      </c>
      <c r="AV193" s="2" t="e">
        <f ca="1">IF(AND(AL193&lt;&gt;1,AL193&lt;&gt;3,AL193&lt;&gt;4),AP193+1,XX)</f>
        <v>#VALUE!</v>
      </c>
      <c r="AW193" s="2">
        <f>IF(AND(AL193&lt;&gt;1,AL193&lt;&gt;3,AL193&lt;&gt;4),AR193-1,XX)</f>
        <v>9999</v>
      </c>
    </row>
    <row r="194" spans="1:49" s="6" customFormat="1" ht="3" customHeight="1">
      <c r="A194" s="1"/>
      <c r="B194" s="1"/>
      <c r="J194" s="70"/>
      <c r="L194" s="28"/>
      <c r="M194" s="251"/>
      <c r="N194" s="28"/>
      <c r="O194" s="36"/>
      <c r="P194" s="36"/>
      <c r="Q194" s="37"/>
      <c r="R194" s="37"/>
      <c r="S194" s="37"/>
      <c r="T194" s="37"/>
      <c r="U194" s="37"/>
      <c r="V194" s="37"/>
      <c r="W194" s="37"/>
      <c r="X194" s="37"/>
      <c r="Y194" s="37"/>
      <c r="Z194" s="37"/>
      <c r="AA194" s="37"/>
      <c r="AB194" s="12"/>
      <c r="AC194" s="10"/>
      <c r="AD194" s="8"/>
      <c r="AE194" s="11"/>
      <c r="AF194" s="28"/>
      <c r="AG194" s="1"/>
      <c r="AJ194" s="13"/>
      <c r="AK194" s="13"/>
      <c r="AL194" s="56"/>
      <c r="AM194" s="13"/>
      <c r="AN194" s="160"/>
      <c r="AO194" s="160"/>
      <c r="AP194" s="160"/>
      <c r="AQ194" s="160"/>
      <c r="AR194" s="13"/>
      <c r="AS194" s="161"/>
      <c r="AT194" s="161"/>
      <c r="AU194" s="160"/>
      <c r="AV194" s="161"/>
      <c r="AW194" s="161"/>
    </row>
    <row r="195" spans="1:49" ht="14.25" customHeight="1">
      <c r="B195" s="1"/>
      <c r="H195" s="2">
        <v>1</v>
      </c>
      <c r="J195" s="71" t="str">
        <f>CONCATENATE(SUM($G$17:G195),".",SUM($H$189:H195))</f>
        <v>12.3</v>
      </c>
      <c r="K195" s="2" t="s">
        <v>42</v>
      </c>
      <c r="L195" s="7"/>
      <c r="M195" s="250"/>
      <c r="N195" s="7"/>
      <c r="O195" s="385" t="str">
        <f>CONCATENATE(J195,". ",K195,$K$17)</f>
        <v>12.3. Contrato ou proposta de construção da embarcação entre armador e a empresa construtora/estaleiro;------------------------------------------------------------------------------------------------------------------------------------------------------------------------</v>
      </c>
      <c r="P195" s="385"/>
      <c r="Q195" s="385"/>
      <c r="R195" s="385"/>
      <c r="S195" s="385"/>
      <c r="T195" s="385"/>
      <c r="U195" s="385"/>
      <c r="V195" s="385"/>
      <c r="W195" s="385"/>
      <c r="X195" s="385"/>
      <c r="Y195" s="385"/>
      <c r="Z195" s="385"/>
      <c r="AA195" s="385"/>
      <c r="AB195" s="385"/>
      <c r="AC195" s="385"/>
      <c r="AD195" s="8"/>
      <c r="AE195" s="379"/>
      <c r="AF195" s="7"/>
      <c r="AG195" s="80"/>
      <c r="AJ195" s="13">
        <v>1</v>
      </c>
      <c r="AK195" s="13"/>
      <c r="AL195" s="13">
        <f>IF(AND(AC195&lt;&gt;"",AE195&lt;&gt;""),4,IF(AC195&lt;&gt;"",1,IF(AE195&lt;&gt;"",2,IF($AC$189&lt;&gt;"",3,0))))</f>
        <v>0</v>
      </c>
      <c r="AM195" s="13"/>
      <c r="AN195" s="188">
        <f t="shared" ref="AN195" si="227">IF(AND(AC195&lt;&gt;"",AE195&lt;&gt;""),1,IF(AL195&lt;&gt;0,0,1))</f>
        <v>1</v>
      </c>
      <c r="AO195" s="75">
        <f ca="1">SUM($AN$21:OFFSET(AO195,-2,-1))</f>
        <v>74</v>
      </c>
      <c r="AP195" s="75" t="str">
        <f t="shared" ref="AP195" ca="1" si="228">IF(AND(OFFSET(AP195,0,-18)="",AO195=0),AQ195,"XX")</f>
        <v>XX</v>
      </c>
      <c r="AQ195" s="75">
        <f>MAX($AE$21:AE193)</f>
        <v>0</v>
      </c>
      <c r="AR195" s="13">
        <f>IF(SUM(AE197:$AE$348)&gt;0,MIN(AE197:$AE$348),10000)</f>
        <v>10000</v>
      </c>
      <c r="AS195" s="14"/>
      <c r="AT195" s="14"/>
      <c r="AU195" s="75">
        <f t="shared" ref="AU195" si="229">IF(AND(AC195&lt;&gt;"",AE195&lt;&gt;""),4,0)</f>
        <v>0</v>
      </c>
      <c r="AV195" s="2" t="e">
        <f ca="1">IF(AND(AL195&lt;&gt;1,AL195&lt;&gt;3,AL195&lt;&gt;4),AP195+1,XX)</f>
        <v>#VALUE!</v>
      </c>
      <c r="AW195" s="2">
        <f>IF(AND(AL195&lt;&gt;1,AL195&lt;&gt;3,AL195&lt;&gt;4),AR195-1,XX)</f>
        <v>9999</v>
      </c>
    </row>
    <row r="196" spans="1:49" s="6" customFormat="1" ht="3" customHeight="1">
      <c r="A196" s="1"/>
      <c r="B196" s="1"/>
      <c r="H196" s="2"/>
      <c r="J196" s="70"/>
      <c r="L196" s="28"/>
      <c r="M196" s="251"/>
      <c r="N196" s="28"/>
      <c r="O196" s="36"/>
      <c r="P196" s="36"/>
      <c r="Q196" s="37"/>
      <c r="R196" s="37"/>
      <c r="S196" s="37"/>
      <c r="T196" s="37"/>
      <c r="U196" s="37"/>
      <c r="V196" s="37"/>
      <c r="W196" s="37"/>
      <c r="X196" s="37"/>
      <c r="Y196" s="37"/>
      <c r="Z196" s="37"/>
      <c r="AA196" s="37"/>
      <c r="AB196" s="12"/>
      <c r="AC196" s="10"/>
      <c r="AD196" s="8"/>
      <c r="AE196" s="11"/>
      <c r="AF196" s="28"/>
      <c r="AG196" s="1"/>
      <c r="AJ196" s="13"/>
      <c r="AK196" s="13"/>
      <c r="AL196" s="56"/>
      <c r="AM196" s="13"/>
      <c r="AN196" s="160"/>
      <c r="AO196" s="160"/>
      <c r="AP196" s="160"/>
      <c r="AQ196" s="160"/>
      <c r="AR196" s="13"/>
      <c r="AS196" s="161"/>
      <c r="AT196" s="161"/>
      <c r="AU196" s="160"/>
      <c r="AV196" s="161"/>
      <c r="AW196" s="161"/>
    </row>
    <row r="197" spans="1:49" ht="14.25" customHeight="1">
      <c r="B197" s="1"/>
      <c r="H197" s="2">
        <v>1</v>
      </c>
      <c r="J197" s="71" t="str">
        <f>CONCATENATE(SUM($G$17:G197),".",SUM($H$189:H197))</f>
        <v>12.4</v>
      </c>
      <c r="K197" s="2" t="s">
        <v>39</v>
      </c>
      <c r="L197" s="7"/>
      <c r="M197" s="250"/>
      <c r="N197" s="7"/>
      <c r="O197" s="385" t="str">
        <f>CONCATENATE(J197,". ",K197,$K$17)</f>
        <v>12.4. Licença de Operação vigente da empresa construtora/estaleiro;------------------------------------------------------------------------------------------------------------------------------------------------------------------------</v>
      </c>
      <c r="P197" s="385"/>
      <c r="Q197" s="385"/>
      <c r="R197" s="385"/>
      <c r="S197" s="385"/>
      <c r="T197" s="385"/>
      <c r="U197" s="385"/>
      <c r="V197" s="385"/>
      <c r="W197" s="385"/>
      <c r="X197" s="385"/>
      <c r="Y197" s="385"/>
      <c r="Z197" s="385"/>
      <c r="AA197" s="385"/>
      <c r="AB197" s="385"/>
      <c r="AC197" s="385"/>
      <c r="AD197" s="8"/>
      <c r="AE197" s="379"/>
      <c r="AF197" s="7"/>
      <c r="AG197" s="80"/>
      <c r="AJ197" s="13">
        <v>1</v>
      </c>
      <c r="AK197" s="13"/>
      <c r="AL197" s="13">
        <f>IF(AND(AC197&lt;&gt;"",AE197&lt;&gt;""),4,IF(AC197&lt;&gt;"",1,IF(AE197&lt;&gt;"",2,IF($AC$189&lt;&gt;"",3,0))))</f>
        <v>0</v>
      </c>
      <c r="AM197" s="13"/>
      <c r="AN197" s="188">
        <f t="shared" ref="AN197" si="230">IF(AND(AC197&lt;&gt;"",AE197&lt;&gt;""),1,IF(AL197&lt;&gt;0,0,1))</f>
        <v>1</v>
      </c>
      <c r="AO197" s="75">
        <f ca="1">SUM($AN$21:OFFSET(AO197,-2,-1))</f>
        <v>75</v>
      </c>
      <c r="AP197" s="75" t="str">
        <f t="shared" ref="AP197" ca="1" si="231">IF(AND(OFFSET(AP197,0,-18)="",AO197=0),AQ197,"XX")</f>
        <v>XX</v>
      </c>
      <c r="AQ197" s="75">
        <f>MAX($AE$21:AE195)</f>
        <v>0</v>
      </c>
      <c r="AR197" s="13">
        <f>IF(SUM(AE199:$AE$348)&gt;0,MIN(AE199:$AE$348),10000)</f>
        <v>10000</v>
      </c>
      <c r="AS197" s="14"/>
      <c r="AT197" s="14"/>
      <c r="AU197" s="75">
        <f t="shared" ref="AU197" si="232">IF(AND(AC197&lt;&gt;"",AE197&lt;&gt;""),4,0)</f>
        <v>0</v>
      </c>
      <c r="AV197" s="2" t="e">
        <f ca="1">IF(AND(AL197&lt;&gt;1,AL197&lt;&gt;3,AL197&lt;&gt;4),AP197+1,XX)</f>
        <v>#VALUE!</v>
      </c>
      <c r="AW197" s="2">
        <f>IF(AND(AL197&lt;&gt;1,AL197&lt;&gt;3,AL197&lt;&gt;4),AR197-1,XX)</f>
        <v>9999</v>
      </c>
    </row>
    <row r="198" spans="1:49" s="6" customFormat="1" ht="3" customHeight="1">
      <c r="A198" s="1"/>
      <c r="B198" s="1"/>
      <c r="J198" s="70"/>
      <c r="L198" s="28"/>
      <c r="M198" s="251"/>
      <c r="N198" s="28"/>
      <c r="O198" s="36"/>
      <c r="P198" s="36"/>
      <c r="Q198" s="37"/>
      <c r="R198" s="37"/>
      <c r="S198" s="37"/>
      <c r="T198" s="37"/>
      <c r="U198" s="37"/>
      <c r="V198" s="37"/>
      <c r="W198" s="37"/>
      <c r="X198" s="37"/>
      <c r="Y198" s="37"/>
      <c r="Z198" s="37"/>
      <c r="AA198" s="37"/>
      <c r="AB198" s="12"/>
      <c r="AC198" s="10"/>
      <c r="AD198" s="8"/>
      <c r="AE198" s="11"/>
      <c r="AF198" s="28"/>
      <c r="AG198" s="25"/>
      <c r="AJ198" s="13"/>
      <c r="AK198" s="13"/>
      <c r="AL198" s="56"/>
      <c r="AM198" s="13"/>
      <c r="AN198" s="160"/>
      <c r="AO198" s="160"/>
      <c r="AP198" s="160"/>
      <c r="AQ198" s="160"/>
      <c r="AR198" s="13"/>
      <c r="AS198" s="161"/>
      <c r="AT198" s="161"/>
      <c r="AU198" s="160"/>
      <c r="AV198" s="161"/>
      <c r="AW198" s="161"/>
    </row>
    <row r="199" spans="1:49" ht="14.25" customHeight="1">
      <c r="B199" s="1"/>
      <c r="H199" s="2">
        <v>1</v>
      </c>
      <c r="J199" s="71" t="str">
        <f>CONCATENATE(SUM($G$17:G199),".",SUM($H$189:H199))</f>
        <v>12.5</v>
      </c>
      <c r="K199" s="2" t="s">
        <v>43</v>
      </c>
      <c r="L199" s="7"/>
      <c r="M199" s="250"/>
      <c r="N199" s="7"/>
      <c r="O199" s="385" t="str">
        <f>CONCATENATE(J199,". ",K199,$K$17)</f>
        <v>12.5. Registro da empresa estaleiro/construtor no CREA;------------------------------------------------------------------------------------------------------------------------------------------------------------------------</v>
      </c>
      <c r="P199" s="385"/>
      <c r="Q199" s="385"/>
      <c r="R199" s="385"/>
      <c r="S199" s="385"/>
      <c r="T199" s="385"/>
      <c r="U199" s="385"/>
      <c r="V199" s="385"/>
      <c r="W199" s="385"/>
      <c r="X199" s="385"/>
      <c r="Y199" s="385"/>
      <c r="Z199" s="385"/>
      <c r="AA199" s="385"/>
      <c r="AB199" s="385"/>
      <c r="AC199" s="385"/>
      <c r="AD199" s="8"/>
      <c r="AE199" s="379"/>
      <c r="AF199" s="7"/>
      <c r="AG199" s="80"/>
      <c r="AJ199" s="13">
        <v>1</v>
      </c>
      <c r="AK199" s="13"/>
      <c r="AL199" s="13">
        <f>IF(AND(AC199&lt;&gt;"",AE199&lt;&gt;""),4,IF(AC199&lt;&gt;"",1,IF(AE199&lt;&gt;"",2,IF($AC$189&lt;&gt;"",3,0))))</f>
        <v>0</v>
      </c>
      <c r="AM199" s="13"/>
      <c r="AN199" s="188">
        <f t="shared" ref="AN199" si="233">IF(AND(AC199&lt;&gt;"",AE199&lt;&gt;""),1,IF(AL199&lt;&gt;0,0,1))</f>
        <v>1</v>
      </c>
      <c r="AO199" s="75">
        <f ca="1">SUM($AN$21:OFFSET(AO199,-2,-1))</f>
        <v>76</v>
      </c>
      <c r="AP199" s="75" t="str">
        <f t="shared" ref="AP199" ca="1" si="234">IF(AND(OFFSET(AP199,0,-18)="",AO199=0),AQ199,"XX")</f>
        <v>XX</v>
      </c>
      <c r="AQ199" s="75">
        <f>MAX($AE$21:AE197)</f>
        <v>0</v>
      </c>
      <c r="AR199" s="13">
        <f>IF(SUM(AE201:$AE$348)&gt;0,MIN(AE201:$AE$348),10000)</f>
        <v>10000</v>
      </c>
      <c r="AS199" s="14"/>
      <c r="AT199" s="14"/>
      <c r="AU199" s="75">
        <f t="shared" ref="AU199" si="235">IF(AND(AC199&lt;&gt;"",AE199&lt;&gt;""),4,0)</f>
        <v>0</v>
      </c>
      <c r="AV199" s="2" t="e">
        <f ca="1">IF(AND(AL199&lt;&gt;1,AL199&lt;&gt;3,AL199&lt;&gt;4),AP199+1,XX)</f>
        <v>#VALUE!</v>
      </c>
      <c r="AW199" s="2">
        <f>IF(AND(AL199&lt;&gt;1,AL199&lt;&gt;3,AL199&lt;&gt;4),AR199-1,XX)</f>
        <v>9999</v>
      </c>
    </row>
    <row r="200" spans="1:49" s="6" customFormat="1" ht="3" customHeight="1">
      <c r="A200" s="1"/>
      <c r="B200" s="1"/>
      <c r="H200" s="2"/>
      <c r="J200" s="70"/>
      <c r="L200" s="28"/>
      <c r="M200" s="251"/>
      <c r="N200" s="28"/>
      <c r="O200" s="36"/>
      <c r="P200" s="36"/>
      <c r="Q200" s="37"/>
      <c r="R200" s="37"/>
      <c r="S200" s="37"/>
      <c r="T200" s="37"/>
      <c r="U200" s="37"/>
      <c r="V200" s="37"/>
      <c r="W200" s="37"/>
      <c r="X200" s="37"/>
      <c r="Y200" s="37"/>
      <c r="Z200" s="37"/>
      <c r="AA200" s="37"/>
      <c r="AB200" s="12"/>
      <c r="AC200" s="10"/>
      <c r="AD200" s="8"/>
      <c r="AE200" s="11"/>
      <c r="AF200" s="28"/>
      <c r="AG200" s="1"/>
      <c r="AJ200" s="13"/>
      <c r="AK200" s="13"/>
      <c r="AL200" s="56"/>
      <c r="AM200" s="13"/>
      <c r="AN200" s="160"/>
      <c r="AO200" s="160"/>
      <c r="AP200" s="160"/>
      <c r="AQ200" s="160"/>
      <c r="AR200" s="13"/>
      <c r="AS200" s="161"/>
      <c r="AT200" s="161"/>
      <c r="AU200" s="160"/>
      <c r="AV200" s="161"/>
      <c r="AW200" s="161"/>
    </row>
    <row r="201" spans="1:49" ht="14.25" customHeight="1">
      <c r="B201" s="1"/>
      <c r="H201" s="2">
        <v>1</v>
      </c>
      <c r="J201" s="71" t="str">
        <f>CONCATENATE(SUM($G$17:G201),".",SUM($H$189:H201))</f>
        <v>12.6</v>
      </c>
      <c r="K201" s="2" t="s">
        <v>229</v>
      </c>
      <c r="L201" s="7"/>
      <c r="M201" s="250"/>
      <c r="N201" s="7"/>
      <c r="O201" s="385" t="str">
        <f>CONCATENATE(J201,". ",K201,$K$17)</f>
        <v>12.6. Certidão de regularidade junto ao CREA; (da empresa estaleiro/construtor)------------------------------------------------------------------------------------------------------------------------------------------------------------------------</v>
      </c>
      <c r="P201" s="385"/>
      <c r="Q201" s="385"/>
      <c r="R201" s="385"/>
      <c r="S201" s="385"/>
      <c r="T201" s="385"/>
      <c r="U201" s="385"/>
      <c r="V201" s="385"/>
      <c r="W201" s="385"/>
      <c r="X201" s="385"/>
      <c r="Y201" s="385"/>
      <c r="Z201" s="385"/>
      <c r="AA201" s="385"/>
      <c r="AB201" s="385"/>
      <c r="AC201" s="385"/>
      <c r="AD201" s="8"/>
      <c r="AE201" s="379"/>
      <c r="AF201" s="7"/>
      <c r="AG201" s="80"/>
      <c r="AJ201" s="13">
        <v>1</v>
      </c>
      <c r="AK201" s="13"/>
      <c r="AL201" s="13">
        <f>IF(AND(AC201&lt;&gt;"",AE201&lt;&gt;""),4,IF(AC201&lt;&gt;"",1,IF(AE201&lt;&gt;"",2,IF($AC$189&lt;&gt;"",3,0))))</f>
        <v>0</v>
      </c>
      <c r="AM201" s="13"/>
      <c r="AN201" s="188">
        <f t="shared" ref="AN201" si="236">IF(AND(AC201&lt;&gt;"",AE201&lt;&gt;""),1,IF(AL201&lt;&gt;0,0,1))</f>
        <v>1</v>
      </c>
      <c r="AO201" s="75">
        <f ca="1">SUM($AN$21:OFFSET(AO201,-2,-1))</f>
        <v>77</v>
      </c>
      <c r="AP201" s="75" t="str">
        <f t="shared" ref="AP201" ca="1" si="237">IF(AND(OFFSET(AP201,0,-18)="",AO201=0),AQ201,"XX")</f>
        <v>XX</v>
      </c>
      <c r="AQ201" s="75">
        <f>MAX($AE$21:AE199)</f>
        <v>0</v>
      </c>
      <c r="AR201" s="13">
        <f>IF(SUM(AE203:$AE$348)&gt;0,MIN(AE203:$AE$348),10000)</f>
        <v>10000</v>
      </c>
      <c r="AS201" s="14"/>
      <c r="AT201" s="14"/>
      <c r="AU201" s="75">
        <f t="shared" ref="AU201" si="238">IF(AND(AC201&lt;&gt;"",AE201&lt;&gt;""),4,0)</f>
        <v>0</v>
      </c>
      <c r="AV201" s="2" t="e">
        <f ca="1">IF(AND(AL201&lt;&gt;1,AL201&lt;&gt;3,AL201&lt;&gt;4),AP201+1,XX)</f>
        <v>#VALUE!</v>
      </c>
      <c r="AW201" s="2">
        <f>IF(AND(AL201&lt;&gt;1,AL201&lt;&gt;3,AL201&lt;&gt;4),AR201-1,XX)</f>
        <v>9999</v>
      </c>
    </row>
    <row r="202" spans="1:49" s="6" customFormat="1" ht="3" customHeight="1">
      <c r="A202" s="1"/>
      <c r="B202" s="1"/>
      <c r="J202" s="70"/>
      <c r="L202" s="28"/>
      <c r="M202" s="251"/>
      <c r="N202" s="28"/>
      <c r="O202" s="36"/>
      <c r="P202" s="36"/>
      <c r="Q202" s="37"/>
      <c r="R202" s="37"/>
      <c r="S202" s="37"/>
      <c r="T202" s="37"/>
      <c r="U202" s="37"/>
      <c r="V202" s="37"/>
      <c r="W202" s="37"/>
      <c r="X202" s="37"/>
      <c r="Y202" s="37"/>
      <c r="Z202" s="37"/>
      <c r="AA202" s="37"/>
      <c r="AB202" s="12"/>
      <c r="AC202" s="10"/>
      <c r="AD202" s="8"/>
      <c r="AE202" s="11"/>
      <c r="AF202" s="28"/>
      <c r="AG202" s="1"/>
      <c r="AJ202" s="13"/>
      <c r="AK202" s="13"/>
      <c r="AL202" s="56"/>
      <c r="AM202" s="13"/>
      <c r="AN202" s="160"/>
      <c r="AO202" s="160"/>
      <c r="AP202" s="160"/>
      <c r="AQ202" s="160"/>
      <c r="AR202" s="13"/>
      <c r="AS202" s="161"/>
      <c r="AT202" s="161"/>
      <c r="AU202" s="160"/>
      <c r="AV202" s="161"/>
      <c r="AW202" s="161"/>
    </row>
    <row r="203" spans="1:49" ht="14.25" customHeight="1">
      <c r="B203" s="1"/>
      <c r="H203" s="2">
        <v>1</v>
      </c>
      <c r="J203" s="71" t="str">
        <f>CONCATENATE(SUM($G$17:G203),".",SUM($H$189:H203))</f>
        <v>12.7</v>
      </c>
      <c r="K203" s="2" t="s">
        <v>353</v>
      </c>
      <c r="L203" s="7"/>
      <c r="M203" s="250"/>
      <c r="N203" s="7"/>
      <c r="O203" s="385" t="str">
        <f>CONCATENATE(J203,". ",K203,$K$17)</f>
        <v>12.7. Licença Provisória de Construção de Embarcação emitida pela empresa Certificadora;------------------------------------------------------------------------------------------------------------------------------------------------------------------------</v>
      </c>
      <c r="P203" s="385"/>
      <c r="Q203" s="385"/>
      <c r="R203" s="385"/>
      <c r="S203" s="385"/>
      <c r="T203" s="385"/>
      <c r="U203" s="385"/>
      <c r="V203" s="385"/>
      <c r="W203" s="385"/>
      <c r="X203" s="385"/>
      <c r="Y203" s="385"/>
      <c r="Z203" s="385"/>
      <c r="AA203" s="385"/>
      <c r="AB203" s="385"/>
      <c r="AC203" s="385"/>
      <c r="AD203" s="8"/>
      <c r="AE203" s="379"/>
      <c r="AF203" s="7"/>
      <c r="AG203" s="80"/>
      <c r="AJ203" s="13">
        <v>1</v>
      </c>
      <c r="AK203" s="13"/>
      <c r="AL203" s="13">
        <f>IF(AND(AC203&lt;&gt;"",AE203&lt;&gt;""),4,IF(AC203&lt;&gt;"",1,IF(AE203&lt;&gt;"",2,IF($AC$189&lt;&gt;"",3,0))))</f>
        <v>0</v>
      </c>
      <c r="AM203" s="13"/>
      <c r="AN203" s="188">
        <f t="shared" ref="AN203" si="239">IF(AND(AC203&lt;&gt;"",AE203&lt;&gt;""),1,IF(AL203&lt;&gt;0,0,1))</f>
        <v>1</v>
      </c>
      <c r="AO203" s="75">
        <f ca="1">SUM($AN$21:OFFSET(AO203,-2,-1))</f>
        <v>78</v>
      </c>
      <c r="AP203" s="75" t="str">
        <f t="shared" ref="AP203" ca="1" si="240">IF(AND(OFFSET(AP203,0,-18)="",AO203=0),AQ203,"XX")</f>
        <v>XX</v>
      </c>
      <c r="AQ203" s="75">
        <f>MAX($AE$21:AE201)</f>
        <v>0</v>
      </c>
      <c r="AR203" s="13">
        <f>IF(SUM(AE205:$AE$348)&gt;0,MIN(AE205:$AE$348),10000)</f>
        <v>10000</v>
      </c>
      <c r="AS203" s="14"/>
      <c r="AT203" s="14"/>
      <c r="AU203" s="75">
        <f t="shared" ref="AU203" si="241">IF(AND(AC203&lt;&gt;"",AE203&lt;&gt;""),4,0)</f>
        <v>0</v>
      </c>
      <c r="AV203" s="2" t="e">
        <f ca="1">IF(AND(AL203&lt;&gt;1,AL203&lt;&gt;3,AL203&lt;&gt;4),AP203+1,XX)</f>
        <v>#VALUE!</v>
      </c>
      <c r="AW203" s="2">
        <f>IF(AND(AL203&lt;&gt;1,AL203&lt;&gt;3,AL203&lt;&gt;4),AR203-1,XX)</f>
        <v>9999</v>
      </c>
    </row>
    <row r="204" spans="1:49" s="6" customFormat="1" ht="3" customHeight="1">
      <c r="A204" s="1"/>
      <c r="B204" s="1"/>
      <c r="H204" s="2"/>
      <c r="J204" s="70"/>
      <c r="L204" s="28"/>
      <c r="M204" s="251"/>
      <c r="N204" s="28"/>
      <c r="O204" s="36"/>
      <c r="P204" s="36"/>
      <c r="Q204" s="37"/>
      <c r="R204" s="37"/>
      <c r="S204" s="37"/>
      <c r="T204" s="37"/>
      <c r="U204" s="37"/>
      <c r="V204" s="37"/>
      <c r="W204" s="37"/>
      <c r="X204" s="37"/>
      <c r="Y204" s="37"/>
      <c r="Z204" s="37"/>
      <c r="AA204" s="37"/>
      <c r="AB204" s="12"/>
      <c r="AC204" s="10"/>
      <c r="AD204" s="8"/>
      <c r="AE204" s="11"/>
      <c r="AF204" s="28"/>
      <c r="AG204" s="2"/>
      <c r="AJ204" s="13"/>
      <c r="AK204" s="13"/>
      <c r="AL204" s="56"/>
      <c r="AM204" s="13"/>
      <c r="AN204" s="160"/>
      <c r="AO204" s="160"/>
      <c r="AP204" s="160"/>
      <c r="AQ204" s="160"/>
      <c r="AR204" s="13"/>
      <c r="AS204" s="161"/>
      <c r="AT204" s="161"/>
      <c r="AU204" s="160"/>
      <c r="AV204" s="161"/>
      <c r="AW204" s="161"/>
    </row>
    <row r="205" spans="1:49" ht="14.25" customHeight="1">
      <c r="B205" s="1"/>
      <c r="H205" s="2">
        <v>1</v>
      </c>
      <c r="J205" s="71" t="str">
        <f>CONCATENATE(SUM($G$17:G205),".",SUM($H$189:H205))</f>
        <v>12.8</v>
      </c>
      <c r="K205" s="2" t="s">
        <v>173</v>
      </c>
      <c r="L205" s="7"/>
      <c r="M205" s="250"/>
      <c r="N205" s="7"/>
      <c r="O205" s="385" t="str">
        <f>CONCATENATE(J205,". ",K205,$K$17)</f>
        <v>12.8. Proposta de seguro de construção a ser contratado pelo estaleiro construtor.------------------------------------------------------------------------------------------------------------------------------------------------------------------------</v>
      </c>
      <c r="P205" s="385"/>
      <c r="Q205" s="385"/>
      <c r="R205" s="385"/>
      <c r="S205" s="385"/>
      <c r="T205" s="385"/>
      <c r="U205" s="385"/>
      <c r="V205" s="385"/>
      <c r="W205" s="385"/>
      <c r="X205" s="385"/>
      <c r="Y205" s="385"/>
      <c r="Z205" s="385"/>
      <c r="AA205" s="385"/>
      <c r="AB205" s="385"/>
      <c r="AC205" s="385"/>
      <c r="AD205" s="8"/>
      <c r="AE205" s="379"/>
      <c r="AF205" s="7"/>
      <c r="AG205" s="80"/>
      <c r="AJ205" s="13">
        <v>1</v>
      </c>
      <c r="AK205" s="13"/>
      <c r="AL205" s="13">
        <f>IF(AND(AC205&lt;&gt;"",AE205&lt;&gt;""),4,IF(AC205&lt;&gt;"",1,IF(AE205&lt;&gt;"",2,IF($AC$189&lt;&gt;"",3,0))))</f>
        <v>0</v>
      </c>
      <c r="AM205" s="13"/>
      <c r="AN205" s="188">
        <f t="shared" ref="AN205" si="242">IF(AND(AC205&lt;&gt;"",AE205&lt;&gt;""),1,IF(AL205&lt;&gt;0,0,1))</f>
        <v>1</v>
      </c>
      <c r="AO205" s="75">
        <f ca="1">SUM($AN$21:OFFSET(AO205,-2,-1))</f>
        <v>79</v>
      </c>
      <c r="AP205" s="75" t="str">
        <f t="shared" ref="AP205" ca="1" si="243">IF(AND(OFFSET(AP205,0,-18)="",AO205=0),AQ205,"XX")</f>
        <v>XX</v>
      </c>
      <c r="AQ205" s="75">
        <f>MAX($AE$21:AE203)</f>
        <v>0</v>
      </c>
      <c r="AR205" s="13">
        <f>IF(SUM(AE207:$AE$348)&gt;0,MIN(AE207:$AE$348),10000)</f>
        <v>10000</v>
      </c>
      <c r="AS205" s="14"/>
      <c r="AT205" s="14"/>
      <c r="AU205" s="75">
        <f t="shared" ref="AU205" si="244">IF(AND(AC205&lt;&gt;"",AE205&lt;&gt;""),4,0)</f>
        <v>0</v>
      </c>
      <c r="AV205" s="2" t="e">
        <f ca="1">IF(AND(AL205&lt;&gt;1,AL205&lt;&gt;3,AL205&lt;&gt;4),AP205+1,XX)</f>
        <v>#VALUE!</v>
      </c>
      <c r="AW205" s="2">
        <f>IF(AND(AL205&lt;&gt;1,AL205&lt;&gt;3,AL205&lt;&gt;4),AR205-1,XX)</f>
        <v>9999</v>
      </c>
    </row>
    <row r="206" spans="1:49" s="6" customFormat="1" ht="3" customHeight="1">
      <c r="A206" s="1"/>
      <c r="B206" s="1"/>
      <c r="J206" s="70"/>
      <c r="L206" s="28"/>
      <c r="M206" s="251"/>
      <c r="N206" s="28"/>
      <c r="O206" s="36"/>
      <c r="P206" s="36"/>
      <c r="Q206" s="37"/>
      <c r="R206" s="37"/>
      <c r="S206" s="37"/>
      <c r="T206" s="37"/>
      <c r="U206" s="37"/>
      <c r="V206" s="37"/>
      <c r="W206" s="37"/>
      <c r="X206" s="37"/>
      <c r="Y206" s="37"/>
      <c r="Z206" s="37"/>
      <c r="AA206" s="37"/>
      <c r="AB206" s="12"/>
      <c r="AC206" s="10"/>
      <c r="AD206" s="8"/>
      <c r="AE206" s="11"/>
      <c r="AF206" s="28"/>
      <c r="AG206" s="1"/>
      <c r="AJ206" s="13"/>
      <c r="AK206" s="13"/>
      <c r="AL206" s="56"/>
      <c r="AM206" s="13"/>
      <c r="AN206" s="160"/>
      <c r="AO206" s="160"/>
      <c r="AP206" s="160"/>
      <c r="AQ206" s="160"/>
      <c r="AR206" s="13"/>
      <c r="AS206" s="161"/>
      <c r="AT206" s="161"/>
      <c r="AU206" s="160"/>
      <c r="AV206" s="161"/>
      <c r="AW206" s="161"/>
    </row>
    <row r="207" spans="1:49" ht="14.25" customHeight="1">
      <c r="B207" s="1"/>
      <c r="G207" s="2">
        <v>1</v>
      </c>
      <c r="J207" s="71">
        <f>SUM($G$17:G207)</f>
        <v>13</v>
      </c>
      <c r="K207" s="2" t="s">
        <v>391</v>
      </c>
      <c r="L207" s="7"/>
      <c r="M207" s="250">
        <f>IF(AC207&lt;&gt;"",1,0)</f>
        <v>0</v>
      </c>
      <c r="N207" s="7"/>
      <c r="O207" s="451" t="str">
        <f>CONCATENATE(J207,". ",K207)</f>
        <v>13. Se Aeronave: (O financiamento de aeronave é VEDADO pelo normativo do FNO. Ver exceções na observação)</v>
      </c>
      <c r="P207" s="451"/>
      <c r="Q207" s="451"/>
      <c r="R207" s="451"/>
      <c r="S207" s="451"/>
      <c r="T207" s="451"/>
      <c r="U207" s="451"/>
      <c r="V207" s="451"/>
      <c r="W207" s="451"/>
      <c r="X207" s="451"/>
      <c r="Y207" s="451"/>
      <c r="Z207" s="451"/>
      <c r="AA207" s="451"/>
      <c r="AB207" s="12"/>
      <c r="AC207" s="380"/>
      <c r="AD207" s="8"/>
      <c r="AE207" s="136" t="s">
        <v>389</v>
      </c>
      <c r="AF207" s="7"/>
      <c r="AG207" s="2"/>
      <c r="AJ207" s="13"/>
      <c r="AK207" s="13" t="str">
        <f>IF(AND(AE209="",AE211="",AE213="",AE215="",AE217="",AE219="",$AC$207=""),"X","")</f>
        <v>X</v>
      </c>
      <c r="AL207" s="75">
        <f>IF(OR(AE209&lt;&gt;"",AE211&lt;&gt;"",AE213&lt;&gt;"",AE215&lt;&gt;"",AE217&lt;&gt;"",AE219&lt;&gt;""),3,0)</f>
        <v>0</v>
      </c>
      <c r="AM207" s="13"/>
      <c r="AN207" s="188"/>
      <c r="AO207" s="75">
        <f ca="1">SUM($AN$21:OFFSET(AO207,-2,-1))</f>
        <v>80</v>
      </c>
      <c r="AP207" s="75"/>
      <c r="AQ207" s="75"/>
      <c r="AR207" s="13"/>
      <c r="AS207" s="14"/>
      <c r="AT207" s="14"/>
      <c r="AU207" s="75"/>
    </row>
    <row r="208" spans="1:49" s="6" customFormat="1" ht="3" customHeight="1">
      <c r="A208" s="1"/>
      <c r="B208" s="1"/>
      <c r="H208" s="2"/>
      <c r="J208" s="70"/>
      <c r="L208" s="28"/>
      <c r="M208" s="251"/>
      <c r="N208" s="28"/>
      <c r="O208" s="36"/>
      <c r="P208" s="36"/>
      <c r="Q208" s="37"/>
      <c r="R208" s="37"/>
      <c r="S208" s="37"/>
      <c r="T208" s="37"/>
      <c r="U208" s="37"/>
      <c r="V208" s="37"/>
      <c r="W208" s="37"/>
      <c r="X208" s="37"/>
      <c r="Y208" s="37"/>
      <c r="Z208" s="37"/>
      <c r="AA208" s="37"/>
      <c r="AB208" s="12"/>
      <c r="AC208" s="10"/>
      <c r="AD208" s="8"/>
      <c r="AE208" s="11"/>
      <c r="AF208" s="28"/>
      <c r="AG208" s="1"/>
      <c r="AJ208" s="13"/>
      <c r="AK208" s="13"/>
      <c r="AL208" s="56"/>
      <c r="AM208" s="13"/>
      <c r="AN208" s="160"/>
      <c r="AO208" s="160"/>
      <c r="AP208" s="160"/>
      <c r="AQ208" s="160"/>
      <c r="AR208" s="13"/>
      <c r="AS208" s="161"/>
      <c r="AT208" s="161"/>
      <c r="AU208" s="160"/>
      <c r="AV208" s="161"/>
      <c r="AW208" s="161"/>
    </row>
    <row r="209" spans="1:49" ht="14.25" customHeight="1">
      <c r="B209" s="1"/>
      <c r="H209" s="2">
        <v>1</v>
      </c>
      <c r="J209" s="71" t="str">
        <f>CONCATENATE(SUM($G$17:G209),".",SUM($H$207:H209))</f>
        <v>13.1</v>
      </c>
      <c r="K209" s="2" t="s">
        <v>121</v>
      </c>
      <c r="L209" s="7"/>
      <c r="M209" s="250"/>
      <c r="N209" s="7"/>
      <c r="O209" s="384" t="str">
        <f>CONCATENATE(J209,". ",K209,$K$17)</f>
        <v>13.1. Proposta de seguro do casco da Aeronave;------------------------------------------------------------------------------------------------------------------------------------------------------------------------</v>
      </c>
      <c r="P209" s="384"/>
      <c r="Q209" s="384"/>
      <c r="R209" s="384"/>
      <c r="S209" s="384"/>
      <c r="T209" s="384"/>
      <c r="U209" s="384"/>
      <c r="V209" s="384"/>
      <c r="W209" s="384"/>
      <c r="X209" s="384"/>
      <c r="Y209" s="384"/>
      <c r="Z209" s="384"/>
      <c r="AA209" s="384"/>
      <c r="AB209" s="384"/>
      <c r="AC209" s="384"/>
      <c r="AD209" s="8"/>
      <c r="AE209" s="379"/>
      <c r="AF209" s="7"/>
      <c r="AG209" s="80"/>
      <c r="AJ209" s="13">
        <v>1</v>
      </c>
      <c r="AK209" s="13"/>
      <c r="AL209" s="13">
        <f>IF(AND(AC209&lt;&gt;"",AE209&lt;&gt;""),4,IF(AC209&lt;&gt;"",1,IF(AE209&lt;&gt;"",2,IF($AC$207&lt;&gt;"",3,0))))</f>
        <v>0</v>
      </c>
      <c r="AM209" s="13"/>
      <c r="AN209" s="188">
        <f t="shared" ref="AN209" si="245">IF(AND(AC209&lt;&gt;"",AE209&lt;&gt;""),1,IF(AL209&lt;&gt;0,0,1))</f>
        <v>1</v>
      </c>
      <c r="AO209" s="75">
        <f ca="1">SUM($AN$21:OFFSET(AO209,-2,-1))</f>
        <v>80</v>
      </c>
      <c r="AP209" s="75" t="str">
        <f t="shared" ref="AP209" ca="1" si="246">IF(AND(OFFSET(AP209,0,-18)="",AO209=0),AQ209,"XX")</f>
        <v>XX</v>
      </c>
      <c r="AQ209" s="75">
        <f>MAX($AE$21:AE207)</f>
        <v>0</v>
      </c>
      <c r="AR209" s="13">
        <f>IF(SUM(AE211:$AE$348)&gt;0,MIN(AE211:$AE$348),10000)</f>
        <v>10000</v>
      </c>
      <c r="AS209" s="14"/>
      <c r="AT209" s="14"/>
      <c r="AU209" s="75">
        <f t="shared" ref="AU209" si="247">IF(AND(AC209&lt;&gt;"",AE209&lt;&gt;""),4,0)</f>
        <v>0</v>
      </c>
      <c r="AV209" s="2" t="e">
        <f ca="1">IF(AND(AL209&lt;&gt;1,AL209&lt;&gt;3,AL209&lt;&gt;4),AP209+1,XX)</f>
        <v>#VALUE!</v>
      </c>
      <c r="AW209" s="2">
        <f>IF(AND(AL209&lt;&gt;1,AL209&lt;&gt;3,AL209&lt;&gt;4),AR209-1,XX)</f>
        <v>9999</v>
      </c>
    </row>
    <row r="210" spans="1:49" s="6" customFormat="1" ht="3" customHeight="1">
      <c r="A210" s="1"/>
      <c r="B210" s="1"/>
      <c r="J210" s="70"/>
      <c r="L210" s="28"/>
      <c r="M210" s="251"/>
      <c r="N210" s="28"/>
      <c r="O210" s="36"/>
      <c r="P210" s="36"/>
      <c r="Q210" s="37"/>
      <c r="R210" s="37"/>
      <c r="S210" s="37"/>
      <c r="T210" s="37"/>
      <c r="U210" s="37"/>
      <c r="V210" s="37"/>
      <c r="W210" s="37"/>
      <c r="X210" s="37"/>
      <c r="Y210" s="37"/>
      <c r="Z210" s="37"/>
      <c r="AA210" s="37"/>
      <c r="AB210" s="12"/>
      <c r="AC210" s="10"/>
      <c r="AD210" s="8"/>
      <c r="AE210" s="11"/>
      <c r="AF210" s="28"/>
      <c r="AG210" s="25"/>
      <c r="AJ210" s="13"/>
      <c r="AK210" s="13"/>
      <c r="AL210" s="56"/>
      <c r="AM210" s="13"/>
      <c r="AN210" s="160"/>
      <c r="AO210" s="160"/>
      <c r="AP210" s="160"/>
      <c r="AQ210" s="160"/>
      <c r="AR210" s="13"/>
      <c r="AS210" s="161"/>
      <c r="AT210" s="161"/>
      <c r="AU210" s="160"/>
      <c r="AV210" s="161"/>
      <c r="AW210" s="161"/>
    </row>
    <row r="211" spans="1:49" ht="14.25" customHeight="1">
      <c r="B211" s="1"/>
      <c r="H211" s="2">
        <v>1</v>
      </c>
      <c r="J211" s="71" t="str">
        <f>CONCATENATE(SUM($G$17:G211),".",SUM($H$207:H211))</f>
        <v>13.2</v>
      </c>
      <c r="K211" s="2" t="s">
        <v>52</v>
      </c>
      <c r="L211" s="7"/>
      <c r="M211" s="250"/>
      <c r="N211" s="7"/>
      <c r="O211" s="384" t="str">
        <f>CONCATENATE(J211,". ",K211,$K$17)</f>
        <v>13.2. Título de propriedade - inscrito no Registro Aeronáutico Brasileiro;------------------------------------------------------------------------------------------------------------------------------------------------------------------------</v>
      </c>
      <c r="P211" s="384"/>
      <c r="Q211" s="384"/>
      <c r="R211" s="384"/>
      <c r="S211" s="384"/>
      <c r="T211" s="384"/>
      <c r="U211" s="384"/>
      <c r="V211" s="384"/>
      <c r="W211" s="384"/>
      <c r="X211" s="384"/>
      <c r="Y211" s="384"/>
      <c r="Z211" s="384"/>
      <c r="AA211" s="384"/>
      <c r="AB211" s="384"/>
      <c r="AC211" s="384"/>
      <c r="AD211" s="8"/>
      <c r="AE211" s="379"/>
      <c r="AF211" s="7"/>
      <c r="AG211" s="80"/>
      <c r="AJ211" s="13">
        <v>1</v>
      </c>
      <c r="AK211" s="13"/>
      <c r="AL211" s="13">
        <f>IF(AND(AC211&lt;&gt;"",AE211&lt;&gt;""),4,IF(AC211&lt;&gt;"",1,IF(AE211&lt;&gt;"",2,IF($AC$207&lt;&gt;"",3,0))))</f>
        <v>0</v>
      </c>
      <c r="AM211" s="13"/>
      <c r="AN211" s="188">
        <f t="shared" ref="AN211" si="248">IF(AND(AC211&lt;&gt;"",AE211&lt;&gt;""),1,IF(AL211&lt;&gt;0,0,1))</f>
        <v>1</v>
      </c>
      <c r="AO211" s="75">
        <f ca="1">SUM($AN$21:OFFSET(AO211,-2,-1))</f>
        <v>81</v>
      </c>
      <c r="AP211" s="75" t="str">
        <f t="shared" ref="AP211" ca="1" si="249">IF(AND(OFFSET(AP211,0,-18)="",AO211=0),AQ211,"XX")</f>
        <v>XX</v>
      </c>
      <c r="AQ211" s="75">
        <f>MAX($AE$21:AE209)</f>
        <v>0</v>
      </c>
      <c r="AR211" s="13">
        <f>IF(SUM(AE213:$AE$348)&gt;0,MIN(AE213:$AE$348),10000)</f>
        <v>10000</v>
      </c>
      <c r="AS211" s="14"/>
      <c r="AT211" s="14"/>
      <c r="AU211" s="75">
        <f t="shared" ref="AU211" si="250">IF(AND(AC211&lt;&gt;"",AE211&lt;&gt;""),4,0)</f>
        <v>0</v>
      </c>
      <c r="AV211" s="2" t="e">
        <f ca="1">IF(AND(AL211&lt;&gt;1,AL211&lt;&gt;3,AL211&lt;&gt;4),AP211+1,XX)</f>
        <v>#VALUE!</v>
      </c>
      <c r="AW211" s="2">
        <f>IF(AND(AL211&lt;&gt;1,AL211&lt;&gt;3,AL211&lt;&gt;4),AR211-1,XX)</f>
        <v>9999</v>
      </c>
    </row>
    <row r="212" spans="1:49" s="6" customFormat="1" ht="3" customHeight="1">
      <c r="A212" s="1"/>
      <c r="B212" s="1"/>
      <c r="H212" s="2"/>
      <c r="J212" s="70"/>
      <c r="L212" s="28"/>
      <c r="M212" s="251"/>
      <c r="N212" s="28"/>
      <c r="O212" s="36"/>
      <c r="P212" s="36"/>
      <c r="Q212" s="37"/>
      <c r="R212" s="37"/>
      <c r="S212" s="37"/>
      <c r="T212" s="37"/>
      <c r="U212" s="37"/>
      <c r="V212" s="37"/>
      <c r="W212" s="37"/>
      <c r="X212" s="37"/>
      <c r="Y212" s="37"/>
      <c r="Z212" s="37"/>
      <c r="AA212" s="37"/>
      <c r="AB212" s="12"/>
      <c r="AC212" s="10"/>
      <c r="AD212" s="8"/>
      <c r="AE212" s="11"/>
      <c r="AF212" s="28"/>
      <c r="AG212" s="1"/>
      <c r="AJ212" s="13"/>
      <c r="AK212" s="13"/>
      <c r="AL212" s="56"/>
      <c r="AM212" s="13"/>
      <c r="AN212" s="160"/>
      <c r="AO212" s="160"/>
      <c r="AP212" s="160"/>
      <c r="AQ212" s="160"/>
      <c r="AR212" s="13"/>
      <c r="AS212" s="161"/>
      <c r="AT212" s="161"/>
      <c r="AU212" s="160"/>
      <c r="AV212" s="161"/>
      <c r="AW212" s="161"/>
    </row>
    <row r="213" spans="1:49" ht="14.25" customHeight="1">
      <c r="B213" s="1"/>
      <c r="H213" s="2">
        <v>1</v>
      </c>
      <c r="J213" s="71" t="str">
        <f>CONCATENATE(SUM($G$17:G213),".",SUM($H$207:H213))</f>
        <v>13.3</v>
      </c>
      <c r="K213" s="2" t="s">
        <v>122</v>
      </c>
      <c r="L213" s="7"/>
      <c r="M213" s="250"/>
      <c r="N213" s="7"/>
      <c r="O213" s="384" t="str">
        <f>CONCATENATE(J213,". ",K213,$K$17)</f>
        <v>13.3. Certificado de matrícula e nacionalidade -  expedido ANAC;------------------------------------------------------------------------------------------------------------------------------------------------------------------------</v>
      </c>
      <c r="P213" s="384"/>
      <c r="Q213" s="384"/>
      <c r="R213" s="384"/>
      <c r="S213" s="384"/>
      <c r="T213" s="384"/>
      <c r="U213" s="384"/>
      <c r="V213" s="384"/>
      <c r="W213" s="384"/>
      <c r="X213" s="384"/>
      <c r="Y213" s="384"/>
      <c r="Z213" s="384"/>
      <c r="AA213" s="384"/>
      <c r="AB213" s="384"/>
      <c r="AC213" s="384"/>
      <c r="AD213" s="8"/>
      <c r="AE213" s="379"/>
      <c r="AF213" s="7"/>
      <c r="AG213" s="80"/>
      <c r="AJ213" s="13">
        <v>1</v>
      </c>
      <c r="AK213" s="13"/>
      <c r="AL213" s="13">
        <f>IF(AND(AC213&lt;&gt;"",AE213&lt;&gt;""),4,IF(AC213&lt;&gt;"",1,IF(AE213&lt;&gt;"",2,IF($AC$207&lt;&gt;"",3,0))))</f>
        <v>0</v>
      </c>
      <c r="AM213" s="13"/>
      <c r="AN213" s="188">
        <f t="shared" ref="AN213" si="251">IF(AND(AC213&lt;&gt;"",AE213&lt;&gt;""),1,IF(AL213&lt;&gt;0,0,1))</f>
        <v>1</v>
      </c>
      <c r="AO213" s="75">
        <f ca="1">SUM($AN$21:OFFSET(AO213,-2,-1))</f>
        <v>82</v>
      </c>
      <c r="AP213" s="75" t="str">
        <f t="shared" ref="AP213" ca="1" si="252">IF(AND(OFFSET(AP213,0,-18)="",AO213=0),AQ213,"XX")</f>
        <v>XX</v>
      </c>
      <c r="AQ213" s="75">
        <f>MAX($AE$21:AE211)</f>
        <v>0</v>
      </c>
      <c r="AR213" s="13">
        <f>IF(SUM(AE215:$AE$348)&gt;0,MIN(AE215:$AE$348),10000)</f>
        <v>10000</v>
      </c>
      <c r="AS213" s="14"/>
      <c r="AT213" s="14"/>
      <c r="AU213" s="75">
        <f t="shared" ref="AU213" si="253">IF(AND(AC213&lt;&gt;"",AE213&lt;&gt;""),4,0)</f>
        <v>0</v>
      </c>
      <c r="AV213" s="2" t="e">
        <f ca="1">IF(AND(AL213&lt;&gt;1,AL213&lt;&gt;3,AL213&lt;&gt;4),AP213+1,XX)</f>
        <v>#VALUE!</v>
      </c>
      <c r="AW213" s="2">
        <f>IF(AND(AL213&lt;&gt;1,AL213&lt;&gt;3,AL213&lt;&gt;4),AR213-1,XX)</f>
        <v>9999</v>
      </c>
    </row>
    <row r="214" spans="1:49" s="6" customFormat="1" ht="3" customHeight="1">
      <c r="A214" s="1"/>
      <c r="B214" s="1"/>
      <c r="J214" s="70"/>
      <c r="L214" s="28"/>
      <c r="M214" s="251"/>
      <c r="N214" s="28"/>
      <c r="O214" s="36"/>
      <c r="P214" s="36"/>
      <c r="Q214" s="37"/>
      <c r="R214" s="37"/>
      <c r="S214" s="37"/>
      <c r="T214" s="37"/>
      <c r="U214" s="37"/>
      <c r="V214" s="37"/>
      <c r="W214" s="37"/>
      <c r="X214" s="37"/>
      <c r="Y214" s="37"/>
      <c r="Z214" s="37"/>
      <c r="AA214" s="37"/>
      <c r="AB214" s="12"/>
      <c r="AC214" s="10"/>
      <c r="AD214" s="8"/>
      <c r="AE214" s="11"/>
      <c r="AF214" s="28"/>
      <c r="AG214" s="1"/>
      <c r="AJ214" s="13"/>
      <c r="AK214" s="13"/>
      <c r="AL214" s="56"/>
      <c r="AM214" s="13"/>
      <c r="AN214" s="160"/>
      <c r="AO214" s="160"/>
      <c r="AP214" s="160"/>
      <c r="AQ214" s="160"/>
      <c r="AR214" s="13"/>
      <c r="AS214" s="161"/>
      <c r="AT214" s="161"/>
      <c r="AU214" s="160"/>
      <c r="AV214" s="161"/>
      <c r="AW214" s="161"/>
    </row>
    <row r="215" spans="1:49" ht="14.25" customHeight="1">
      <c r="B215" s="1"/>
      <c r="H215" s="2">
        <v>1</v>
      </c>
      <c r="J215" s="71" t="str">
        <f>CONCATENATE(SUM($G$17:G215),".",SUM($H$207:H215))</f>
        <v>13.4</v>
      </c>
      <c r="K215" s="2" t="s">
        <v>120</v>
      </c>
      <c r="L215" s="7"/>
      <c r="M215" s="250"/>
      <c r="N215" s="7"/>
      <c r="O215" s="384" t="str">
        <f>CONCATENATE(J215,". ",K215,$K$17)</f>
        <v>13.4. Certificado de aeronavegabilidade -  expedido pela ANAC;------------------------------------------------------------------------------------------------------------------------------------------------------------------------</v>
      </c>
      <c r="P215" s="384"/>
      <c r="Q215" s="384"/>
      <c r="R215" s="384"/>
      <c r="S215" s="384"/>
      <c r="T215" s="384"/>
      <c r="U215" s="384"/>
      <c r="V215" s="384"/>
      <c r="W215" s="384"/>
      <c r="X215" s="384"/>
      <c r="Y215" s="384"/>
      <c r="Z215" s="384"/>
      <c r="AA215" s="384"/>
      <c r="AB215" s="384"/>
      <c r="AC215" s="384"/>
      <c r="AD215" s="8"/>
      <c r="AE215" s="379"/>
      <c r="AF215" s="7"/>
      <c r="AG215" s="80"/>
      <c r="AJ215" s="13">
        <v>1</v>
      </c>
      <c r="AK215" s="13"/>
      <c r="AL215" s="13">
        <f>IF(AND(AC215&lt;&gt;"",AE215&lt;&gt;""),4,IF(AC215&lt;&gt;"",1,IF(AE215&lt;&gt;"",2,IF($AC$207&lt;&gt;"",3,0))))</f>
        <v>0</v>
      </c>
      <c r="AM215" s="13"/>
      <c r="AN215" s="188">
        <f t="shared" ref="AN215" si="254">IF(AND(AC215&lt;&gt;"",AE215&lt;&gt;""),1,IF(AL215&lt;&gt;0,0,1))</f>
        <v>1</v>
      </c>
      <c r="AO215" s="75">
        <f ca="1">SUM($AN$21:OFFSET(AO215,-2,-1))</f>
        <v>83</v>
      </c>
      <c r="AP215" s="75" t="str">
        <f t="shared" ref="AP215" ca="1" si="255">IF(AND(OFFSET(AP215,0,-18)="",AO215=0),AQ215,"XX")</f>
        <v>XX</v>
      </c>
      <c r="AQ215" s="75">
        <f>MAX($AE$21:AE213)</f>
        <v>0</v>
      </c>
      <c r="AR215" s="13">
        <f>IF(SUM(AE217:$AE$348)&gt;0,MIN(AE217:$AE$348),10000)</f>
        <v>10000</v>
      </c>
      <c r="AS215" s="14"/>
      <c r="AT215" s="14"/>
      <c r="AU215" s="75">
        <f t="shared" ref="AU215" si="256">IF(AND(AC215&lt;&gt;"",AE215&lt;&gt;""),4,0)</f>
        <v>0</v>
      </c>
      <c r="AV215" s="2" t="e">
        <f ca="1">IF(AND(AL215&lt;&gt;1,AL215&lt;&gt;3,AL215&lt;&gt;4),AP215+1,XX)</f>
        <v>#VALUE!</v>
      </c>
      <c r="AW215" s="2">
        <f>IF(AND(AL215&lt;&gt;1,AL215&lt;&gt;3,AL215&lt;&gt;4),AR215-1,XX)</f>
        <v>9999</v>
      </c>
    </row>
    <row r="216" spans="1:49" s="6" customFormat="1" ht="3" customHeight="1">
      <c r="A216" s="1"/>
      <c r="B216" s="1"/>
      <c r="H216" s="2"/>
      <c r="J216" s="70"/>
      <c r="L216" s="28"/>
      <c r="M216" s="251"/>
      <c r="N216" s="28"/>
      <c r="O216" s="36"/>
      <c r="P216" s="36"/>
      <c r="Q216" s="37"/>
      <c r="R216" s="37"/>
      <c r="S216" s="37"/>
      <c r="T216" s="37"/>
      <c r="U216" s="37"/>
      <c r="V216" s="37"/>
      <c r="W216" s="37"/>
      <c r="X216" s="37"/>
      <c r="Y216" s="37"/>
      <c r="Z216" s="37"/>
      <c r="AA216" s="37"/>
      <c r="AB216" s="12"/>
      <c r="AC216" s="10"/>
      <c r="AD216" s="8"/>
      <c r="AE216" s="11"/>
      <c r="AF216" s="28"/>
      <c r="AG216" s="2"/>
      <c r="AJ216" s="13"/>
      <c r="AK216" s="13"/>
      <c r="AL216" s="56"/>
      <c r="AM216" s="13"/>
      <c r="AN216" s="160"/>
      <c r="AO216" s="160"/>
      <c r="AP216" s="160"/>
      <c r="AQ216" s="160"/>
      <c r="AR216" s="13"/>
      <c r="AS216" s="161"/>
      <c r="AT216" s="161"/>
      <c r="AU216" s="160"/>
      <c r="AV216" s="161"/>
      <c r="AW216" s="161"/>
    </row>
    <row r="217" spans="1:49" ht="14.25" customHeight="1">
      <c r="B217" s="1"/>
      <c r="H217" s="2">
        <v>1</v>
      </c>
      <c r="J217" s="71" t="str">
        <f>CONCATENATE(SUM($G$17:G217),".",SUM($H$207:H217))</f>
        <v>13.5</v>
      </c>
      <c r="K217" s="2" t="s">
        <v>277</v>
      </c>
      <c r="L217" s="7"/>
      <c r="M217" s="250"/>
      <c r="N217" s="7"/>
      <c r="O217" s="384" t="str">
        <f>CONCATENATE(J217,". ",K217,$K$17)</f>
        <v>13.5. Certificado de autorização de voo -  expedido pela ANAC;------------------------------------------------------------------------------------------------------------------------------------------------------------------------</v>
      </c>
      <c r="P217" s="384"/>
      <c r="Q217" s="384"/>
      <c r="R217" s="384"/>
      <c r="S217" s="384"/>
      <c r="T217" s="384"/>
      <c r="U217" s="384"/>
      <c r="V217" s="384"/>
      <c r="W217" s="384"/>
      <c r="X217" s="384"/>
      <c r="Y217" s="384"/>
      <c r="Z217" s="384"/>
      <c r="AA217" s="384"/>
      <c r="AB217" s="384"/>
      <c r="AC217" s="384"/>
      <c r="AD217" s="8"/>
      <c r="AE217" s="379"/>
      <c r="AF217" s="7"/>
      <c r="AG217" s="80"/>
      <c r="AJ217" s="13">
        <v>1</v>
      </c>
      <c r="AK217" s="13"/>
      <c r="AL217" s="13">
        <f>IF(AND(AC217&lt;&gt;"",AE217&lt;&gt;""),4,IF(AC217&lt;&gt;"",1,IF(AE217&lt;&gt;"",2,IF($AC$207&lt;&gt;"",3,0))))</f>
        <v>0</v>
      </c>
      <c r="AM217" s="13"/>
      <c r="AN217" s="188">
        <f t="shared" ref="AN217" si="257">IF(AND(AC217&lt;&gt;"",AE217&lt;&gt;""),1,IF(AL217&lt;&gt;0,0,1))</f>
        <v>1</v>
      </c>
      <c r="AO217" s="75">
        <f ca="1">SUM($AN$21:OFFSET(AO217,-2,-1))</f>
        <v>84</v>
      </c>
      <c r="AP217" s="75" t="str">
        <f t="shared" ref="AP217" ca="1" si="258">IF(AND(OFFSET(AP217,0,-18)="",AO217=0),AQ217,"XX")</f>
        <v>XX</v>
      </c>
      <c r="AQ217" s="75">
        <f>MAX($AE$21:AE215)</f>
        <v>0</v>
      </c>
      <c r="AR217" s="13">
        <f>IF(SUM(AE219:$AE$348)&gt;0,MIN(AE219:$AE$348),10000)</f>
        <v>10000</v>
      </c>
      <c r="AS217" s="14"/>
      <c r="AT217" s="14"/>
      <c r="AU217" s="75">
        <f t="shared" ref="AU217" si="259">IF(AND(AC217&lt;&gt;"",AE217&lt;&gt;""),4,0)</f>
        <v>0</v>
      </c>
      <c r="AV217" s="2" t="e">
        <f ca="1">IF(AND(AL217&lt;&gt;1,AL217&lt;&gt;3,AL217&lt;&gt;4),AP217+1,XX)</f>
        <v>#VALUE!</v>
      </c>
      <c r="AW217" s="2">
        <f>IF(AND(AL217&lt;&gt;1,AL217&lt;&gt;3,AL217&lt;&gt;4),AR217-1,XX)</f>
        <v>9999</v>
      </c>
    </row>
    <row r="218" spans="1:49" s="6" customFormat="1" ht="3" customHeight="1">
      <c r="A218" s="1"/>
      <c r="B218" s="1"/>
      <c r="J218" s="70"/>
      <c r="L218" s="28"/>
      <c r="M218" s="251"/>
      <c r="N218" s="28"/>
      <c r="O218" s="36"/>
      <c r="P218" s="36"/>
      <c r="Q218" s="37"/>
      <c r="R218" s="37"/>
      <c r="S218" s="37"/>
      <c r="T218" s="37"/>
      <c r="U218" s="37"/>
      <c r="V218" s="37"/>
      <c r="W218" s="37"/>
      <c r="X218" s="37"/>
      <c r="Y218" s="37"/>
      <c r="Z218" s="37"/>
      <c r="AA218" s="37"/>
      <c r="AB218" s="12"/>
      <c r="AC218" s="10"/>
      <c r="AD218" s="8"/>
      <c r="AE218" s="11"/>
      <c r="AF218" s="28"/>
      <c r="AG218" s="1"/>
      <c r="AJ218" s="13"/>
      <c r="AK218" s="13"/>
      <c r="AL218" s="56"/>
      <c r="AM218" s="13"/>
      <c r="AN218" s="160"/>
      <c r="AO218" s="160"/>
      <c r="AP218" s="160"/>
      <c r="AQ218" s="160"/>
      <c r="AR218" s="13"/>
      <c r="AS218" s="161"/>
      <c r="AT218" s="161"/>
      <c r="AU218" s="160"/>
      <c r="AV218" s="161"/>
      <c r="AW218" s="161"/>
    </row>
    <row r="219" spans="1:49" ht="14.25" customHeight="1">
      <c r="B219" s="1"/>
      <c r="H219" s="2">
        <v>1</v>
      </c>
      <c r="J219" s="71" t="str">
        <f>CONCATENATE(SUM($G$17:G219),".",SUM($H$207:H219))</f>
        <v>13.6</v>
      </c>
      <c r="K219" s="2" t="s">
        <v>47</v>
      </c>
      <c r="L219" s="7"/>
      <c r="M219" s="250"/>
      <c r="N219" s="7"/>
      <c r="O219" s="384" t="str">
        <f>CONCATENATE(J219,". ",K219,$K$17)</f>
        <v>13.6. Certidão negativa de ônus sobre a aeronave;------------------------------------------------------------------------------------------------------------------------------------------------------------------------</v>
      </c>
      <c r="P219" s="384"/>
      <c r="Q219" s="384"/>
      <c r="R219" s="384"/>
      <c r="S219" s="384"/>
      <c r="T219" s="384"/>
      <c r="U219" s="384"/>
      <c r="V219" s="384"/>
      <c r="W219" s="384"/>
      <c r="X219" s="384"/>
      <c r="Y219" s="384"/>
      <c r="Z219" s="384"/>
      <c r="AA219" s="384"/>
      <c r="AB219" s="384"/>
      <c r="AC219" s="384"/>
      <c r="AD219" s="8"/>
      <c r="AE219" s="379"/>
      <c r="AF219" s="7"/>
      <c r="AG219" s="80"/>
      <c r="AJ219" s="13">
        <v>1</v>
      </c>
      <c r="AK219" s="13"/>
      <c r="AL219" s="13">
        <f>IF(AND(AC219&lt;&gt;"",AE219&lt;&gt;""),4,IF(AC219&lt;&gt;"",1,IF(AE219&lt;&gt;"",2,IF($AC$207&lt;&gt;"",3,0))))</f>
        <v>0</v>
      </c>
      <c r="AM219" s="13"/>
      <c r="AN219" s="188">
        <f t="shared" ref="AN219" si="260">IF(AND(AC219&lt;&gt;"",AE219&lt;&gt;""),1,IF(AL219&lt;&gt;0,0,1))</f>
        <v>1</v>
      </c>
      <c r="AO219" s="75">
        <f ca="1">SUM($AN$21:OFFSET(AO219,-2,-1))</f>
        <v>85</v>
      </c>
      <c r="AP219" s="75" t="str">
        <f t="shared" ref="AP219" ca="1" si="261">IF(AND(OFFSET(AP219,0,-18)="",AO219=0),AQ219,"XX")</f>
        <v>XX</v>
      </c>
      <c r="AQ219" s="75">
        <f>MAX($AE$21:AE217)</f>
        <v>0</v>
      </c>
      <c r="AR219" s="13">
        <f>IF(SUM(AE221:$AE$348)&gt;0,MIN(AE221:$AE$348),10000)</f>
        <v>10000</v>
      </c>
      <c r="AS219" s="14"/>
      <c r="AT219" s="14"/>
      <c r="AU219" s="75">
        <f t="shared" ref="AU219" si="262">IF(AND(AC219&lt;&gt;"",AE219&lt;&gt;""),4,0)</f>
        <v>0</v>
      </c>
      <c r="AV219" s="2" t="e">
        <f ca="1">IF(AND(AL219&lt;&gt;1,AL219&lt;&gt;3,AL219&lt;&gt;4),AP219+1,XX)</f>
        <v>#VALUE!</v>
      </c>
      <c r="AW219" s="2">
        <f>IF(AND(AL219&lt;&gt;1,AL219&lt;&gt;3,AL219&lt;&gt;4),AR219-1,XX)</f>
        <v>9999</v>
      </c>
    </row>
    <row r="220" spans="1:49" s="6" customFormat="1" ht="3" customHeight="1">
      <c r="A220" s="1"/>
      <c r="B220" s="1"/>
      <c r="H220" s="2"/>
      <c r="J220" s="70"/>
      <c r="L220" s="28"/>
      <c r="M220" s="251"/>
      <c r="N220" s="28"/>
      <c r="O220" s="36"/>
      <c r="P220" s="36"/>
      <c r="Q220" s="37"/>
      <c r="R220" s="37"/>
      <c r="S220" s="37"/>
      <c r="T220" s="37"/>
      <c r="U220" s="37"/>
      <c r="V220" s="37"/>
      <c r="W220" s="37"/>
      <c r="X220" s="37"/>
      <c r="Y220" s="37"/>
      <c r="Z220" s="37"/>
      <c r="AA220" s="37"/>
      <c r="AB220" s="12"/>
      <c r="AC220" s="10"/>
      <c r="AD220" s="8"/>
      <c r="AE220" s="11"/>
      <c r="AF220" s="28"/>
      <c r="AG220" s="1"/>
      <c r="AJ220" s="13"/>
      <c r="AK220" s="13"/>
      <c r="AL220" s="56"/>
      <c r="AM220" s="13"/>
      <c r="AN220" s="160"/>
      <c r="AO220" s="160"/>
      <c r="AP220" s="160"/>
      <c r="AQ220" s="160"/>
      <c r="AR220" s="13"/>
      <c r="AS220" s="161"/>
      <c r="AT220" s="161"/>
      <c r="AU220" s="160"/>
      <c r="AV220" s="161"/>
      <c r="AW220" s="161"/>
    </row>
    <row r="221" spans="1:49" ht="14.25" customHeight="1">
      <c r="B221" s="1"/>
      <c r="G221" s="2">
        <v>1</v>
      </c>
      <c r="J221" s="71">
        <f>SUM($G$17:G221)</f>
        <v>14</v>
      </c>
      <c r="K221" s="2" t="s">
        <v>51</v>
      </c>
      <c r="L221" s="7"/>
      <c r="M221" s="250">
        <f>IF(AC221&lt;&gt;"",1,0)</f>
        <v>0</v>
      </c>
      <c r="N221" s="7"/>
      <c r="O221" s="451" t="str">
        <f>CONCATENATE(J221,". ",K221)</f>
        <v>14. Se Empresa de Transporte Terrestre:</v>
      </c>
      <c r="P221" s="451"/>
      <c r="Q221" s="451"/>
      <c r="R221" s="451"/>
      <c r="S221" s="451"/>
      <c r="T221" s="451"/>
      <c r="U221" s="451"/>
      <c r="V221" s="451"/>
      <c r="W221" s="451"/>
      <c r="X221" s="451"/>
      <c r="Y221" s="451"/>
      <c r="Z221" s="451"/>
      <c r="AA221" s="451"/>
      <c r="AB221" s="12"/>
      <c r="AC221" s="380"/>
      <c r="AD221" s="8"/>
      <c r="AE221" s="136" t="s">
        <v>389</v>
      </c>
      <c r="AF221" s="7"/>
      <c r="AG221" s="2"/>
      <c r="AJ221" s="13"/>
      <c r="AK221" s="13" t="str">
        <f>IF(AND(AE223="",AE225="",AC225=""),"X","")</f>
        <v>X</v>
      </c>
      <c r="AL221" s="75">
        <f>IF(OR(AE223&lt;&gt;"",AE225&lt;&gt;"",AC225&lt;&gt;""),3,0)</f>
        <v>0</v>
      </c>
      <c r="AM221" s="13"/>
      <c r="AN221" s="188"/>
      <c r="AO221" s="75">
        <f ca="1">SUM($AN$21:OFFSET(AO221,-2,-1))</f>
        <v>86</v>
      </c>
      <c r="AP221" s="75"/>
      <c r="AQ221" s="75"/>
      <c r="AR221" s="13"/>
      <c r="AS221" s="14"/>
      <c r="AT221" s="14"/>
      <c r="AU221" s="75"/>
    </row>
    <row r="222" spans="1:49" s="6" customFormat="1" ht="3" customHeight="1">
      <c r="A222" s="1"/>
      <c r="B222" s="1"/>
      <c r="J222" s="70"/>
      <c r="L222" s="28"/>
      <c r="M222" s="251"/>
      <c r="N222" s="28"/>
      <c r="O222" s="36"/>
      <c r="P222" s="36"/>
      <c r="Q222" s="37"/>
      <c r="R222" s="37"/>
      <c r="S222" s="37"/>
      <c r="T222" s="37"/>
      <c r="U222" s="37"/>
      <c r="V222" s="37"/>
      <c r="W222" s="37"/>
      <c r="X222" s="37"/>
      <c r="Y222" s="37"/>
      <c r="Z222" s="37"/>
      <c r="AA222" s="37"/>
      <c r="AB222" s="12"/>
      <c r="AC222" s="10"/>
      <c r="AD222" s="8"/>
      <c r="AE222" s="11"/>
      <c r="AF222" s="28"/>
      <c r="AG222" s="1"/>
      <c r="AJ222" s="13"/>
      <c r="AK222" s="13"/>
      <c r="AL222" s="56"/>
      <c r="AM222" s="13"/>
      <c r="AN222" s="160"/>
      <c r="AO222" s="160"/>
      <c r="AP222" s="160"/>
      <c r="AQ222" s="160"/>
      <c r="AR222" s="13"/>
      <c r="AS222" s="161"/>
      <c r="AT222" s="161"/>
      <c r="AU222" s="160"/>
      <c r="AV222" s="161"/>
      <c r="AW222" s="161"/>
    </row>
    <row r="223" spans="1:49" ht="14.25" customHeight="1">
      <c r="B223" s="1"/>
      <c r="H223" s="2">
        <v>1</v>
      </c>
      <c r="J223" s="71" t="str">
        <f>CONCATENATE(SUM($G$17:G223),".",SUM($H$221:H223))</f>
        <v>14.1</v>
      </c>
      <c r="K223" s="2" t="s">
        <v>40</v>
      </c>
      <c r="L223" s="7"/>
      <c r="M223" s="250"/>
      <c r="N223" s="7"/>
      <c r="O223" s="384" t="str">
        <f>CONCATENATE(J223,". ",K223,$K$17)</f>
        <v>14.1. Autorização da ANTT;------------------------------------------------------------------------------------------------------------------------------------------------------------------------</v>
      </c>
      <c r="P223" s="384"/>
      <c r="Q223" s="384"/>
      <c r="R223" s="384"/>
      <c r="S223" s="384"/>
      <c r="T223" s="384"/>
      <c r="U223" s="384"/>
      <c r="V223" s="384"/>
      <c r="W223" s="384"/>
      <c r="X223" s="384"/>
      <c r="Y223" s="384"/>
      <c r="Z223" s="384"/>
      <c r="AA223" s="384"/>
      <c r="AB223" s="384"/>
      <c r="AC223" s="384"/>
      <c r="AD223" s="8"/>
      <c r="AE223" s="379"/>
      <c r="AF223" s="7"/>
      <c r="AG223" s="80"/>
      <c r="AJ223" s="13">
        <v>1</v>
      </c>
      <c r="AK223" s="13"/>
      <c r="AL223" s="13">
        <f>IF(AND(AC223&lt;&gt;"",AE223&lt;&gt;""),4,IF(AC223&lt;&gt;"",1,IF(AE223&lt;&gt;"",2,IF($AC$221&lt;&gt;"",3,0))))</f>
        <v>0</v>
      </c>
      <c r="AM223" s="13"/>
      <c r="AN223" s="188">
        <f t="shared" ref="AN223" si="263">IF(AND(AC223&lt;&gt;"",AE223&lt;&gt;""),1,IF(AL223&lt;&gt;0,0,1))</f>
        <v>1</v>
      </c>
      <c r="AO223" s="75">
        <f ca="1">SUM($AN$21:OFFSET(AO223,-2,-1))</f>
        <v>86</v>
      </c>
      <c r="AP223" s="75" t="str">
        <f t="shared" ref="AP223" ca="1" si="264">IF(AND(OFFSET(AP223,0,-18)="",AO223=0),AQ223,"XX")</f>
        <v>XX</v>
      </c>
      <c r="AQ223" s="75">
        <f>MAX($AE$21:AE221)</f>
        <v>0</v>
      </c>
      <c r="AR223" s="13">
        <f>IF(SUM(AE225:$AE$348)&gt;0,MIN(AE225:$AE$348),10000)</f>
        <v>10000</v>
      </c>
      <c r="AS223" s="14"/>
      <c r="AT223" s="14"/>
      <c r="AU223" s="75">
        <f t="shared" ref="AU223" si="265">IF(AND(AC223&lt;&gt;"",AE223&lt;&gt;""),4,0)</f>
        <v>0</v>
      </c>
      <c r="AV223" s="2" t="e">
        <f ca="1">IF(AND(AL223&lt;&gt;1,AL223&lt;&gt;3,AL223&lt;&gt;4),AP223+1,XX)</f>
        <v>#VALUE!</v>
      </c>
      <c r="AW223" s="2">
        <f>IF(AND(AL223&lt;&gt;1,AL223&lt;&gt;3,AL223&lt;&gt;4),AR223-1,XX)</f>
        <v>9999</v>
      </c>
    </row>
    <row r="224" spans="1:49" s="6" customFormat="1" ht="3" customHeight="1">
      <c r="A224" s="1"/>
      <c r="B224" s="1"/>
      <c r="H224" s="2"/>
      <c r="J224" s="70"/>
      <c r="L224" s="28"/>
      <c r="M224" s="251"/>
      <c r="N224" s="28"/>
      <c r="O224" s="36"/>
      <c r="P224" s="36"/>
      <c r="Q224" s="37"/>
      <c r="R224" s="37"/>
      <c r="S224" s="37"/>
      <c r="T224" s="37"/>
      <c r="U224" s="37"/>
      <c r="V224" s="37"/>
      <c r="W224" s="37"/>
      <c r="X224" s="37"/>
      <c r="Y224" s="37"/>
      <c r="Z224" s="37"/>
      <c r="AA224" s="37"/>
      <c r="AB224" s="12"/>
      <c r="AC224" s="10"/>
      <c r="AD224" s="8"/>
      <c r="AE224" s="11"/>
      <c r="AF224" s="28"/>
      <c r="AG224" s="2"/>
      <c r="AJ224" s="13"/>
      <c r="AK224" s="13"/>
      <c r="AL224" s="56"/>
      <c r="AM224" s="13"/>
      <c r="AN224" s="160"/>
      <c r="AO224" s="160"/>
      <c r="AP224" s="160"/>
      <c r="AQ224" s="160"/>
      <c r="AR224" s="13"/>
      <c r="AS224" s="161"/>
      <c r="AT224" s="161"/>
      <c r="AU224" s="160"/>
      <c r="AV224" s="161"/>
      <c r="AW224" s="161"/>
    </row>
    <row r="225" spans="1:49" ht="14.25" customHeight="1">
      <c r="B225" s="1"/>
      <c r="H225" s="2">
        <v>1</v>
      </c>
      <c r="J225" s="71" t="str">
        <f>CONCATENATE(SUM($G$17:G225),".",SUM($H$221:H225))</f>
        <v>14.2</v>
      </c>
      <c r="K225" s="2" t="s">
        <v>117</v>
      </c>
      <c r="L225" s="7"/>
      <c r="M225" s="250"/>
      <c r="N225" s="7"/>
      <c r="O225" s="385" t="str">
        <f>CONCATENATE(J225,". ",K225,$K$17)</f>
        <v>14.2. Autorização Ambiental de Transporte Interestadual de Produtos Perigosos - expedida pelo IBAMA;------------------------------------------------------------------------------------------------------------------------------------------------------------------------</v>
      </c>
      <c r="P225" s="385"/>
      <c r="Q225" s="385"/>
      <c r="R225" s="385"/>
      <c r="S225" s="385"/>
      <c r="T225" s="385"/>
      <c r="U225" s="385"/>
      <c r="V225" s="385"/>
      <c r="W225" s="385"/>
      <c r="X225" s="385"/>
      <c r="Y225" s="385"/>
      <c r="Z225" s="385"/>
      <c r="AA225" s="385"/>
      <c r="AB225" s="9"/>
      <c r="AC225" s="380"/>
      <c r="AD225" s="8"/>
      <c r="AE225" s="379"/>
      <c r="AF225" s="7"/>
      <c r="AG225" s="80"/>
      <c r="AJ225" s="13">
        <v>1</v>
      </c>
      <c r="AK225" s="13" t="str">
        <f>IF(AND(AC221="",AE225="",AC225=""),"X","")</f>
        <v>X</v>
      </c>
      <c r="AL225" s="13">
        <f>IF(AND(AC225&lt;&gt;"",AE225&lt;&gt;""),4,IF(AC225&lt;&gt;"",1,IF(AE225&lt;&gt;"",2,IF($AC$221&lt;&gt;"",3,0))))</f>
        <v>0</v>
      </c>
      <c r="AM225" s="13"/>
      <c r="AN225" s="188">
        <f t="shared" ref="AN225" si="266">IF(AND(AC225&lt;&gt;"",AE225&lt;&gt;""),1,IF(AL225&lt;&gt;0,0,1))</f>
        <v>1</v>
      </c>
      <c r="AO225" s="75">
        <f ca="1">SUM($AN$21:OFFSET(AO225,-2,-1))</f>
        <v>87</v>
      </c>
      <c r="AP225" s="75" t="str">
        <f t="shared" ref="AP225" ca="1" si="267">IF(AND(OFFSET(AP225,0,-18)="",AO225=0),AQ225,"XX")</f>
        <v>XX</v>
      </c>
      <c r="AQ225" s="75">
        <f>MAX($AE$21:AE223)</f>
        <v>0</v>
      </c>
      <c r="AR225" s="13">
        <f>IF(SUM(AE227:$AE$348)&gt;0,MIN(AE227:$AE$348),10000)</f>
        <v>10000</v>
      </c>
      <c r="AS225" s="14"/>
      <c r="AT225" s="14"/>
      <c r="AU225" s="75">
        <f t="shared" ref="AU225" si="268">IF(AND(AC225&lt;&gt;"",AE225&lt;&gt;""),4,0)</f>
        <v>0</v>
      </c>
      <c r="AV225" s="2" t="e">
        <f ca="1">IF(AND(AL225&lt;&gt;1,AL225&lt;&gt;3,AL225&lt;&gt;4),AP225+1,XX)</f>
        <v>#VALUE!</v>
      </c>
      <c r="AW225" s="2">
        <f>IF(AND(AL225&lt;&gt;1,AL225&lt;&gt;3,AL225&lt;&gt;4),AR225-1,XX)</f>
        <v>9999</v>
      </c>
    </row>
    <row r="226" spans="1:49" ht="3" customHeight="1">
      <c r="B226" s="1"/>
      <c r="H226" s="6"/>
      <c r="J226" s="70"/>
      <c r="L226" s="7"/>
      <c r="M226" s="250"/>
      <c r="N226" s="7"/>
      <c r="O226" s="36"/>
      <c r="P226" s="36"/>
      <c r="Q226" s="37"/>
      <c r="R226" s="37"/>
      <c r="S226" s="37"/>
      <c r="T226" s="37"/>
      <c r="U226" s="37"/>
      <c r="V226" s="37"/>
      <c r="W226" s="37"/>
      <c r="X226" s="37"/>
      <c r="Y226" s="37"/>
      <c r="Z226" s="37"/>
      <c r="AA226" s="37"/>
      <c r="AB226" s="12"/>
      <c r="AC226" s="190"/>
      <c r="AD226" s="8"/>
      <c r="AE226" s="11"/>
      <c r="AF226" s="7"/>
      <c r="AG226" s="2"/>
      <c r="AJ226" s="13"/>
      <c r="AK226" s="13"/>
      <c r="AL226" s="13"/>
      <c r="AM226" s="13"/>
      <c r="AN226" s="160"/>
      <c r="AO226" s="160"/>
      <c r="AP226" s="160"/>
      <c r="AQ226" s="160"/>
      <c r="AR226" s="13"/>
      <c r="AS226" s="161"/>
      <c r="AT226" s="161"/>
      <c r="AU226" s="160"/>
      <c r="AV226" s="161"/>
      <c r="AW226" s="161"/>
    </row>
    <row r="227" spans="1:49" ht="14.25" customHeight="1">
      <c r="B227" s="1"/>
      <c r="G227" s="2">
        <v>1</v>
      </c>
      <c r="J227" s="71">
        <f>SUM($G$17:G227)</f>
        <v>15</v>
      </c>
      <c r="K227" s="2" t="s">
        <v>26</v>
      </c>
      <c r="L227" s="7"/>
      <c r="M227" s="250"/>
      <c r="N227" s="7"/>
      <c r="O227" s="385" t="str">
        <f>CONCATENATE(J227,". ",K227,$K$17)</f>
        <v>15. Autorização da ANP; (se postos de combustíveis e derivados)------------------------------------------------------------------------------------------------------------------------------------------------------------------------</v>
      </c>
      <c r="P227" s="385"/>
      <c r="Q227" s="385"/>
      <c r="R227" s="385"/>
      <c r="S227" s="385"/>
      <c r="T227" s="385"/>
      <c r="U227" s="385"/>
      <c r="V227" s="385"/>
      <c r="W227" s="385"/>
      <c r="X227" s="385"/>
      <c r="Y227" s="385"/>
      <c r="Z227" s="385"/>
      <c r="AA227" s="385"/>
      <c r="AB227" s="12"/>
      <c r="AC227" s="380"/>
      <c r="AD227" s="8"/>
      <c r="AE227" s="156"/>
      <c r="AF227" s="15"/>
      <c r="AG227" s="80"/>
      <c r="AJ227" s="13">
        <v>1</v>
      </c>
      <c r="AK227" s="13" t="str">
        <f>IF(AND(AE227="",AC227=""),"X","")</f>
        <v>X</v>
      </c>
      <c r="AL227" s="13">
        <f>IF(AND(AC227&lt;&gt;"",AE227&lt;&gt;""),4,IF(AC227&lt;&gt;"",1,IF(AE227&lt;&gt;"",2,0)))</f>
        <v>0</v>
      </c>
      <c r="AM227" s="13"/>
      <c r="AN227" s="188">
        <f t="shared" ref="AN227" si="269">IF(AND(AC227&lt;&gt;"",AE227&lt;&gt;""),1,IF(AL227&lt;&gt;0,0,1))</f>
        <v>1</v>
      </c>
      <c r="AO227" s="75">
        <f ca="1">SUM($AN$21:OFFSET(AO227,-2,-1))</f>
        <v>88</v>
      </c>
      <c r="AP227" s="75" t="str">
        <f t="shared" ref="AP227" ca="1" si="270">IF(AND(OFFSET(AP227,0,-18)="",AO227=0),AQ227,"XX")</f>
        <v>XX</v>
      </c>
      <c r="AQ227" s="75">
        <f>MAX($AE$21:AE225)</f>
        <v>0</v>
      </c>
      <c r="AR227" s="13">
        <f>IF(SUM(AE229:$AE$348)&gt;0,MIN(AE229:$AE$348),10000)</f>
        <v>10000</v>
      </c>
      <c r="AS227" s="14"/>
      <c r="AT227" s="14"/>
      <c r="AU227" s="75">
        <f t="shared" ref="AU227" si="271">IF(AND(AC227&lt;&gt;"",AE227&lt;&gt;""),4,0)</f>
        <v>0</v>
      </c>
      <c r="AV227" s="2" t="e">
        <f ca="1">IF(AND(AL227&lt;&gt;1,AL227&lt;&gt;3,AL227&lt;&gt;4),AP227+1,XX)</f>
        <v>#VALUE!</v>
      </c>
      <c r="AW227" s="2">
        <f>IF(AND(AL227&lt;&gt;1,AL227&lt;&gt;3,AL227&lt;&gt;4),AR227-1,XX)</f>
        <v>9999</v>
      </c>
    </row>
    <row r="228" spans="1:49" s="6" customFormat="1" ht="3" customHeight="1">
      <c r="A228" s="1"/>
      <c r="B228" s="1"/>
      <c r="H228" s="2"/>
      <c r="J228" s="70"/>
      <c r="L228" s="28"/>
      <c r="M228" s="251"/>
      <c r="N228" s="28"/>
      <c r="O228" s="36"/>
      <c r="P228" s="36"/>
      <c r="Q228" s="37"/>
      <c r="R228" s="37"/>
      <c r="S228" s="37"/>
      <c r="T228" s="37"/>
      <c r="U228" s="37"/>
      <c r="V228" s="37"/>
      <c r="W228" s="37"/>
      <c r="X228" s="37"/>
      <c r="Y228" s="37"/>
      <c r="Z228" s="37"/>
      <c r="AA228" s="37"/>
      <c r="AB228" s="12"/>
      <c r="AC228" s="190"/>
      <c r="AD228" s="8"/>
      <c r="AE228" s="11"/>
      <c r="AF228" s="28"/>
      <c r="AJ228" s="13"/>
      <c r="AK228" s="13"/>
      <c r="AL228" s="56"/>
      <c r="AM228" s="13"/>
      <c r="AN228" s="160"/>
      <c r="AO228" s="160"/>
      <c r="AP228" s="160"/>
      <c r="AQ228" s="160"/>
      <c r="AR228" s="13"/>
      <c r="AS228" s="161"/>
      <c r="AT228" s="161"/>
      <c r="AU228" s="160"/>
      <c r="AV228" s="161"/>
      <c r="AW228" s="161"/>
    </row>
    <row r="229" spans="1:49" ht="14.25" customHeight="1">
      <c r="B229" s="1"/>
      <c r="G229" s="2">
        <v>1</v>
      </c>
      <c r="J229" s="71">
        <f>SUM($G$17:G229)</f>
        <v>16</v>
      </c>
      <c r="K229" s="2" t="s">
        <v>189</v>
      </c>
      <c r="L229" s="7"/>
      <c r="M229" s="250"/>
      <c r="N229" s="7"/>
      <c r="O229" s="385" t="str">
        <f>CONCATENATE(J229,". ",K229,$K$17)</f>
        <v>16. Autorização da ANVISA ou entidades delegada/conveniada; (se empresa da área de saúde já implantada)------------------------------------------------------------------------------------------------------------------------------------------------------------------------</v>
      </c>
      <c r="P229" s="385"/>
      <c r="Q229" s="385"/>
      <c r="R229" s="385"/>
      <c r="S229" s="385"/>
      <c r="T229" s="385"/>
      <c r="U229" s="385"/>
      <c r="V229" s="385"/>
      <c r="W229" s="385"/>
      <c r="X229" s="385"/>
      <c r="Y229" s="385"/>
      <c r="Z229" s="385"/>
      <c r="AA229" s="385"/>
      <c r="AB229" s="9"/>
      <c r="AC229" s="380"/>
      <c r="AD229" s="8"/>
      <c r="AE229" s="379"/>
      <c r="AF229" s="7"/>
      <c r="AG229" s="80"/>
      <c r="AJ229" s="13">
        <v>1</v>
      </c>
      <c r="AK229" s="13" t="str">
        <f>IF(AND(AE229="",AC229=""),"X","")</f>
        <v>X</v>
      </c>
      <c r="AL229" s="13">
        <f>IF(AND(AC229&lt;&gt;"",AE229&lt;&gt;""),4,IF(AC229&lt;&gt;"",1,IF(AE229&lt;&gt;"",2,0)))</f>
        <v>0</v>
      </c>
      <c r="AM229" s="13"/>
      <c r="AN229" s="188">
        <f t="shared" ref="AN229" si="272">IF(AND(AC229&lt;&gt;"",AE229&lt;&gt;""),1,IF(AL229&lt;&gt;0,0,1))</f>
        <v>1</v>
      </c>
      <c r="AO229" s="75">
        <f ca="1">SUM($AN$21:OFFSET(AO229,-2,-1))</f>
        <v>89</v>
      </c>
      <c r="AP229" s="75" t="str">
        <f t="shared" ref="AP229" ca="1" si="273">IF(AND(OFFSET(AP229,0,-18)="",AO229=0),AQ229,"XX")</f>
        <v>XX</v>
      </c>
      <c r="AQ229" s="75">
        <f>MAX($AE$21:AE227)</f>
        <v>0</v>
      </c>
      <c r="AR229" s="13">
        <f>IF(SUM(AE231:$AE$348)&gt;0,MIN(AE231:$AE$348),10000)</f>
        <v>10000</v>
      </c>
      <c r="AS229" s="14"/>
      <c r="AT229" s="14"/>
      <c r="AU229" s="75">
        <f t="shared" ref="AU229" si="274">IF(AND(AC229&lt;&gt;"",AE229&lt;&gt;""),4,0)</f>
        <v>0</v>
      </c>
      <c r="AV229" s="2" t="e">
        <f ca="1">IF(AND(AL229&lt;&gt;1,AL229&lt;&gt;3,AL229&lt;&gt;4),AP229+1,XX)</f>
        <v>#VALUE!</v>
      </c>
      <c r="AW229" s="2">
        <f>IF(AND(AL229&lt;&gt;1,AL229&lt;&gt;3,AL229&lt;&gt;4),AR229-1,XX)</f>
        <v>9999</v>
      </c>
    </row>
    <row r="230" spans="1:49" s="6" customFormat="1" ht="3" customHeight="1">
      <c r="A230" s="1"/>
      <c r="B230" s="1"/>
      <c r="J230" s="70"/>
      <c r="L230" s="28"/>
      <c r="M230" s="251"/>
      <c r="N230" s="28"/>
      <c r="O230" s="36"/>
      <c r="P230" s="36"/>
      <c r="Q230" s="37"/>
      <c r="R230" s="37"/>
      <c r="S230" s="37"/>
      <c r="T230" s="37"/>
      <c r="U230" s="37"/>
      <c r="V230" s="37"/>
      <c r="W230" s="37"/>
      <c r="X230" s="37"/>
      <c r="Y230" s="37"/>
      <c r="Z230" s="37"/>
      <c r="AA230" s="37"/>
      <c r="AB230" s="12"/>
      <c r="AC230" s="190"/>
      <c r="AD230" s="8"/>
      <c r="AE230" s="11"/>
      <c r="AF230" s="28"/>
      <c r="AJ230" s="13"/>
      <c r="AK230" s="13"/>
      <c r="AL230" s="56"/>
      <c r="AM230" s="13"/>
      <c r="AN230" s="160"/>
      <c r="AO230" s="160"/>
      <c r="AP230" s="160"/>
      <c r="AQ230" s="160"/>
      <c r="AR230" s="13"/>
      <c r="AS230" s="161"/>
      <c r="AT230" s="161"/>
      <c r="AU230" s="160"/>
      <c r="AV230" s="161"/>
      <c r="AW230" s="161"/>
    </row>
    <row r="231" spans="1:49" ht="14.25" customHeight="1">
      <c r="B231" s="1"/>
      <c r="G231" s="2">
        <v>1</v>
      </c>
      <c r="J231" s="71">
        <f>SUM($G$17:G231)</f>
        <v>17</v>
      </c>
      <c r="K231" s="2" t="s">
        <v>188</v>
      </c>
      <c r="L231" s="7"/>
      <c r="M231" s="250"/>
      <c r="N231" s="7"/>
      <c r="O231" s="385" t="str">
        <f>CONCATENATE(J231,". ",K231,$K$17)</f>
        <v>17. Aprovação do projeto arquitetônico pela ANVISA; (se empresa da área de saúde em implantação)------------------------------------------------------------------------------------------------------------------------------------------------------------------------</v>
      </c>
      <c r="P231" s="385"/>
      <c r="Q231" s="385"/>
      <c r="R231" s="385"/>
      <c r="S231" s="385"/>
      <c r="T231" s="385"/>
      <c r="U231" s="385"/>
      <c r="V231" s="385"/>
      <c r="W231" s="385"/>
      <c r="X231" s="385"/>
      <c r="Y231" s="385"/>
      <c r="Z231" s="385"/>
      <c r="AA231" s="385"/>
      <c r="AB231" s="9"/>
      <c r="AC231" s="380"/>
      <c r="AD231" s="8"/>
      <c r="AE231" s="379"/>
      <c r="AF231" s="7"/>
      <c r="AG231" s="80"/>
      <c r="AJ231" s="13">
        <v>1</v>
      </c>
      <c r="AK231" s="13" t="str">
        <f>IF(AND(AE231="",AC231=""),"X","")</f>
        <v>X</v>
      </c>
      <c r="AL231" s="13">
        <f>IF(AND(AC231&lt;&gt;"",AE231&lt;&gt;""),4,IF(AC231&lt;&gt;"",1,IF(AE231&lt;&gt;"",2,0)))</f>
        <v>0</v>
      </c>
      <c r="AM231" s="13"/>
      <c r="AN231" s="188">
        <f t="shared" ref="AN231" si="275">IF(AND(AC231&lt;&gt;"",AE231&lt;&gt;""),1,IF(AL231&lt;&gt;0,0,1))</f>
        <v>1</v>
      </c>
      <c r="AO231" s="75">
        <f ca="1">SUM($AN$21:OFFSET(AO231,-2,-1))</f>
        <v>90</v>
      </c>
      <c r="AP231" s="75" t="str">
        <f t="shared" ref="AP231" ca="1" si="276">IF(AND(OFFSET(AP231,0,-18)="",AO231=0),AQ231,"XX")</f>
        <v>XX</v>
      </c>
      <c r="AQ231" s="75">
        <f>MAX($AE$21:AE229)</f>
        <v>0</v>
      </c>
      <c r="AR231" s="13">
        <f>IF(SUM(AE233:$AE$348)&gt;0,MIN(AE233:$AE$348),10000)</f>
        <v>10000</v>
      </c>
      <c r="AS231" s="14"/>
      <c r="AT231" s="14"/>
      <c r="AU231" s="75">
        <f t="shared" ref="AU231" si="277">IF(AND(AC231&lt;&gt;"",AE231&lt;&gt;""),4,0)</f>
        <v>0</v>
      </c>
      <c r="AV231" s="2" t="e">
        <f ca="1">IF(AND(AL231&lt;&gt;1,AL231&lt;&gt;3,AL231&lt;&gt;4),AP231+1,XX)</f>
        <v>#VALUE!</v>
      </c>
      <c r="AW231" s="2">
        <f>IF(AND(AL231&lt;&gt;1,AL231&lt;&gt;3,AL231&lt;&gt;4),AR231-1,XX)</f>
        <v>9999</v>
      </c>
    </row>
    <row r="232" spans="1:49" s="6" customFormat="1" ht="3" customHeight="1">
      <c r="A232" s="1"/>
      <c r="B232" s="1"/>
      <c r="H232" s="2"/>
      <c r="J232" s="70"/>
      <c r="L232" s="28"/>
      <c r="M232" s="251"/>
      <c r="N232" s="28"/>
      <c r="O232" s="36"/>
      <c r="P232" s="36"/>
      <c r="Q232" s="37"/>
      <c r="R232" s="37"/>
      <c r="S232" s="37"/>
      <c r="T232" s="37"/>
      <c r="U232" s="37"/>
      <c r="V232" s="37"/>
      <c r="W232" s="37"/>
      <c r="X232" s="37"/>
      <c r="Y232" s="37"/>
      <c r="Z232" s="37"/>
      <c r="AA232" s="37"/>
      <c r="AB232" s="12"/>
      <c r="AC232" s="190"/>
      <c r="AD232" s="8"/>
      <c r="AE232" s="11"/>
      <c r="AF232" s="28"/>
      <c r="AJ232" s="13"/>
      <c r="AK232" s="13"/>
      <c r="AL232" s="56"/>
      <c r="AM232" s="13"/>
      <c r="AN232" s="160"/>
      <c r="AO232" s="160"/>
      <c r="AP232" s="160"/>
      <c r="AQ232" s="160"/>
      <c r="AR232" s="13"/>
      <c r="AS232" s="161"/>
      <c r="AT232" s="161"/>
      <c r="AU232" s="160"/>
      <c r="AV232" s="161"/>
      <c r="AW232" s="161"/>
    </row>
    <row r="233" spans="1:49" ht="14.25" customHeight="1">
      <c r="B233" s="1"/>
      <c r="G233" s="2">
        <v>1</v>
      </c>
      <c r="J233" s="71">
        <f>SUM($G$17:G233)</f>
        <v>18</v>
      </c>
      <c r="K233" s="2" t="s">
        <v>174</v>
      </c>
      <c r="M233" s="250"/>
      <c r="N233" s="7"/>
      <c r="O233" s="385" t="str">
        <f>CONCATENATE(J233,". ",K233,$K$17)</f>
        <v>18. Certificado de cadastramento do Ministério do Turismo. (se prestador de serviços turísticos)------------------------------------------------------------------------------------------------------------------------------------------------------------------------</v>
      </c>
      <c r="P233" s="385"/>
      <c r="Q233" s="385"/>
      <c r="R233" s="385"/>
      <c r="S233" s="385"/>
      <c r="T233" s="385"/>
      <c r="U233" s="385"/>
      <c r="V233" s="385"/>
      <c r="W233" s="385"/>
      <c r="X233" s="385"/>
      <c r="Y233" s="385"/>
      <c r="Z233" s="385"/>
      <c r="AA233" s="385"/>
      <c r="AB233" s="9"/>
      <c r="AC233" s="380"/>
      <c r="AD233" s="8"/>
      <c r="AE233" s="379"/>
      <c r="AF233" s="7"/>
      <c r="AG233" s="80"/>
      <c r="AJ233" s="13">
        <v>1</v>
      </c>
      <c r="AK233" s="13" t="str">
        <f>IF(AND(AE233="",AC233=""),"X","")</f>
        <v>X</v>
      </c>
      <c r="AL233" s="13">
        <f>IF(AND(AC233&lt;&gt;"",AE233&lt;&gt;""),4,IF(AC233&lt;&gt;"",1,IF(AE233&lt;&gt;"",2,0)))</f>
        <v>0</v>
      </c>
      <c r="AM233" s="13"/>
      <c r="AN233" s="188">
        <f t="shared" ref="AN233" si="278">IF(AND(AC233&lt;&gt;"",AE233&lt;&gt;""),1,IF(AL233&lt;&gt;0,0,1))</f>
        <v>1</v>
      </c>
      <c r="AO233" s="75">
        <f ca="1">SUM($AN$21:OFFSET(AO233,-2,-1))</f>
        <v>91</v>
      </c>
      <c r="AP233" s="75" t="str">
        <f t="shared" ref="AP233" ca="1" si="279">IF(AND(OFFSET(AP233,0,-18)="",AO233=0),AQ233,"XX")</f>
        <v>XX</v>
      </c>
      <c r="AQ233" s="75">
        <f>MAX($AE$21:AE231)</f>
        <v>0</v>
      </c>
      <c r="AR233" s="13">
        <f>IF(SUM(AE235:$AE$348)&gt;0,MIN(AE235:$AE$348),10000)</f>
        <v>10000</v>
      </c>
      <c r="AS233" s="14"/>
      <c r="AT233" s="14"/>
      <c r="AU233" s="75">
        <f t="shared" ref="AU233" si="280">IF(AND(AC233&lt;&gt;"",AE233&lt;&gt;""),4,0)</f>
        <v>0</v>
      </c>
      <c r="AV233" s="2" t="e">
        <f ca="1">IF(AND(AL233&lt;&gt;1,AL233&lt;&gt;3,AL233&lt;&gt;4),AP233+1,XX)</f>
        <v>#VALUE!</v>
      </c>
      <c r="AW233" s="2">
        <f>IF(AND(AL233&lt;&gt;1,AL233&lt;&gt;3,AL233&lt;&gt;4),AR233-1,XX)</f>
        <v>9999</v>
      </c>
    </row>
    <row r="234" spans="1:49" ht="3" hidden="1" customHeight="1">
      <c r="A234" s="177"/>
      <c r="B234" s="177"/>
      <c r="H234" s="6"/>
      <c r="I234" s="14"/>
      <c r="J234" s="74"/>
      <c r="L234" s="7"/>
      <c r="M234" s="250"/>
      <c r="N234" s="178"/>
      <c r="O234" s="129"/>
      <c r="P234" s="129"/>
      <c r="Q234" s="129"/>
      <c r="R234" s="129"/>
      <c r="S234" s="129"/>
      <c r="T234" s="129"/>
      <c r="U234" s="129"/>
      <c r="V234" s="129"/>
      <c r="W234" s="129"/>
      <c r="X234" s="129"/>
      <c r="Y234" s="129"/>
      <c r="Z234" s="129"/>
      <c r="AA234" s="129"/>
      <c r="AB234" s="29"/>
      <c r="AC234" s="119"/>
      <c r="AD234" s="29"/>
      <c r="AF234" s="7"/>
      <c r="AG234" s="177"/>
      <c r="AJ234" s="13"/>
      <c r="AK234" s="13"/>
      <c r="AL234" s="13"/>
      <c r="AM234" s="13"/>
      <c r="AN234" s="160"/>
      <c r="AO234" s="160"/>
      <c r="AP234" s="160"/>
      <c r="AQ234" s="160"/>
      <c r="AR234" s="13"/>
      <c r="AS234" s="161"/>
      <c r="AT234" s="161"/>
      <c r="AU234" s="160"/>
      <c r="AV234" s="161"/>
      <c r="AW234" s="161"/>
    </row>
    <row r="235" spans="1:49" ht="14.25" hidden="1" customHeight="1">
      <c r="A235" s="177"/>
      <c r="B235" s="177"/>
      <c r="G235" s="2">
        <f>IF($M$6=1,1,0)</f>
        <v>0</v>
      </c>
      <c r="J235" s="71">
        <f>SUM($G$17:G235)</f>
        <v>18</v>
      </c>
      <c r="K235" s="2" t="s">
        <v>17</v>
      </c>
      <c r="L235" s="7"/>
      <c r="M235" s="250">
        <f>IF(AC235&lt;&gt;"",1,0)</f>
        <v>0</v>
      </c>
      <c r="N235" s="178"/>
      <c r="O235" s="451" t="str">
        <f>CONCATENATE(J235,". ",K235)</f>
        <v>18. Se financiamento para aquisição de imóvel:</v>
      </c>
      <c r="P235" s="451"/>
      <c r="Q235" s="451"/>
      <c r="R235" s="451"/>
      <c r="S235" s="451"/>
      <c r="T235" s="451"/>
      <c r="U235" s="451"/>
      <c r="V235" s="451"/>
      <c r="W235" s="451"/>
      <c r="X235" s="451"/>
      <c r="Y235" s="451"/>
      <c r="Z235" s="451"/>
      <c r="AA235" s="451"/>
      <c r="AB235" s="12"/>
      <c r="AC235" s="224"/>
      <c r="AD235" s="8"/>
      <c r="AF235" s="7"/>
      <c r="AG235" s="2"/>
      <c r="AJ235" s="13"/>
      <c r="AK235" s="13" t="str">
        <f>IF(AND(AE237="",AE239=""),"X","")</f>
        <v>X</v>
      </c>
      <c r="AL235" s="75">
        <f>IF(OR(AE237&lt;&gt;"",AE239&lt;&gt;""),3,0)</f>
        <v>0</v>
      </c>
      <c r="AM235" s="13"/>
      <c r="AN235" s="188"/>
      <c r="AO235" s="75">
        <f ca="1">SUM($AN$21:OFFSET(AO235,-2,-1))</f>
        <v>92</v>
      </c>
      <c r="AP235" s="75"/>
      <c r="AQ235" s="75"/>
      <c r="AR235" s="13"/>
      <c r="AS235" s="14"/>
      <c r="AT235" s="14"/>
      <c r="AU235" s="75"/>
    </row>
    <row r="236" spans="1:49" ht="3" hidden="1" customHeight="1">
      <c r="A236" s="177"/>
      <c r="B236" s="177"/>
      <c r="J236" s="70"/>
      <c r="L236" s="7"/>
      <c r="M236" s="250"/>
      <c r="N236" s="178"/>
      <c r="O236" s="36"/>
      <c r="P236" s="36"/>
      <c r="Q236" s="37"/>
      <c r="R236" s="37"/>
      <c r="S236" s="37"/>
      <c r="T236" s="37"/>
      <c r="U236" s="37"/>
      <c r="V236" s="37"/>
      <c r="W236" s="37"/>
      <c r="X236" s="37"/>
      <c r="Y236" s="37"/>
      <c r="Z236" s="37"/>
      <c r="AA236" s="37"/>
      <c r="AB236" s="12"/>
      <c r="AF236" s="7"/>
      <c r="AG236" s="25"/>
      <c r="AJ236" s="13"/>
      <c r="AK236" s="13"/>
      <c r="AL236" s="13"/>
      <c r="AM236" s="13"/>
      <c r="AN236" s="160"/>
      <c r="AO236" s="160"/>
      <c r="AP236" s="160"/>
      <c r="AQ236" s="160"/>
      <c r="AR236" s="13"/>
      <c r="AS236" s="161"/>
      <c r="AT236" s="161"/>
      <c r="AU236" s="160"/>
      <c r="AV236" s="161"/>
      <c r="AW236" s="161"/>
    </row>
    <row r="237" spans="1:49" ht="14.25" hidden="1" customHeight="1">
      <c r="A237" s="177"/>
      <c r="B237" s="177"/>
      <c r="H237" s="2">
        <f>IF($M$6=1,1,0)</f>
        <v>0</v>
      </c>
      <c r="J237" s="71" t="str">
        <f>CONCATENATE(SUM($G$17:G237),".",SUM($H$235:H237))</f>
        <v>18.0</v>
      </c>
      <c r="K237" s="2" t="s">
        <v>38</v>
      </c>
      <c r="L237" s="7"/>
      <c r="M237" s="250"/>
      <c r="N237" s="178"/>
      <c r="O237" s="385" t="str">
        <f>CONCATENATE(J237,". ",K237,$K$17)</f>
        <v>18.0. Título translativo de propriedade ou Escritura Pública;------------------------------------------------------------------------------------------------------------------------------------------------------------------------</v>
      </c>
      <c r="P237" s="385"/>
      <c r="Q237" s="385"/>
      <c r="R237" s="385"/>
      <c r="S237" s="385"/>
      <c r="T237" s="385"/>
      <c r="U237" s="385"/>
      <c r="V237" s="385"/>
      <c r="W237" s="385"/>
      <c r="X237" s="385"/>
      <c r="Y237" s="385"/>
      <c r="Z237" s="385"/>
      <c r="AA237" s="385"/>
      <c r="AB237" s="385"/>
      <c r="AC237" s="385"/>
      <c r="AD237" s="8"/>
      <c r="AE237" s="156"/>
      <c r="AF237" s="7"/>
      <c r="AG237" s="80"/>
      <c r="AJ237" s="13">
        <f>IF($M$6=0,0,1)</f>
        <v>0</v>
      </c>
      <c r="AK237" s="13"/>
      <c r="AL237" s="369">
        <f>IF(AND(AC237&lt;&gt;"",AE237&lt;&gt;""),4,IF(AC237&lt;&gt;"",1,IF(AE237&lt;&gt;"",2,IF(OR($AC$235&lt;&gt;"",$M$6=0),3,0))))</f>
        <v>3</v>
      </c>
      <c r="AM237" s="13"/>
      <c r="AN237" s="188">
        <f>IF(AND(AC237&lt;&gt;"",AE237&lt;&gt;""),1,IF(AL237&lt;&gt;0,0,1))</f>
        <v>0</v>
      </c>
      <c r="AO237" s="75">
        <f ca="1">SUM($AN$21:OFFSET(AO237,-2,-1))</f>
        <v>92</v>
      </c>
      <c r="AP237" s="75" t="str">
        <f t="shared" ref="AP237" ca="1" si="281">IF(AND(OFFSET(AP237,0,-18)="",AO237=0),AQ237,"XX")</f>
        <v>XX</v>
      </c>
      <c r="AQ237" s="75">
        <f>MAX($AE$21:AE235)</f>
        <v>0</v>
      </c>
      <c r="AR237" s="13">
        <f>IF(SUM(AE239:$AE$348)&gt;0,MIN(AE239:$AE$348),10000)</f>
        <v>10000</v>
      </c>
      <c r="AS237" s="14"/>
      <c r="AT237" s="14"/>
      <c r="AU237" s="75">
        <f t="shared" ref="AU237" si="282">IF(AND(AC237&lt;&gt;"",AE237&lt;&gt;""),4,0)</f>
        <v>0</v>
      </c>
      <c r="AV237" s="2" t="e">
        <f>IF(AND(AL237&lt;&gt;1,AL237&lt;&gt;3,AL237&lt;&gt;4),AP237+1,XX)</f>
        <v>#NAME?</v>
      </c>
      <c r="AW237" s="2" t="e">
        <f>IF(AND(AL237&lt;&gt;1,AL237&lt;&gt;3,AL237&lt;&gt;4),AR237-1,XX)</f>
        <v>#NAME?</v>
      </c>
    </row>
    <row r="238" spans="1:49" ht="3" hidden="1" customHeight="1">
      <c r="A238" s="177"/>
      <c r="B238" s="177"/>
      <c r="H238" s="6"/>
      <c r="I238" s="6"/>
      <c r="J238" s="70"/>
      <c r="L238" s="7"/>
      <c r="M238" s="250"/>
      <c r="N238" s="178"/>
      <c r="O238" s="36"/>
      <c r="P238" s="36"/>
      <c r="Q238" s="37"/>
      <c r="R238" s="37"/>
      <c r="S238" s="37"/>
      <c r="T238" s="37"/>
      <c r="U238" s="37"/>
      <c r="V238" s="37"/>
      <c r="W238" s="37"/>
      <c r="X238" s="37"/>
      <c r="Y238" s="37"/>
      <c r="Z238" s="37"/>
      <c r="AA238" s="37"/>
      <c r="AB238" s="12"/>
      <c r="AF238" s="7"/>
      <c r="AG238" s="177"/>
      <c r="AJ238" s="13"/>
      <c r="AK238" s="13"/>
      <c r="AL238" s="13"/>
      <c r="AM238" s="13"/>
      <c r="AN238" s="160"/>
      <c r="AO238" s="160"/>
      <c r="AP238" s="160"/>
      <c r="AQ238" s="160"/>
      <c r="AR238" s="13"/>
      <c r="AS238" s="161"/>
      <c r="AT238" s="161"/>
      <c r="AU238" s="160"/>
      <c r="AV238" s="161"/>
      <c r="AW238" s="161"/>
    </row>
    <row r="239" spans="1:49" ht="14.25" hidden="1" customHeight="1">
      <c r="A239" s="177"/>
      <c r="B239" s="177"/>
      <c r="H239" s="2">
        <f>IF($M$6=1,1,0)</f>
        <v>0</v>
      </c>
      <c r="J239" s="71" t="str">
        <f>CONCATENATE(SUM($G$17:G239),".",SUM($H$235:H239))</f>
        <v>18.0</v>
      </c>
      <c r="K239" s="2" t="s">
        <v>170</v>
      </c>
      <c r="L239" s="7"/>
      <c r="M239" s="250"/>
      <c r="N239" s="178"/>
      <c r="O239" s="385" t="str">
        <f>CONCATENATE(J239,". ",K239,$K$17)</f>
        <v>18.0. Instrumento de promessa de compra e venda do imóvel objeto do crédito com cláusula de irrevogabilidade.------------------------------------------------------------------------------------------------------------------------------------------------------------------------</v>
      </c>
      <c r="P239" s="385"/>
      <c r="Q239" s="385"/>
      <c r="R239" s="385"/>
      <c r="S239" s="385"/>
      <c r="T239" s="385"/>
      <c r="U239" s="385"/>
      <c r="V239" s="385"/>
      <c r="W239" s="385"/>
      <c r="X239" s="385"/>
      <c r="Y239" s="385"/>
      <c r="Z239" s="385"/>
      <c r="AA239" s="385"/>
      <c r="AB239" s="385"/>
      <c r="AC239" s="385"/>
      <c r="AD239" s="8"/>
      <c r="AE239" s="156"/>
      <c r="AF239" s="7"/>
      <c r="AG239" s="80"/>
      <c r="AJ239" s="13">
        <f>IF($M$6=0,0,1)</f>
        <v>0</v>
      </c>
      <c r="AK239" s="13"/>
      <c r="AL239" s="369">
        <f>IF(AND(AC239&lt;&gt;"",AE239&lt;&gt;""),4,IF(AC239&lt;&gt;"",1,IF(AE239&lt;&gt;"",2,IF(OR($AC$235&lt;&gt;"",$M$6=0),3,0))))</f>
        <v>3</v>
      </c>
      <c r="AM239" s="13"/>
      <c r="AN239" s="188">
        <f t="shared" ref="AN239" si="283">IF(AND(AC239&lt;&gt;"",AE239&lt;&gt;""),1,IF(AL239&lt;&gt;0,0,1))</f>
        <v>0</v>
      </c>
      <c r="AO239" s="75">
        <f ca="1">SUM($AN$21:OFFSET(AO239,-2,-1))</f>
        <v>92</v>
      </c>
      <c r="AP239" s="75" t="str">
        <f t="shared" ref="AP239" ca="1" si="284">IF(AND(OFFSET(AP239,0,-18)="",AO239=0),AQ239,"XX")</f>
        <v>XX</v>
      </c>
      <c r="AQ239" s="75">
        <f>MAX($AE$21:AE237)</f>
        <v>0</v>
      </c>
      <c r="AR239" s="13">
        <f>IF(SUM(AE241:$AE$348)&gt;0,MIN(AE241:$AE$348),10000)</f>
        <v>10000</v>
      </c>
      <c r="AS239" s="14"/>
      <c r="AT239" s="14"/>
      <c r="AU239" s="75">
        <f t="shared" ref="AU239" si="285">IF(AND(AC239&lt;&gt;"",AE239&lt;&gt;""),4,0)</f>
        <v>0</v>
      </c>
      <c r="AV239" s="2" t="e">
        <f>IF(AND(AL239&lt;&gt;1,AL239&lt;&gt;3,AL239&lt;&gt;4),AP239+1,XX)</f>
        <v>#NAME?</v>
      </c>
      <c r="AW239" s="2" t="e">
        <f>IF(AND(AL239&lt;&gt;1,AL239&lt;&gt;3,AL239&lt;&gt;4),AR239-1,XX)</f>
        <v>#NAME?</v>
      </c>
    </row>
    <row r="240" spans="1:49" ht="3" customHeight="1">
      <c r="B240" s="1"/>
      <c r="J240" s="70"/>
      <c r="L240" s="7"/>
      <c r="M240" s="250"/>
      <c r="N240" s="11"/>
      <c r="O240" s="36"/>
      <c r="P240" s="36"/>
      <c r="Q240" s="37"/>
      <c r="R240" s="37"/>
      <c r="S240" s="37"/>
      <c r="T240" s="37"/>
      <c r="U240" s="37"/>
      <c r="V240" s="37"/>
      <c r="W240" s="37"/>
      <c r="X240" s="37"/>
      <c r="Y240" s="37"/>
      <c r="Z240" s="37"/>
      <c r="AA240" s="37"/>
      <c r="AB240" s="12"/>
      <c r="AC240" s="10"/>
      <c r="AD240" s="8"/>
      <c r="AE240" s="11"/>
      <c r="AF240" s="7"/>
      <c r="AG240" s="25"/>
      <c r="AJ240" s="13"/>
      <c r="AK240" s="13"/>
      <c r="AL240" s="13"/>
      <c r="AM240" s="13"/>
      <c r="AN240" s="160"/>
      <c r="AO240" s="160"/>
      <c r="AP240" s="160"/>
      <c r="AQ240" s="160"/>
      <c r="AR240" s="13"/>
      <c r="AS240" s="161"/>
      <c r="AT240" s="161"/>
      <c r="AU240" s="160"/>
      <c r="AV240" s="161"/>
      <c r="AW240" s="161"/>
    </row>
    <row r="241" spans="1:55" ht="14.25" customHeight="1">
      <c r="B241" s="1"/>
      <c r="G241" s="2">
        <v>1</v>
      </c>
      <c r="J241" s="71">
        <f>SUM($G$17:G241)</f>
        <v>19</v>
      </c>
      <c r="K241" s="2" t="s">
        <v>20</v>
      </c>
      <c r="L241" s="7"/>
      <c r="M241" s="250">
        <f>IF(AC241&lt;&gt;"",1,0)</f>
        <v>0</v>
      </c>
      <c r="N241" s="11"/>
      <c r="O241" s="451" t="str">
        <f>CONCATENATE(J241,". ",K241)</f>
        <v>19. Se oferecido Garantias pré-existentes:</v>
      </c>
      <c r="P241" s="451"/>
      <c r="Q241" s="451"/>
      <c r="R241" s="451"/>
      <c r="S241" s="451"/>
      <c r="T241" s="451"/>
      <c r="U241" s="451"/>
      <c r="V241" s="451"/>
      <c r="W241" s="451"/>
      <c r="X241" s="451"/>
      <c r="Y241" s="451"/>
      <c r="Z241" s="451"/>
      <c r="AA241" s="451"/>
      <c r="AB241" s="12"/>
      <c r="AC241" s="380"/>
      <c r="AD241" s="8"/>
      <c r="AE241" s="136" t="s">
        <v>389</v>
      </c>
      <c r="AF241" s="7"/>
      <c r="AG241" s="2"/>
      <c r="AJ241" s="13"/>
      <c r="AK241" s="13" t="str">
        <f>IF(AND(AE243="",AE245="",AE247="",AC247="",AC245="",AC243=""),"X","")</f>
        <v>X</v>
      </c>
      <c r="AL241" s="75">
        <f>IF(OR(AE243&lt;&gt;"",AE245&lt;&gt;"",AE247&lt;&gt;"",AC243&lt;&gt;"",AC245&lt;&gt;"",AC247&lt;&gt;""),3,0)</f>
        <v>0</v>
      </c>
      <c r="AM241" s="13"/>
      <c r="AN241" s="188"/>
      <c r="AO241" s="75">
        <f ca="1">SUM($AN$21:OFFSET(AO241,-2,-1))</f>
        <v>92</v>
      </c>
      <c r="AP241" s="75"/>
      <c r="AQ241" s="75"/>
      <c r="AR241" s="13"/>
      <c r="AS241" s="14"/>
      <c r="AT241" s="14"/>
      <c r="AU241" s="75"/>
    </row>
    <row r="242" spans="1:55" ht="3" customHeight="1">
      <c r="B242" s="1"/>
      <c r="H242" s="6"/>
      <c r="J242" s="70"/>
      <c r="L242" s="7"/>
      <c r="M242" s="250"/>
      <c r="N242" s="11"/>
      <c r="O242" s="36"/>
      <c r="P242" s="36"/>
      <c r="Q242" s="37"/>
      <c r="R242" s="37"/>
      <c r="S242" s="37"/>
      <c r="T242" s="37"/>
      <c r="U242" s="37"/>
      <c r="V242" s="37"/>
      <c r="W242" s="37"/>
      <c r="X242" s="37"/>
      <c r="Y242" s="37"/>
      <c r="Z242" s="37"/>
      <c r="AA242" s="37"/>
      <c r="AB242" s="12"/>
      <c r="AC242" s="190"/>
      <c r="AD242" s="8"/>
      <c r="AE242" s="11"/>
      <c r="AF242" s="7"/>
      <c r="AG242" s="1"/>
      <c r="AJ242" s="13"/>
      <c r="AK242" s="13"/>
      <c r="AL242" s="13"/>
      <c r="AM242" s="13"/>
      <c r="AN242" s="160"/>
      <c r="AO242" s="160"/>
      <c r="AP242" s="160"/>
      <c r="AQ242" s="160"/>
      <c r="AR242" s="13"/>
      <c r="AS242" s="161"/>
      <c r="AT242" s="161"/>
      <c r="AU242" s="160"/>
      <c r="AV242" s="161"/>
      <c r="AW242" s="161"/>
    </row>
    <row r="243" spans="1:55" ht="14.25" customHeight="1">
      <c r="B243" s="1"/>
      <c r="H243" s="2">
        <v>1</v>
      </c>
      <c r="J243" s="71" t="str">
        <f>CONCATENATE(SUM($G$17:G243),".",SUM($H$241:H243))</f>
        <v>19.1</v>
      </c>
      <c r="K243" s="2" t="s">
        <v>284</v>
      </c>
      <c r="L243" s="7"/>
      <c r="M243" s="250"/>
      <c r="N243" s="11"/>
      <c r="O243" s="385" t="str">
        <f>CONCATENATE(J243,". ",K243,$K$17)</f>
        <v>19.1. Laudo de Avaliação - das garantias;------------------------------------------------------------------------------------------------------------------------------------------------------------------------</v>
      </c>
      <c r="P243" s="385"/>
      <c r="Q243" s="385"/>
      <c r="R243" s="385"/>
      <c r="S243" s="385"/>
      <c r="T243" s="385"/>
      <c r="U243" s="385"/>
      <c r="V243" s="385"/>
      <c r="W243" s="385"/>
      <c r="X243" s="385"/>
      <c r="Y243" s="385"/>
      <c r="Z243" s="385"/>
      <c r="AA243" s="385"/>
      <c r="AB243" s="12"/>
      <c r="AC243" s="380"/>
      <c r="AD243" s="8"/>
      <c r="AE243" s="379"/>
      <c r="AF243" s="7"/>
      <c r="AG243" s="80"/>
      <c r="AJ243" s="13">
        <v>1</v>
      </c>
      <c r="AK243" s="13" t="str">
        <f>IF(AND(AE243="",$AC$241="",AC243=""),"X","")</f>
        <v>X</v>
      </c>
      <c r="AL243" s="13">
        <f>IF(AND(AC243&lt;&gt;"",AE243&lt;&gt;""),4,IF(AC243&lt;&gt;"",1,IF(AE243&lt;&gt;"",2,IF($AC$241&lt;&gt;"",3,0))))</f>
        <v>0</v>
      </c>
      <c r="AM243" s="13"/>
      <c r="AN243" s="188">
        <f t="shared" ref="AN243" si="286">IF(AND(AC243&lt;&gt;"",AE243&lt;&gt;""),1,IF(AL243&lt;&gt;0,0,1))</f>
        <v>1</v>
      </c>
      <c r="AO243" s="75">
        <f ca="1">SUM($AN$21:OFFSET(AO243,-2,-1))</f>
        <v>92</v>
      </c>
      <c r="AP243" s="75" t="str">
        <f t="shared" ref="AP243" ca="1" si="287">IF(AND(OFFSET(AP243,0,-18)="",AO243=0),AQ243,"XX")</f>
        <v>XX</v>
      </c>
      <c r="AQ243" s="75">
        <f>MAX($AE$21:AE241)</f>
        <v>0</v>
      </c>
      <c r="AR243" s="13">
        <f>IF(SUM(AE245:$AE$348)&gt;0,MIN(AE245:$AE$348),10000)</f>
        <v>10000</v>
      </c>
      <c r="AS243" s="14"/>
      <c r="AT243" s="14"/>
      <c r="AU243" s="75">
        <f t="shared" ref="AU243" si="288">IF(AND(AC243&lt;&gt;"",AE243&lt;&gt;""),4,0)</f>
        <v>0</v>
      </c>
      <c r="AV243" s="2" t="e">
        <f ca="1">IF(AND(AL243&lt;&gt;1,AL243&lt;&gt;3,AL243&lt;&gt;4),AP243+1,XX)</f>
        <v>#VALUE!</v>
      </c>
      <c r="AW243" s="2">
        <f>IF(AND(AL243&lt;&gt;1,AL243&lt;&gt;3,AL243&lt;&gt;4),AR243-1,XX)</f>
        <v>9999</v>
      </c>
    </row>
    <row r="244" spans="1:55" ht="3" customHeight="1">
      <c r="B244" s="1"/>
      <c r="J244" s="70"/>
      <c r="L244" s="7"/>
      <c r="M244" s="250"/>
      <c r="N244" s="11"/>
      <c r="O244" s="36"/>
      <c r="P244" s="36"/>
      <c r="Q244" s="37"/>
      <c r="R244" s="37"/>
      <c r="S244" s="37"/>
      <c r="T244" s="37"/>
      <c r="U244" s="37"/>
      <c r="V244" s="37"/>
      <c r="W244" s="37"/>
      <c r="X244" s="37"/>
      <c r="Y244" s="37"/>
      <c r="Z244" s="37"/>
      <c r="AA244" s="37"/>
      <c r="AB244" s="12"/>
      <c r="AC244" s="190"/>
      <c r="AD244" s="8"/>
      <c r="AE244" s="11"/>
      <c r="AF244" s="7"/>
      <c r="AG244" s="1"/>
      <c r="AJ244" s="13"/>
      <c r="AK244" s="13"/>
      <c r="AL244" s="13"/>
      <c r="AM244" s="13"/>
      <c r="AN244" s="160"/>
      <c r="AO244" s="160"/>
      <c r="AP244" s="160"/>
      <c r="AQ244" s="160"/>
      <c r="AR244" s="13"/>
      <c r="AS244" s="161"/>
      <c r="AT244" s="161"/>
      <c r="AU244" s="160"/>
      <c r="AV244" s="161"/>
      <c r="AW244" s="161"/>
    </row>
    <row r="245" spans="1:55" ht="14.25" customHeight="1">
      <c r="B245" s="1"/>
      <c r="H245" s="2">
        <v>1</v>
      </c>
      <c r="J245" s="71" t="str">
        <f>CONCATENATE(SUM($G$17:G245),".",SUM($H$241:H245))</f>
        <v>19.2</v>
      </c>
      <c r="K245" s="2" t="s">
        <v>50</v>
      </c>
      <c r="L245" s="7"/>
      <c r="M245" s="250"/>
      <c r="N245" s="11"/>
      <c r="O245" s="385" t="str">
        <f>CONCATENATE(J245,". ",K245,$K$17)</f>
        <v>19.2. ART do Laudo de Avaliação;------------------------------------------------------------------------------------------------------------------------------------------------------------------------</v>
      </c>
      <c r="P245" s="385"/>
      <c r="Q245" s="385"/>
      <c r="R245" s="385"/>
      <c r="S245" s="385"/>
      <c r="T245" s="385"/>
      <c r="U245" s="385"/>
      <c r="V245" s="385"/>
      <c r="W245" s="385"/>
      <c r="X245" s="385"/>
      <c r="Y245" s="385"/>
      <c r="Z245" s="385"/>
      <c r="AA245" s="385"/>
      <c r="AB245" s="12"/>
      <c r="AC245" s="380"/>
      <c r="AD245" s="8"/>
      <c r="AE245" s="379"/>
      <c r="AF245" s="7"/>
      <c r="AG245" s="80"/>
      <c r="AJ245" s="13">
        <v>1</v>
      </c>
      <c r="AK245" s="13" t="str">
        <f>IF(AND(AE245="",$AC$241="",AC245=""),"X","")</f>
        <v>X</v>
      </c>
      <c r="AL245" s="13">
        <f>IF(AND(AC245&lt;&gt;"",AE245&lt;&gt;""),4,IF(AC245&lt;&gt;"",1,IF(AE245&lt;&gt;"",2,IF($AC$241&lt;&gt;"",3,0))))</f>
        <v>0</v>
      </c>
      <c r="AM245" s="13"/>
      <c r="AN245" s="188">
        <f t="shared" ref="AN245" si="289">IF(AND(AC245&lt;&gt;"",AE245&lt;&gt;""),1,IF(AL245&lt;&gt;0,0,1))</f>
        <v>1</v>
      </c>
      <c r="AO245" s="75">
        <f ca="1">SUM($AN$21:OFFSET(AO245,-2,-1))</f>
        <v>93</v>
      </c>
      <c r="AP245" s="75" t="str">
        <f t="shared" ref="AP245" ca="1" si="290">IF(AND(OFFSET(AP245,0,-18)="",AO245=0),AQ245,"XX")</f>
        <v>XX</v>
      </c>
      <c r="AQ245" s="75">
        <f>MAX($AE$21:AE243)</f>
        <v>0</v>
      </c>
      <c r="AR245" s="13">
        <f>IF(SUM(AE247:$AE$348)&gt;0,MIN(AE247:$AE$348),10000)</f>
        <v>10000</v>
      </c>
      <c r="AS245" s="14"/>
      <c r="AT245" s="14"/>
      <c r="AU245" s="75">
        <f t="shared" ref="AU245" si="291">IF(AND(AC245&lt;&gt;"",AE245&lt;&gt;""),4,0)</f>
        <v>0</v>
      </c>
      <c r="AV245" s="2" t="e">
        <f ca="1">IF(AND(AL245&lt;&gt;1,AL245&lt;&gt;3,AL245&lt;&gt;4),AP245+1,XX)</f>
        <v>#VALUE!</v>
      </c>
      <c r="AW245" s="2">
        <f>IF(AND(AL245&lt;&gt;1,AL245&lt;&gt;3,AL245&lt;&gt;4),AR245-1,XX)</f>
        <v>9999</v>
      </c>
    </row>
    <row r="246" spans="1:55" s="6" customFormat="1" ht="3" customHeight="1">
      <c r="A246" s="1"/>
      <c r="B246" s="1"/>
      <c r="I246" s="2"/>
      <c r="J246" s="70"/>
      <c r="L246" s="28"/>
      <c r="M246" s="251"/>
      <c r="N246" s="28"/>
      <c r="O246" s="36"/>
      <c r="P246" s="36"/>
      <c r="Q246" s="37"/>
      <c r="R246" s="37"/>
      <c r="S246" s="37"/>
      <c r="T246" s="37"/>
      <c r="U246" s="37"/>
      <c r="V246" s="37"/>
      <c r="W246" s="37"/>
      <c r="X246" s="37"/>
      <c r="Y246" s="37"/>
      <c r="Z246" s="37"/>
      <c r="AA246" s="37"/>
      <c r="AB246" s="12"/>
      <c r="AC246" s="190"/>
      <c r="AD246" s="8"/>
      <c r="AE246" s="11"/>
      <c r="AF246" s="28"/>
      <c r="AG246" s="1"/>
      <c r="AJ246" s="13"/>
      <c r="AK246" s="13"/>
      <c r="AL246" s="56"/>
      <c r="AM246" s="13"/>
      <c r="AN246" s="160"/>
      <c r="AO246" s="160"/>
      <c r="AP246" s="160"/>
      <c r="AQ246" s="160"/>
      <c r="AR246" s="13"/>
      <c r="AS246" s="161"/>
      <c r="AT246" s="161"/>
      <c r="AU246" s="160"/>
      <c r="AV246" s="161"/>
      <c r="AW246" s="161"/>
    </row>
    <row r="247" spans="1:55" ht="14.25" customHeight="1">
      <c r="B247" s="1"/>
      <c r="H247" s="2">
        <v>1</v>
      </c>
      <c r="J247" s="71" t="str">
        <f>CONCATENATE(SUM($G$17:G247),".",SUM($H$241:H247))</f>
        <v>19.3</v>
      </c>
      <c r="K247" s="2" t="s">
        <v>227</v>
      </c>
      <c r="L247" s="7"/>
      <c r="M247" s="250"/>
      <c r="N247" s="11"/>
      <c r="O247" s="385" t="str">
        <f>CONCATENATE(J247,". ",K247,$K$17)</f>
        <v>19.3. Certidão de inexistência de ônus - Cartório de Registro de Imóveis; (se máquinas/equipamentos/etc.)------------------------------------------------------------------------------------------------------------------------------------------------------------------------</v>
      </c>
      <c r="P247" s="385"/>
      <c r="Q247" s="385"/>
      <c r="R247" s="385"/>
      <c r="S247" s="385"/>
      <c r="T247" s="385"/>
      <c r="U247" s="385"/>
      <c r="V247" s="385"/>
      <c r="W247" s="385"/>
      <c r="X247" s="385"/>
      <c r="Y247" s="385"/>
      <c r="Z247" s="385"/>
      <c r="AA247" s="385"/>
      <c r="AB247" s="9"/>
      <c r="AC247" s="380"/>
      <c r="AD247" s="8"/>
      <c r="AE247" s="379"/>
      <c r="AF247" s="7"/>
      <c r="AG247" s="80"/>
      <c r="AJ247" s="13">
        <v>1</v>
      </c>
      <c r="AK247" s="13" t="str">
        <f>IF(AND(AE247="",$AC$241="",AC247=""),"X","")</f>
        <v>X</v>
      </c>
      <c r="AL247" s="13">
        <f>IF(AND(AC247&lt;&gt;"",AE247&lt;&gt;""),4,IF(AC247&lt;&gt;"",1,IF(AE247&lt;&gt;"",2,IF($AC$241&lt;&gt;"",3,0))))</f>
        <v>0</v>
      </c>
      <c r="AM247" s="13"/>
      <c r="AN247" s="188">
        <f t="shared" ref="AN247" si="292">IF(AND(AC247&lt;&gt;"",AE247&lt;&gt;""),1,IF(AL247&lt;&gt;0,0,1))</f>
        <v>1</v>
      </c>
      <c r="AO247" s="75">
        <f ca="1">SUM($AN$21:OFFSET(AO247,-2,-1))</f>
        <v>94</v>
      </c>
      <c r="AP247" s="75" t="str">
        <f t="shared" ref="AP247" ca="1" si="293">IF(AND(OFFSET(AP247,0,-18)="",AO247=0),AQ247,"XX")</f>
        <v>XX</v>
      </c>
      <c r="AQ247" s="75">
        <f>MAX($AE$21:AE245)</f>
        <v>0</v>
      </c>
      <c r="AR247" s="13">
        <f>IF(SUM(AE249:$AE$348)&gt;0,MIN(AE249:$AE$348),10000)</f>
        <v>10000</v>
      </c>
      <c r="AS247" s="14"/>
      <c r="AT247" s="14"/>
      <c r="AU247" s="75">
        <f t="shared" ref="AU247" si="294">IF(AND(AC247&lt;&gt;"",AE247&lt;&gt;""),4,0)</f>
        <v>0</v>
      </c>
      <c r="AV247" s="2" t="e">
        <f ca="1">IF(AND(AL247&lt;&gt;1,AL247&lt;&gt;3,AL247&lt;&gt;4),AP247+1,XX)</f>
        <v>#VALUE!</v>
      </c>
      <c r="AW247" s="2">
        <f>IF(AND(AL247&lt;&gt;1,AL247&lt;&gt;3,AL247&lt;&gt;4),AR247-1,XX)</f>
        <v>9999</v>
      </c>
    </row>
    <row r="248" spans="1:55" ht="3" customHeight="1">
      <c r="B248" s="1"/>
      <c r="J248" s="70"/>
      <c r="L248" s="7"/>
      <c r="M248" s="250"/>
      <c r="N248" s="11"/>
      <c r="O248" s="36"/>
      <c r="P248" s="36"/>
      <c r="Q248" s="37"/>
      <c r="R248" s="37"/>
      <c r="S248" s="37"/>
      <c r="T248" s="37"/>
      <c r="U248" s="37"/>
      <c r="V248" s="37"/>
      <c r="W248" s="37"/>
      <c r="X248" s="37"/>
      <c r="Y248" s="37"/>
      <c r="Z248" s="37"/>
      <c r="AA248" s="37"/>
      <c r="AB248" s="12"/>
      <c r="AC248" s="10"/>
      <c r="AD248" s="8"/>
      <c r="AE248" s="11"/>
      <c r="AF248" s="7"/>
      <c r="AG248" s="2"/>
      <c r="AJ248" s="13"/>
      <c r="AK248" s="13"/>
      <c r="AL248" s="13"/>
      <c r="AM248" s="13"/>
      <c r="AN248" s="160"/>
      <c r="AO248" s="160"/>
      <c r="AP248" s="160"/>
      <c r="AQ248" s="160"/>
      <c r="AR248" s="13"/>
      <c r="AS248" s="161"/>
      <c r="AT248" s="161"/>
      <c r="AU248" s="160"/>
      <c r="AV248" s="161"/>
      <c r="AW248" s="161"/>
    </row>
    <row r="249" spans="1:55" ht="14.25" customHeight="1">
      <c r="B249" s="1"/>
      <c r="G249" s="2">
        <v>1</v>
      </c>
      <c r="J249" s="71">
        <f>SUM($G$17:G249)</f>
        <v>20</v>
      </c>
      <c r="K249" s="2" t="s">
        <v>53</v>
      </c>
      <c r="L249" s="7"/>
      <c r="M249" s="250">
        <f>IF(AC249&lt;&gt;"",1,0)</f>
        <v>0</v>
      </c>
      <c r="N249" s="11"/>
      <c r="O249" s="453" t="str">
        <f>CONCATENATE(J249,". ",K249)</f>
        <v>20. Se Imóvel Objeto de Garantia:</v>
      </c>
      <c r="P249" s="453"/>
      <c r="Q249" s="453"/>
      <c r="R249" s="453"/>
      <c r="S249" s="453"/>
      <c r="T249" s="453"/>
      <c r="U249" s="132"/>
      <c r="V249" s="450" t="s">
        <v>178</v>
      </c>
      <c r="W249" s="450"/>
      <c r="X249" s="450"/>
      <c r="Y249" s="450"/>
      <c r="Z249" s="132"/>
      <c r="AA249" s="133" t="str">
        <f>AX272</f>
        <v>-</v>
      </c>
      <c r="AB249" s="12"/>
      <c r="AC249" s="382"/>
      <c r="AD249" s="8"/>
      <c r="AE249" s="136" t="s">
        <v>389</v>
      </c>
      <c r="AF249" s="7"/>
      <c r="AG249" s="2"/>
      <c r="AJ249" s="13"/>
      <c r="AK249" s="13" t="str">
        <f>IF(AND(AC249="",AA249="-",SUM(AL249:AL271)=0),"X","")</f>
        <v>X</v>
      </c>
      <c r="AL249" s="75" t="str">
        <f>IF(SUM(AL250:AL270)&lt;&gt;0,3,"")</f>
        <v/>
      </c>
      <c r="AM249" s="13"/>
      <c r="AN249" s="188"/>
      <c r="AO249" s="75"/>
      <c r="AP249" s="75"/>
      <c r="AQ249" s="75"/>
      <c r="AR249" s="13"/>
      <c r="AS249" s="14"/>
      <c r="AT249" s="14"/>
      <c r="AU249" s="75"/>
    </row>
    <row r="250" spans="1:55" ht="3" customHeight="1">
      <c r="B250" s="77"/>
      <c r="H250" s="6"/>
      <c r="J250" s="70"/>
      <c r="L250" s="7"/>
      <c r="M250" s="250"/>
      <c r="N250" s="11"/>
      <c r="O250" s="36"/>
      <c r="P250" s="36"/>
      <c r="Q250" s="37"/>
      <c r="R250" s="37"/>
      <c r="S250" s="37"/>
      <c r="T250" s="37"/>
      <c r="U250" s="37"/>
      <c r="V250" s="37"/>
      <c r="W250" s="37"/>
      <c r="X250" s="37"/>
      <c r="Y250" s="37"/>
      <c r="Z250" s="37"/>
      <c r="AA250" s="37"/>
      <c r="AB250" s="12"/>
      <c r="AC250" s="10"/>
      <c r="AD250" s="8"/>
      <c r="AE250" s="11"/>
      <c r="AF250" s="7"/>
      <c r="AG250" s="77"/>
      <c r="AJ250" s="13"/>
      <c r="AK250" s="13"/>
      <c r="AL250" s="13"/>
      <c r="AM250" s="13"/>
      <c r="AN250" s="160"/>
      <c r="AO250" s="160"/>
      <c r="AP250" s="160"/>
      <c r="AQ250" s="160"/>
      <c r="AR250" s="13"/>
      <c r="AS250" s="161"/>
      <c r="AT250" s="161"/>
      <c r="AU250" s="160"/>
      <c r="AV250" s="161"/>
      <c r="AW250" s="161"/>
    </row>
    <row r="251" spans="1:55" ht="14.25" customHeight="1">
      <c r="A251" s="386"/>
      <c r="B251" s="371"/>
      <c r="H251" s="2">
        <v>1</v>
      </c>
      <c r="J251" s="71" t="str">
        <f>CONCATENATE(SUM($G$17:G251),".",SUM($H$249:H251))</f>
        <v>20.1</v>
      </c>
      <c r="K251" s="2" t="s">
        <v>390</v>
      </c>
      <c r="L251" s="7"/>
      <c r="M251" s="250"/>
      <c r="N251" s="370"/>
      <c r="O251" s="385" t="str">
        <f>CONCATENATE(J251,". ",K251,$K$17)</f>
        <v>20.1. Título Translativo de Propriedade;------------------------------------------------------------------------------------------------------------------------------------------------------------------------</v>
      </c>
      <c r="P251" s="385"/>
      <c r="Q251" s="385"/>
      <c r="R251" s="385"/>
      <c r="S251" s="385"/>
      <c r="T251" s="385"/>
      <c r="U251" s="385"/>
      <c r="V251" s="385"/>
      <c r="W251" s="385"/>
      <c r="X251" s="385"/>
      <c r="Y251" s="385"/>
      <c r="Z251" s="385"/>
      <c r="AA251" s="385"/>
      <c r="AB251" s="385"/>
      <c r="AC251" s="385"/>
      <c r="AD251" s="8"/>
      <c r="AE251" s="379"/>
      <c r="AF251" s="7"/>
      <c r="AG251" s="80"/>
      <c r="AJ251" s="13">
        <f>IF(AND($AC$249="",$AA$249&gt;=1),1,0)</f>
        <v>1</v>
      </c>
      <c r="AK251" s="13"/>
      <c r="AL251" s="13">
        <f>IF(AND(AC251&lt;&gt;"",AE251&lt;&gt;""),4,IF(AC251&lt;&gt;"",1,IF(AE251&lt;&gt;"",2,IF($AC$249&lt;&gt;"",3,0))))</f>
        <v>0</v>
      </c>
      <c r="AM251" s="13"/>
      <c r="AN251" s="188">
        <f>IF(AND(AC251&lt;&gt;"",AE251&lt;&gt;""),1,IF(AL251&lt;&gt;0,0,1))</f>
        <v>1</v>
      </c>
      <c r="AO251" s="75">
        <f ca="1">SUM($AN$21:OFFSET(AO251,-2,-1))</f>
        <v>95</v>
      </c>
      <c r="AP251" s="75" t="str">
        <f t="shared" ref="AP251" ca="1" si="295">IF(AND(OFFSET(AP251,0,-18)="",AO251=0),AQ251,"XX")</f>
        <v>XX</v>
      </c>
      <c r="AQ251" s="75">
        <f>MAX($AE$21:AE249)</f>
        <v>0</v>
      </c>
      <c r="AR251" s="13">
        <f>IF(SUM(AE253:$AE$348)&gt;0,MIN(AE253:$AE$348),10000)</f>
        <v>10000</v>
      </c>
      <c r="AS251" s="14"/>
      <c r="AT251" s="14"/>
      <c r="AU251" s="75">
        <f t="shared" ref="AU251" si="296">IF(AND(AC251&lt;&gt;"",AE251&lt;&gt;""),4,0)</f>
        <v>0</v>
      </c>
      <c r="AV251" s="2" t="e">
        <f ca="1">IF(AND(AL251&lt;&gt;1,AL251&lt;&gt;3,AL251&lt;&gt;4),AP251+1,XX)</f>
        <v>#VALUE!</v>
      </c>
      <c r="AW251" s="2">
        <f>IF(AND(AL251&lt;&gt;1,AL251&lt;&gt;3,AL251&lt;&gt;4),AR251-1,XX)</f>
        <v>9999</v>
      </c>
      <c r="AX251" s="4"/>
      <c r="AY251" s="4">
        <f>IF(OR(SUM(ImovGarantia_3:ImovSup_3)&gt;0,BC251&gt;1),1,0)</f>
        <v>0</v>
      </c>
      <c r="AZ251" s="4">
        <f>IF($AA$249&lt;&gt;"-",SUM(AY$249:$AY251),0)</f>
        <v>0</v>
      </c>
      <c r="BA251" s="4">
        <f>SUM(BB$249:$BB251)</f>
        <v>1</v>
      </c>
      <c r="BB251" s="4">
        <v>1</v>
      </c>
      <c r="BC251" s="4">
        <f>SUM(ImovGar5:ImovGar4)</f>
        <v>1</v>
      </c>
    </row>
    <row r="252" spans="1:55" ht="3" customHeight="1">
      <c r="A252" s="386"/>
      <c r="B252" s="371"/>
      <c r="J252" s="70"/>
      <c r="L252" s="7"/>
      <c r="M252" s="250"/>
      <c r="N252" s="370"/>
      <c r="O252" s="372"/>
      <c r="P252" s="372"/>
      <c r="Q252" s="134"/>
      <c r="R252" s="134"/>
      <c r="S252" s="134"/>
      <c r="T252" s="134"/>
      <c r="U252" s="134"/>
      <c r="V252" s="134"/>
      <c r="W252" s="134"/>
      <c r="X252" s="134"/>
      <c r="Y252" s="134"/>
      <c r="Z252" s="134"/>
      <c r="AA252" s="134"/>
      <c r="AB252" s="63"/>
      <c r="AC252" s="64"/>
      <c r="AD252" s="8"/>
      <c r="AE252" s="370"/>
      <c r="AF252" s="7"/>
      <c r="AG252" s="371"/>
      <c r="AJ252" s="13"/>
      <c r="AK252" s="13"/>
      <c r="AL252" s="13"/>
      <c r="AM252" s="13"/>
      <c r="AN252" s="160"/>
      <c r="AO252" s="160"/>
      <c r="AP252" s="160"/>
      <c r="AQ252" s="160"/>
      <c r="AR252" s="13"/>
      <c r="AS252" s="161"/>
      <c r="AT252" s="161"/>
      <c r="AU252" s="160"/>
      <c r="AV252" s="161"/>
      <c r="AW252" s="161"/>
    </row>
    <row r="253" spans="1:55" ht="14.25" customHeight="1">
      <c r="A253" s="386"/>
      <c r="B253" s="371"/>
      <c r="H253" s="2">
        <v>1</v>
      </c>
      <c r="J253" s="71" t="str">
        <f>CONCATENATE(SUM($G$17:G253),".",SUM($H$249:H253))</f>
        <v>20.2</v>
      </c>
      <c r="K253" s="2" t="s">
        <v>33</v>
      </c>
      <c r="L253" s="7"/>
      <c r="M253" s="250"/>
      <c r="N253" s="370"/>
      <c r="O253" s="385" t="str">
        <f>CONCATENATE(J253,". ",K253,$K$17)</f>
        <v>20.2. Certidão de Cadeia Dominial ou Vintenária;------------------------------------------------------------------------------------------------------------------------------------------------------------------------</v>
      </c>
      <c r="P253" s="385"/>
      <c r="Q253" s="385"/>
      <c r="R253" s="385"/>
      <c r="S253" s="385"/>
      <c r="T253" s="385"/>
      <c r="U253" s="385"/>
      <c r="V253" s="385"/>
      <c r="W253" s="385"/>
      <c r="X253" s="385"/>
      <c r="Y253" s="385"/>
      <c r="Z253" s="385"/>
      <c r="AA253" s="385"/>
      <c r="AB253" s="385"/>
      <c r="AC253" s="385"/>
      <c r="AD253" s="8"/>
      <c r="AE253" s="379"/>
      <c r="AF253" s="7"/>
      <c r="AG253" s="80"/>
      <c r="AJ253" s="13">
        <f>IF(AND($AC$249="",$AA$249&gt;=1),1,0)</f>
        <v>1</v>
      </c>
      <c r="AK253" s="13"/>
      <c r="AL253" s="13">
        <f t="shared" ref="AL253" si="297">IF(AND(AC253&lt;&gt;"",AE253&lt;&gt;""),4,IF(AC253&lt;&gt;"",1,IF(AE253&lt;&gt;"",2,IF($AC$249&lt;&gt;"",3,0))))</f>
        <v>0</v>
      </c>
      <c r="AM253" s="13"/>
      <c r="AN253" s="188">
        <f t="shared" ref="AN253" si="298">IF(AND(AC253&lt;&gt;"",AE253&lt;&gt;""),1,IF(AL253&lt;&gt;0,0,1))</f>
        <v>1</v>
      </c>
      <c r="AO253" s="75">
        <f ca="1">SUM($AN$21:OFFSET(AO253,-2,-1))</f>
        <v>96</v>
      </c>
      <c r="AP253" s="75" t="str">
        <f t="shared" ref="AP253" ca="1" si="299">IF(AND(OFFSET(AP253,0,-18)="",AO253=0),AQ253,"XX")</f>
        <v>XX</v>
      </c>
      <c r="AQ253" s="75">
        <f>MAX($AE$21:AE251)</f>
        <v>0</v>
      </c>
      <c r="AR253" s="13">
        <f>IF(SUM(AE255:$AE$348)&gt;0,MIN(AE255:$AE$348),10000)</f>
        <v>10000</v>
      </c>
      <c r="AS253" s="14"/>
      <c r="AT253" s="14"/>
      <c r="AU253" s="75">
        <f t="shared" ref="AU253" si="300">IF(AND(AC253&lt;&gt;"",AE253&lt;&gt;""),4,0)</f>
        <v>0</v>
      </c>
      <c r="AV253" s="2" t="e">
        <f ca="1">IF(AND(AL253&lt;&gt;1,AL253&lt;&gt;3,AL253&lt;&gt;4),AP253+1,XX)</f>
        <v>#VALUE!</v>
      </c>
      <c r="AW253" s="2">
        <f>IF(AND(AL253&lt;&gt;1,AL253&lt;&gt;3,AL253&lt;&gt;4),AR253-1,XX)</f>
        <v>9999</v>
      </c>
    </row>
    <row r="254" spans="1:55" ht="3" customHeight="1">
      <c r="A254" s="386"/>
      <c r="B254" s="371"/>
      <c r="H254" s="6"/>
      <c r="J254" s="70"/>
      <c r="L254" s="7"/>
      <c r="M254" s="250"/>
      <c r="N254" s="370"/>
      <c r="O254" s="36"/>
      <c r="P254" s="36"/>
      <c r="Q254" s="37"/>
      <c r="R254" s="37"/>
      <c r="S254" s="37"/>
      <c r="T254" s="37"/>
      <c r="U254" s="37"/>
      <c r="V254" s="37"/>
      <c r="W254" s="37"/>
      <c r="X254" s="37"/>
      <c r="Y254" s="37"/>
      <c r="Z254" s="37"/>
      <c r="AA254" s="37"/>
      <c r="AB254" s="12"/>
      <c r="AC254" s="10"/>
      <c r="AD254" s="8"/>
      <c r="AE254" s="370"/>
      <c r="AF254" s="7"/>
      <c r="AG254" s="25"/>
      <c r="AJ254" s="13"/>
      <c r="AK254" s="13"/>
      <c r="AL254" s="13"/>
      <c r="AM254" s="13"/>
      <c r="AN254" s="160"/>
      <c r="AO254" s="160"/>
      <c r="AP254" s="160"/>
      <c r="AQ254" s="160"/>
      <c r="AR254" s="13"/>
      <c r="AS254" s="161"/>
      <c r="AT254" s="161"/>
      <c r="AU254" s="160"/>
      <c r="AV254" s="161"/>
      <c r="AW254" s="161"/>
    </row>
    <row r="255" spans="1:55" ht="14.25" customHeight="1">
      <c r="A255" s="386"/>
      <c r="B255" s="371"/>
      <c r="H255" s="2">
        <v>1</v>
      </c>
      <c r="J255" s="71" t="str">
        <f>CONCATENATE(SUM($G$17:G255),".",SUM($H$249:H255))</f>
        <v>20.3</v>
      </c>
      <c r="K255" s="2" t="s">
        <v>264</v>
      </c>
      <c r="L255" s="7"/>
      <c r="M255" s="250"/>
      <c r="N255" s="370"/>
      <c r="O255" s="385" t="str">
        <f>CONCATENATE(J255,". ",K255,$K$17)</f>
        <v>20.3. Certidão de Averbação das benfeitorias existentes; (se Imóvel Urbano)------------------------------------------------------------------------------------------------------------------------------------------------------------------------</v>
      </c>
      <c r="P255" s="385"/>
      <c r="Q255" s="385"/>
      <c r="R255" s="385"/>
      <c r="S255" s="385"/>
      <c r="T255" s="385"/>
      <c r="U255" s="385"/>
      <c r="V255" s="385"/>
      <c r="W255" s="385"/>
      <c r="X255" s="385"/>
      <c r="Y255" s="385"/>
      <c r="Z255" s="385"/>
      <c r="AA255" s="385"/>
      <c r="AB255" s="12"/>
      <c r="AC255" s="380"/>
      <c r="AD255" s="8"/>
      <c r="AE255" s="379"/>
      <c r="AF255" s="7"/>
      <c r="AG255" s="80"/>
      <c r="AJ255" s="13">
        <f>IF(AND($AC$249="",$AA$249&gt;=1),1,0)</f>
        <v>1</v>
      </c>
      <c r="AK255" s="371" t="str">
        <f>IF(AND(AE255="",$AA$249&gt;=1,$AC$249="",AC255=""),"X","")</f>
        <v>X</v>
      </c>
      <c r="AL255" s="13">
        <f t="shared" ref="AL255" si="301">IF(AND(AC255&lt;&gt;"",AE255&lt;&gt;""),4,IF(AC255&lt;&gt;"",1,IF(AE255&lt;&gt;"",2,IF($AC$249&lt;&gt;"",3,0))))</f>
        <v>0</v>
      </c>
      <c r="AM255" s="13"/>
      <c r="AN255" s="188">
        <f t="shared" ref="AN255" si="302">IF(AND(AC255&lt;&gt;"",AE255&lt;&gt;""),1,IF(AL255&lt;&gt;0,0,1))</f>
        <v>1</v>
      </c>
      <c r="AO255" s="75">
        <f ca="1">SUM($AN$21:OFFSET(AO255,-2,-1))</f>
        <v>97</v>
      </c>
      <c r="AP255" s="75" t="str">
        <f t="shared" ref="AP255" ca="1" si="303">IF(AND(OFFSET(AP255,0,-18)="",AO255=0),AQ255,"XX")</f>
        <v>XX</v>
      </c>
      <c r="AQ255" s="75">
        <f>MAX($AE$21:AE253)</f>
        <v>0</v>
      </c>
      <c r="AR255" s="13">
        <f>IF(SUM(AE257:$AE$348)&gt;0,MIN(AE257:$AE$348),10000)</f>
        <v>10000</v>
      </c>
      <c r="AS255" s="14"/>
      <c r="AT255" s="14"/>
      <c r="AU255" s="75">
        <f t="shared" ref="AU255" si="304">IF(AND(AC255&lt;&gt;"",AE255&lt;&gt;""),4,0)</f>
        <v>0</v>
      </c>
      <c r="AV255" s="2" t="e">
        <f ca="1">IF(AND(AL255&lt;&gt;1,AL255&lt;&gt;3,AL255&lt;&gt;4),AP255+1,XX)</f>
        <v>#VALUE!</v>
      </c>
      <c r="AW255" s="2">
        <f>IF(AND(AL255&lt;&gt;1,AL255&lt;&gt;3,AL255&lt;&gt;4),AR255-1,XX)</f>
        <v>9999</v>
      </c>
    </row>
    <row r="256" spans="1:55" ht="3" customHeight="1">
      <c r="A256" s="386"/>
      <c r="B256" s="371"/>
      <c r="J256" s="70"/>
      <c r="L256" s="7"/>
      <c r="M256" s="250"/>
      <c r="N256" s="370"/>
      <c r="O256" s="36"/>
      <c r="P256" s="36"/>
      <c r="Q256" s="37"/>
      <c r="R256" s="37"/>
      <c r="S256" s="37"/>
      <c r="T256" s="37"/>
      <c r="U256" s="37"/>
      <c r="V256" s="37"/>
      <c r="W256" s="37"/>
      <c r="X256" s="37"/>
      <c r="Y256" s="37"/>
      <c r="Z256" s="37"/>
      <c r="AA256" s="37"/>
      <c r="AB256" s="12"/>
      <c r="AC256" s="10"/>
      <c r="AD256" s="8"/>
      <c r="AE256" s="370"/>
      <c r="AF256" s="7"/>
      <c r="AG256" s="371"/>
      <c r="AJ256" s="13"/>
      <c r="AK256" s="13"/>
      <c r="AL256" s="13"/>
      <c r="AM256" s="13"/>
      <c r="AN256" s="160"/>
      <c r="AO256" s="160"/>
      <c r="AP256" s="160"/>
      <c r="AQ256" s="160"/>
      <c r="AR256" s="13"/>
      <c r="AS256" s="161"/>
      <c r="AT256" s="161"/>
      <c r="AU256" s="160"/>
      <c r="AV256" s="161"/>
      <c r="AW256" s="161"/>
    </row>
    <row r="257" spans="1:50" ht="14.25" customHeight="1">
      <c r="A257" s="386"/>
      <c r="B257" s="371"/>
      <c r="H257" s="2">
        <v>1</v>
      </c>
      <c r="J257" s="71" t="str">
        <f>CONCATENATE(SUM($G$17:G257),".",SUM($H$249:H257))</f>
        <v>20.4</v>
      </c>
      <c r="K257" s="2" t="s">
        <v>265</v>
      </c>
      <c r="L257" s="7"/>
      <c r="M257" s="250"/>
      <c r="N257" s="370"/>
      <c r="O257" s="385" t="str">
        <f>CONCATENATE(J257,". ",K257,$K$17)</f>
        <v>20.4. Certidão de Inexistência de Ônus ou Certidão de Inteiro Teor;------------------------------------------------------------------------------------------------------------------------------------------------------------------------</v>
      </c>
      <c r="P257" s="385"/>
      <c r="Q257" s="385"/>
      <c r="R257" s="385"/>
      <c r="S257" s="385"/>
      <c r="T257" s="385"/>
      <c r="U257" s="385"/>
      <c r="V257" s="385"/>
      <c r="W257" s="385"/>
      <c r="X257" s="385"/>
      <c r="Y257" s="385"/>
      <c r="Z257" s="385"/>
      <c r="AA257" s="385"/>
      <c r="AB257" s="385"/>
      <c r="AC257" s="385"/>
      <c r="AD257" s="8"/>
      <c r="AE257" s="379"/>
      <c r="AF257" s="7"/>
      <c r="AG257" s="80"/>
      <c r="AJ257" s="13">
        <f>IF(AND($AC$249="",$AA$249&gt;=1),1,0)</f>
        <v>1</v>
      </c>
      <c r="AK257" s="13"/>
      <c r="AL257" s="13">
        <f t="shared" ref="AL257" si="305">IF(AND(AC257&lt;&gt;"",AE257&lt;&gt;""),4,IF(AC257&lt;&gt;"",1,IF(AE257&lt;&gt;"",2,IF($AC$249&lt;&gt;"",3,0))))</f>
        <v>0</v>
      </c>
      <c r="AM257" s="13"/>
      <c r="AN257" s="188">
        <f t="shared" ref="AN257" si="306">IF(AND(AC257&lt;&gt;"",AE257&lt;&gt;""),1,IF(AL257&lt;&gt;0,0,1))</f>
        <v>1</v>
      </c>
      <c r="AO257" s="75">
        <f ca="1">SUM($AN$21:OFFSET(AO257,-2,-1))</f>
        <v>98</v>
      </c>
      <c r="AP257" s="75" t="str">
        <f t="shared" ref="AP257" ca="1" si="307">IF(AND(OFFSET(AP257,0,-18)="",AO257=0),AQ257,"XX")</f>
        <v>XX</v>
      </c>
      <c r="AQ257" s="75">
        <f>MAX($AE$21:AE255)</f>
        <v>0</v>
      </c>
      <c r="AR257" s="13">
        <f>IF(SUM(AE259:$AE$348)&gt;0,MIN(AE259:$AE$348),10000)</f>
        <v>10000</v>
      </c>
      <c r="AS257" s="14"/>
      <c r="AT257" s="14"/>
      <c r="AU257" s="75">
        <f t="shared" ref="AU257" si="308">IF(AND(AC257&lt;&gt;"",AE257&lt;&gt;""),4,0)</f>
        <v>0</v>
      </c>
      <c r="AV257" s="2" t="e">
        <f ca="1">IF(AND(AL257&lt;&gt;1,AL257&lt;&gt;3,AL257&lt;&gt;4),AP257+1,XX)</f>
        <v>#VALUE!</v>
      </c>
      <c r="AW257" s="2">
        <f>IF(AND(AL257&lt;&gt;1,AL257&lt;&gt;3,AL257&lt;&gt;4),AR257-1,XX)</f>
        <v>9999</v>
      </c>
    </row>
    <row r="258" spans="1:50" s="6" customFormat="1" ht="3" customHeight="1">
      <c r="A258" s="386"/>
      <c r="B258" s="371"/>
      <c r="I258" s="2"/>
      <c r="J258" s="70"/>
      <c r="L258" s="28"/>
      <c r="M258" s="251"/>
      <c r="N258" s="28"/>
      <c r="O258" s="36"/>
      <c r="P258" s="36"/>
      <c r="Q258" s="37"/>
      <c r="R258" s="37"/>
      <c r="S258" s="37"/>
      <c r="T258" s="37"/>
      <c r="U258" s="37"/>
      <c r="V258" s="37"/>
      <c r="W258" s="37"/>
      <c r="X258" s="37"/>
      <c r="Y258" s="37"/>
      <c r="Z258" s="37"/>
      <c r="AA258" s="37"/>
      <c r="AB258" s="12"/>
      <c r="AC258" s="10"/>
      <c r="AD258" s="8"/>
      <c r="AE258" s="370"/>
      <c r="AF258" s="28"/>
      <c r="AG258" s="2"/>
      <c r="AJ258" s="13"/>
      <c r="AK258" s="13"/>
      <c r="AL258" s="13"/>
      <c r="AM258" s="13"/>
      <c r="AN258" s="160"/>
      <c r="AO258" s="160"/>
      <c r="AP258" s="160"/>
      <c r="AQ258" s="160"/>
      <c r="AR258" s="13"/>
      <c r="AS258" s="161"/>
      <c r="AT258" s="161"/>
      <c r="AU258" s="160"/>
      <c r="AV258" s="161"/>
      <c r="AW258" s="161"/>
    </row>
    <row r="259" spans="1:50" ht="14.25" customHeight="1">
      <c r="A259" s="386"/>
      <c r="B259" s="371"/>
      <c r="H259" s="2">
        <v>1</v>
      </c>
      <c r="J259" s="71" t="str">
        <f>CONCATENATE(SUM($G$17:G259),".",SUM($H$249:H259))</f>
        <v>20.5</v>
      </c>
      <c r="K259" s="2" t="s">
        <v>268</v>
      </c>
      <c r="L259" s="7"/>
      <c r="M259" s="250"/>
      <c r="N259" s="370"/>
      <c r="O259" s="385" t="str">
        <f>CONCATENATE(J259,". ",K259,$K$17)</f>
        <v>20.5. Certidão de Inexistência de Ônus - Cartório de Títulos e Documentos; ------------------------------------------------------------------------------------------------------------------------------------------------------------------------</v>
      </c>
      <c r="P259" s="385"/>
      <c r="Q259" s="385"/>
      <c r="R259" s="385"/>
      <c r="S259" s="385"/>
      <c r="T259" s="385"/>
      <c r="U259" s="385"/>
      <c r="V259" s="385"/>
      <c r="W259" s="385"/>
      <c r="X259" s="385"/>
      <c r="Y259" s="385"/>
      <c r="Z259" s="385"/>
      <c r="AA259" s="385"/>
      <c r="AB259" s="9"/>
      <c r="AC259" s="380"/>
      <c r="AD259" s="8"/>
      <c r="AE259" s="379"/>
      <c r="AF259" s="7"/>
      <c r="AG259" s="80"/>
      <c r="AJ259" s="13">
        <f>IF(AND($AC$249="",$AA$249&gt;=1),1,0)</f>
        <v>1</v>
      </c>
      <c r="AK259" s="371" t="str">
        <f>IF(AND(AE259="",$AA$249&gt;=1,$AC$249="",AC259=""),"X","")</f>
        <v>X</v>
      </c>
      <c r="AL259" s="13">
        <f t="shared" ref="AL259" si="309">IF(AND(AC259&lt;&gt;"",AE259&lt;&gt;""),4,IF(AC259&lt;&gt;"",1,IF(AE259&lt;&gt;"",2,IF($AC$249&lt;&gt;"",3,0))))</f>
        <v>0</v>
      </c>
      <c r="AM259" s="13"/>
      <c r="AN259" s="188">
        <f t="shared" ref="AN259" si="310">IF(AND(AC259&lt;&gt;"",AE259&lt;&gt;""),1,IF(AL259&lt;&gt;0,0,1))</f>
        <v>1</v>
      </c>
      <c r="AO259" s="75">
        <f ca="1">SUM($AN$21:OFFSET(AO259,-2,-1))</f>
        <v>99</v>
      </c>
      <c r="AP259" s="75" t="str">
        <f t="shared" ref="AP259" ca="1" si="311">IF(AND(OFFSET(AP259,0,-18)="",AO259=0),AQ259,"XX")</f>
        <v>XX</v>
      </c>
      <c r="AQ259" s="75">
        <f>MAX($AE$21:AE257)</f>
        <v>0</v>
      </c>
      <c r="AR259" s="13">
        <f>IF(SUM(AE261:$AE$348)&gt;0,MIN(AE261:$AE$348),10000)</f>
        <v>10000</v>
      </c>
      <c r="AS259" s="14"/>
      <c r="AT259" s="14"/>
      <c r="AU259" s="75">
        <f t="shared" ref="AU259" si="312">IF(AND(AC259&lt;&gt;"",AE259&lt;&gt;""),4,0)</f>
        <v>0</v>
      </c>
      <c r="AV259" s="2" t="e">
        <f ca="1">IF(AND(AL259&lt;&gt;1,AL259&lt;&gt;3,AL259&lt;&gt;4),AP259+1,XX)</f>
        <v>#VALUE!</v>
      </c>
      <c r="AW259" s="2">
        <f>IF(AND(AL259&lt;&gt;1,AL259&lt;&gt;3,AL259&lt;&gt;4),AR259-1,XX)</f>
        <v>9999</v>
      </c>
    </row>
    <row r="260" spans="1:50" s="6" customFormat="1" ht="3" customHeight="1">
      <c r="A260" s="386"/>
      <c r="B260" s="371"/>
      <c r="H260" s="2"/>
      <c r="I260" s="2"/>
      <c r="J260" s="70"/>
      <c r="L260" s="28"/>
      <c r="M260" s="251"/>
      <c r="N260" s="28"/>
      <c r="O260" s="36"/>
      <c r="P260" s="36"/>
      <c r="Q260" s="37"/>
      <c r="R260" s="37"/>
      <c r="S260" s="37"/>
      <c r="T260" s="37"/>
      <c r="U260" s="37"/>
      <c r="V260" s="37"/>
      <c r="W260" s="37"/>
      <c r="X260" s="37"/>
      <c r="Y260" s="37"/>
      <c r="Z260" s="37"/>
      <c r="AA260" s="37"/>
      <c r="AB260" s="12"/>
      <c r="AC260" s="190"/>
      <c r="AD260" s="8"/>
      <c r="AE260" s="370"/>
      <c r="AF260" s="28"/>
      <c r="AG260" s="371"/>
      <c r="AJ260" s="13"/>
      <c r="AK260" s="13"/>
      <c r="AL260" s="13"/>
      <c r="AM260" s="13"/>
      <c r="AN260" s="160"/>
      <c r="AO260" s="160"/>
      <c r="AP260" s="160"/>
      <c r="AQ260" s="160"/>
      <c r="AR260" s="13"/>
      <c r="AS260" s="161"/>
      <c r="AT260" s="161"/>
      <c r="AU260" s="160"/>
      <c r="AV260" s="161"/>
      <c r="AW260" s="161"/>
    </row>
    <row r="261" spans="1:50" ht="14.25" customHeight="1">
      <c r="A261" s="386"/>
      <c r="B261" s="371"/>
      <c r="H261" s="2">
        <v>1</v>
      </c>
      <c r="J261" s="71" t="str">
        <f>CONCATENATE(SUM($G$17:G261),".",SUM($H$249:H261))</f>
        <v>20.6</v>
      </c>
      <c r="K261" s="2" t="s">
        <v>301</v>
      </c>
      <c r="L261" s="7"/>
      <c r="M261" s="250"/>
      <c r="N261" s="370"/>
      <c r="O261" s="385" t="str">
        <f>CONCATENATE(J261,". ",K261,$K$17)</f>
        <v>20.6. Certidão de Inexistência de Ônus de Imposto Predial e Territorial Urbano - IPTU; (se Imóvel Urbano)------------------------------------------------------------------------------------------------------------------------------------------------------------------------</v>
      </c>
      <c r="P261" s="385"/>
      <c r="Q261" s="385"/>
      <c r="R261" s="385"/>
      <c r="S261" s="385"/>
      <c r="T261" s="385"/>
      <c r="U261" s="385"/>
      <c r="V261" s="385"/>
      <c r="W261" s="385"/>
      <c r="X261" s="385"/>
      <c r="Y261" s="385"/>
      <c r="Z261" s="385"/>
      <c r="AA261" s="385"/>
      <c r="AB261" s="9"/>
      <c r="AC261" s="380"/>
      <c r="AD261" s="8"/>
      <c r="AE261" s="379"/>
      <c r="AF261" s="7"/>
      <c r="AG261" s="80"/>
      <c r="AJ261" s="13">
        <f>IF(AND($AC$249="",$AA$249&gt;=1),1,0)</f>
        <v>1</v>
      </c>
      <c r="AK261" s="371" t="str">
        <f>IF(AND(AE261="",$AA$249&gt;=1,$AC$249="",AC261=""),"X","")</f>
        <v>X</v>
      </c>
      <c r="AL261" s="13">
        <f t="shared" ref="AL261" si="313">IF(AND(AC261&lt;&gt;"",AE261&lt;&gt;""),4,IF(AC261&lt;&gt;"",1,IF(AE261&lt;&gt;"",2,IF($AC$249&lt;&gt;"",3,0))))</f>
        <v>0</v>
      </c>
      <c r="AM261" s="13"/>
      <c r="AN261" s="188">
        <f t="shared" ref="AN261" si="314">IF(AND(AC261&lt;&gt;"",AE261&lt;&gt;""),1,IF(AL261&lt;&gt;0,0,1))</f>
        <v>1</v>
      </c>
      <c r="AO261" s="75">
        <f ca="1">SUM($AN$21:OFFSET(AO261,-2,-1))</f>
        <v>100</v>
      </c>
      <c r="AP261" s="75" t="str">
        <f t="shared" ref="AP261" ca="1" si="315">IF(AND(OFFSET(AP261,0,-18)="",AO261=0),AQ261,"XX")</f>
        <v>XX</v>
      </c>
      <c r="AQ261" s="75">
        <f>MAX($AE$21:AE259)</f>
        <v>0</v>
      </c>
      <c r="AR261" s="13">
        <f>IF(SUM(AE263:$AE$348)&gt;0,MIN(AE263:$AE$348),10000)</f>
        <v>10000</v>
      </c>
      <c r="AS261" s="14"/>
      <c r="AT261" s="14"/>
      <c r="AU261" s="75">
        <f t="shared" ref="AU261" si="316">IF(AND(AC261&lt;&gt;"",AE261&lt;&gt;""),4,0)</f>
        <v>0</v>
      </c>
      <c r="AV261" s="2" t="e">
        <f ca="1">IF(AND(AL261&lt;&gt;1,AL261&lt;&gt;3,AL261&lt;&gt;4),AP261+1,XX)</f>
        <v>#VALUE!</v>
      </c>
      <c r="AW261" s="2">
        <f>IF(AND(AL261&lt;&gt;1,AL261&lt;&gt;3,AL261&lt;&gt;4),AR261-1,XX)</f>
        <v>9999</v>
      </c>
    </row>
    <row r="262" spans="1:50" s="6" customFormat="1" ht="3" customHeight="1">
      <c r="A262" s="386"/>
      <c r="B262" s="371"/>
      <c r="J262" s="70"/>
      <c r="L262" s="28"/>
      <c r="M262" s="251"/>
      <c r="N262" s="28"/>
      <c r="O262" s="36"/>
      <c r="P262" s="36"/>
      <c r="Q262" s="37"/>
      <c r="R262" s="37"/>
      <c r="S262" s="37"/>
      <c r="T262" s="37"/>
      <c r="U262" s="37"/>
      <c r="V262" s="37"/>
      <c r="W262" s="37"/>
      <c r="X262" s="37"/>
      <c r="Y262" s="37"/>
      <c r="Z262" s="37"/>
      <c r="AA262" s="37"/>
      <c r="AB262" s="12"/>
      <c r="AC262" s="190"/>
      <c r="AD262" s="8"/>
      <c r="AE262" s="370"/>
      <c r="AF262" s="28"/>
      <c r="AG262" s="2"/>
      <c r="AJ262" s="13"/>
      <c r="AK262" s="13"/>
      <c r="AL262" s="13"/>
      <c r="AM262" s="13"/>
      <c r="AN262" s="160"/>
      <c r="AO262" s="160"/>
      <c r="AP262" s="160"/>
      <c r="AQ262" s="160"/>
      <c r="AR262" s="13"/>
      <c r="AS262" s="161"/>
      <c r="AT262" s="161"/>
      <c r="AU262" s="160"/>
      <c r="AV262" s="161"/>
      <c r="AW262" s="161"/>
    </row>
    <row r="263" spans="1:50" ht="14.25" customHeight="1">
      <c r="A263" s="386"/>
      <c r="B263" s="371"/>
      <c r="H263" s="2">
        <v>1</v>
      </c>
      <c r="J263" s="71" t="str">
        <f>CONCATENATE(SUM($G$17:G263),".",SUM($H$249:H263))</f>
        <v>20.7</v>
      </c>
      <c r="K263" s="2" t="s">
        <v>160</v>
      </c>
      <c r="L263" s="7"/>
      <c r="M263" s="250"/>
      <c r="N263" s="370"/>
      <c r="O263" s="385" t="str">
        <f>CONCATENATE(J263,". ",K263,$K$17)</f>
        <v>20.7. Certificado de Cadastro de Imóvel Rural - CCIR; (se Imóvel Rural)------------------------------------------------------------------------------------------------------------------------------------------------------------------------</v>
      </c>
      <c r="P263" s="385"/>
      <c r="Q263" s="385"/>
      <c r="R263" s="385"/>
      <c r="S263" s="385"/>
      <c r="T263" s="385"/>
      <c r="U263" s="385"/>
      <c r="V263" s="385"/>
      <c r="W263" s="385"/>
      <c r="X263" s="385"/>
      <c r="Y263" s="385"/>
      <c r="Z263" s="385"/>
      <c r="AA263" s="385"/>
      <c r="AB263" s="9"/>
      <c r="AC263" s="380"/>
      <c r="AD263" s="8"/>
      <c r="AE263" s="379"/>
      <c r="AF263" s="7"/>
      <c r="AG263" s="80"/>
      <c r="AJ263" s="13">
        <f>IF(AND($AC$249="",$AA$249&gt;=1),1,0)</f>
        <v>1</v>
      </c>
      <c r="AK263" s="371" t="str">
        <f>IF(AND(AE263="",$AA$249&gt;=1,$AC$249="",AC263=""),"X","")</f>
        <v>X</v>
      </c>
      <c r="AL263" s="13">
        <f t="shared" ref="AL263" si="317">IF(AND(AC263&lt;&gt;"",AE263&lt;&gt;""),4,IF(AC263&lt;&gt;"",1,IF(AE263&lt;&gt;"",2,IF($AC$249&lt;&gt;"",3,0))))</f>
        <v>0</v>
      </c>
      <c r="AM263" s="13"/>
      <c r="AN263" s="188">
        <f t="shared" ref="AN263" si="318">IF(AND(AC263&lt;&gt;"",AE263&lt;&gt;""),1,IF(AL263&lt;&gt;0,0,1))</f>
        <v>1</v>
      </c>
      <c r="AO263" s="75">
        <f ca="1">SUM($AN$21:OFFSET(AO263,-2,-1))</f>
        <v>101</v>
      </c>
      <c r="AP263" s="75" t="str">
        <f t="shared" ref="AP263" ca="1" si="319">IF(AND(OFFSET(AP263,0,-18)="",AO263=0),AQ263,"XX")</f>
        <v>XX</v>
      </c>
      <c r="AQ263" s="75">
        <f>MAX($AE$21:AE261)</f>
        <v>0</v>
      </c>
      <c r="AR263" s="13">
        <f>IF(SUM(AE265:$AE$348)&gt;0,MIN(AE265:$AE$348),10000)</f>
        <v>10000</v>
      </c>
      <c r="AS263" s="14"/>
      <c r="AT263" s="14"/>
      <c r="AU263" s="75">
        <f t="shared" ref="AU263" si="320">IF(AND(AC263&lt;&gt;"",AE263&lt;&gt;""),4,0)</f>
        <v>0</v>
      </c>
      <c r="AV263" s="2" t="e">
        <f ca="1">IF(AND(AL263&lt;&gt;1,AL263&lt;&gt;3,AL263&lt;&gt;4),AP263+1,XX)</f>
        <v>#VALUE!</v>
      </c>
      <c r="AW263" s="2">
        <f>IF(AND(AL263&lt;&gt;1,AL263&lt;&gt;3,AL263&lt;&gt;4),AR263-1,XX)</f>
        <v>9999</v>
      </c>
    </row>
    <row r="264" spans="1:50" s="6" customFormat="1" ht="3" customHeight="1">
      <c r="A264" s="386"/>
      <c r="B264" s="371"/>
      <c r="H264" s="2"/>
      <c r="J264" s="70"/>
      <c r="L264" s="28"/>
      <c r="M264" s="251"/>
      <c r="N264" s="28"/>
      <c r="O264" s="36"/>
      <c r="P264" s="36"/>
      <c r="Q264" s="37"/>
      <c r="R264" s="37"/>
      <c r="S264" s="37"/>
      <c r="T264" s="37"/>
      <c r="U264" s="37"/>
      <c r="V264" s="37"/>
      <c r="W264" s="37"/>
      <c r="X264" s="37"/>
      <c r="Y264" s="37"/>
      <c r="Z264" s="37"/>
      <c r="AA264" s="37"/>
      <c r="AB264" s="12"/>
      <c r="AC264" s="190"/>
      <c r="AD264" s="8"/>
      <c r="AE264" s="370"/>
      <c r="AF264" s="28"/>
      <c r="AG264" s="2"/>
      <c r="AJ264" s="13"/>
      <c r="AK264" s="13"/>
      <c r="AL264" s="13"/>
      <c r="AM264" s="13"/>
      <c r="AN264" s="160"/>
      <c r="AO264" s="160"/>
      <c r="AP264" s="160"/>
      <c r="AQ264" s="160"/>
      <c r="AR264" s="13"/>
      <c r="AS264" s="161"/>
      <c r="AT264" s="161"/>
      <c r="AU264" s="160"/>
      <c r="AV264" s="161"/>
      <c r="AW264" s="161"/>
    </row>
    <row r="265" spans="1:50" ht="14.25" customHeight="1">
      <c r="A265" s="386"/>
      <c r="B265" s="371"/>
      <c r="H265" s="2">
        <v>1</v>
      </c>
      <c r="J265" s="71" t="str">
        <f>CONCATENATE(SUM($G$17:G265),".",SUM($H$249:H265))</f>
        <v>20.8</v>
      </c>
      <c r="K265" s="2" t="s">
        <v>337</v>
      </c>
      <c r="L265" s="7"/>
      <c r="M265" s="250"/>
      <c r="N265" s="370"/>
      <c r="O265" s="385" t="str">
        <f>CONCATENATE(J265,". ",K265,$K$17)</f>
        <v>20.8. Certidão Negativa de Débito de ITR; (se Imóvel Rural)------------------------------------------------------------------------------------------------------------------------------------------------------------------------</v>
      </c>
      <c r="P265" s="385"/>
      <c r="Q265" s="385"/>
      <c r="R265" s="385"/>
      <c r="S265" s="385"/>
      <c r="T265" s="385"/>
      <c r="U265" s="385"/>
      <c r="V265" s="385"/>
      <c r="W265" s="385"/>
      <c r="X265" s="385"/>
      <c r="Y265" s="385"/>
      <c r="Z265" s="385"/>
      <c r="AA265" s="385"/>
      <c r="AB265" s="9"/>
      <c r="AC265" s="380"/>
      <c r="AD265" s="8"/>
      <c r="AE265" s="379"/>
      <c r="AF265" s="7"/>
      <c r="AG265" s="80"/>
      <c r="AJ265" s="13">
        <f>IF(AND($AC$249="",$AA$249&gt;=1),1,0)</f>
        <v>1</v>
      </c>
      <c r="AK265" s="371" t="str">
        <f>IF(AND(AE265="",$AA$249&gt;=1,$AC$249="",AC265=""),"X","")</f>
        <v>X</v>
      </c>
      <c r="AL265" s="13">
        <f t="shared" ref="AL265" si="321">IF(AND(AC265&lt;&gt;"",AE265&lt;&gt;""),4,IF(AC265&lt;&gt;"",1,IF(AE265&lt;&gt;"",2,IF($AC$249&lt;&gt;"",3,0))))</f>
        <v>0</v>
      </c>
      <c r="AM265" s="13"/>
      <c r="AN265" s="188">
        <f t="shared" ref="AN265" si="322">IF(AND(AC265&lt;&gt;"",AE265&lt;&gt;""),1,IF(AL265&lt;&gt;0,0,1))</f>
        <v>1</v>
      </c>
      <c r="AO265" s="75">
        <f ca="1">SUM($AN$21:OFFSET(AO265,-2,-1))</f>
        <v>102</v>
      </c>
      <c r="AP265" s="75" t="str">
        <f t="shared" ref="AP265" ca="1" si="323">IF(AND(OFFSET(AP265,0,-18)="",AO265=0),AQ265,"XX")</f>
        <v>XX</v>
      </c>
      <c r="AQ265" s="75">
        <f>MAX($AE$21:AE263)</f>
        <v>0</v>
      </c>
      <c r="AR265" s="13">
        <f>IF(SUM(AE267:$AE$348)&gt;0,MIN(AE267:$AE$348),10000)</f>
        <v>10000</v>
      </c>
      <c r="AS265" s="14"/>
      <c r="AT265" s="14"/>
      <c r="AU265" s="75">
        <f t="shared" ref="AU265" si="324">IF(AND(AC265&lt;&gt;"",AE265&lt;&gt;""),4,0)</f>
        <v>0</v>
      </c>
      <c r="AV265" s="2" t="e">
        <f ca="1">IF(AND(AL265&lt;&gt;1,AL265&lt;&gt;3,AL265&lt;&gt;4),AP265+1,XX)</f>
        <v>#VALUE!</v>
      </c>
      <c r="AW265" s="2">
        <f>IF(AND(AL265&lt;&gt;1,AL265&lt;&gt;3,AL265&lt;&gt;4),AR265-1,XX)</f>
        <v>9999</v>
      </c>
    </row>
    <row r="266" spans="1:50" s="6" customFormat="1" ht="3" customHeight="1">
      <c r="A266" s="386"/>
      <c r="B266" s="371"/>
      <c r="J266" s="70"/>
      <c r="L266" s="28"/>
      <c r="M266" s="251"/>
      <c r="N266" s="28"/>
      <c r="O266" s="36"/>
      <c r="P266" s="36"/>
      <c r="Q266" s="37"/>
      <c r="R266" s="37"/>
      <c r="S266" s="37"/>
      <c r="T266" s="37"/>
      <c r="U266" s="37"/>
      <c r="V266" s="37"/>
      <c r="W266" s="37"/>
      <c r="X266" s="37"/>
      <c r="Y266" s="37"/>
      <c r="Z266" s="37"/>
      <c r="AA266" s="37"/>
      <c r="AB266" s="12"/>
      <c r="AC266" s="190"/>
      <c r="AD266" s="8"/>
      <c r="AE266" s="370"/>
      <c r="AF266" s="28"/>
      <c r="AG266" s="2"/>
      <c r="AJ266" s="13"/>
      <c r="AK266" s="13"/>
      <c r="AL266" s="13"/>
      <c r="AM266" s="13"/>
      <c r="AN266" s="160"/>
      <c r="AO266" s="160"/>
      <c r="AP266" s="160"/>
      <c r="AQ266" s="160"/>
      <c r="AR266" s="13"/>
      <c r="AS266" s="161"/>
      <c r="AT266" s="161"/>
      <c r="AU266" s="160"/>
      <c r="AV266" s="161"/>
      <c r="AW266" s="161"/>
    </row>
    <row r="267" spans="1:50" ht="14.25" customHeight="1">
      <c r="A267" s="386"/>
      <c r="B267" s="371"/>
      <c r="H267" s="2">
        <v>1</v>
      </c>
      <c r="J267" s="71" t="str">
        <f>CONCATENATE(SUM($G$17:G267),".",SUM($H$249:H267))</f>
        <v>20.9</v>
      </c>
      <c r="K267" s="2" t="s">
        <v>269</v>
      </c>
      <c r="L267" s="7"/>
      <c r="M267" s="250"/>
      <c r="N267" s="370"/>
      <c r="O267" s="385" t="str">
        <f>CONCATENATE(J267,". ",K267,$K$17)</f>
        <v>20.9. Declaração de Inexistência de Embargo vigentes; (se Imóvel Rural)------------------------------------------------------------------------------------------------------------------------------------------------------------------------</v>
      </c>
      <c r="P267" s="385"/>
      <c r="Q267" s="385"/>
      <c r="R267" s="385"/>
      <c r="S267" s="385"/>
      <c r="T267" s="385"/>
      <c r="U267" s="385"/>
      <c r="V267" s="385"/>
      <c r="W267" s="385"/>
      <c r="X267" s="385"/>
      <c r="Y267" s="385"/>
      <c r="Z267" s="385"/>
      <c r="AA267" s="385"/>
      <c r="AB267" s="9"/>
      <c r="AC267" s="380"/>
      <c r="AD267" s="8"/>
      <c r="AE267" s="379"/>
      <c r="AF267" s="7"/>
      <c r="AG267" s="80"/>
      <c r="AJ267" s="13">
        <f>IF(AND($AC$249="",$AA$249&gt;=1),1,0)</f>
        <v>1</v>
      </c>
      <c r="AK267" s="371" t="str">
        <f>IF(AND(AE267="",$AA$249&gt;=1,$AC$249="",AC267=""),"X","")</f>
        <v>X</v>
      </c>
      <c r="AL267" s="13">
        <f t="shared" ref="AL267" si="325">IF(AND(AC267&lt;&gt;"",AE267&lt;&gt;""),4,IF(AC267&lt;&gt;"",1,IF(AE267&lt;&gt;"",2,IF($AC$249&lt;&gt;"",3,0))))</f>
        <v>0</v>
      </c>
      <c r="AM267" s="13"/>
      <c r="AN267" s="188">
        <f t="shared" ref="AN267" si="326">IF(AND(AC267&lt;&gt;"",AE267&lt;&gt;""),1,IF(AL267&lt;&gt;0,0,1))</f>
        <v>1</v>
      </c>
      <c r="AO267" s="75">
        <f ca="1">SUM($AN$21:OFFSET(AO267,-2,-1))</f>
        <v>103</v>
      </c>
      <c r="AP267" s="75" t="str">
        <f t="shared" ref="AP267" ca="1" si="327">IF(AND(OFFSET(AP267,0,-18)="",AO267=0),AQ267,"XX")</f>
        <v>XX</v>
      </c>
      <c r="AQ267" s="75">
        <f>MAX($AE$21:AE265)</f>
        <v>0</v>
      </c>
      <c r="AR267" s="13">
        <f>IF(SUM(AE269:$AE$348)&gt;0,MIN(AE269:$AE$348),10000)</f>
        <v>10000</v>
      </c>
      <c r="AS267" s="14"/>
      <c r="AT267" s="14"/>
      <c r="AU267" s="75">
        <f t="shared" ref="AU267" si="328">IF(AND(AC267&lt;&gt;"",AE267&lt;&gt;""),4,0)</f>
        <v>0</v>
      </c>
      <c r="AV267" s="2" t="e">
        <f ca="1">IF(AND(AL267&lt;&gt;1,AL267&lt;&gt;3,AL267&lt;&gt;4),AP267+1,XX)</f>
        <v>#VALUE!</v>
      </c>
      <c r="AW267" s="2">
        <f>IF(AND(AL267&lt;&gt;1,AL267&lt;&gt;3,AL267&lt;&gt;4),AR267-1,XX)</f>
        <v>9999</v>
      </c>
    </row>
    <row r="268" spans="1:50" s="6" customFormat="1" ht="3" customHeight="1">
      <c r="A268" s="386"/>
      <c r="B268" s="371"/>
      <c r="H268" s="2"/>
      <c r="J268" s="70"/>
      <c r="L268" s="28"/>
      <c r="M268" s="251"/>
      <c r="N268" s="28"/>
      <c r="O268" s="36"/>
      <c r="P268" s="36"/>
      <c r="Q268" s="37"/>
      <c r="R268" s="37"/>
      <c r="S268" s="37"/>
      <c r="T268" s="37"/>
      <c r="U268" s="37"/>
      <c r="V268" s="37"/>
      <c r="W268" s="37"/>
      <c r="X268" s="37"/>
      <c r="Y268" s="37"/>
      <c r="Z268" s="37"/>
      <c r="AA268" s="37"/>
      <c r="AB268" s="12"/>
      <c r="AC268" s="190"/>
      <c r="AD268" s="8"/>
      <c r="AE268" s="370"/>
      <c r="AF268" s="28"/>
      <c r="AG268" s="2"/>
      <c r="AJ268" s="13"/>
      <c r="AK268" s="13"/>
      <c r="AL268" s="13"/>
      <c r="AM268" s="13"/>
      <c r="AN268" s="160"/>
      <c r="AO268" s="160"/>
      <c r="AP268" s="160"/>
      <c r="AQ268" s="160"/>
      <c r="AR268" s="13"/>
      <c r="AS268" s="161"/>
      <c r="AT268" s="161"/>
      <c r="AU268" s="160"/>
      <c r="AV268" s="161"/>
      <c r="AW268" s="161"/>
    </row>
    <row r="269" spans="1:50" ht="14.25" customHeight="1">
      <c r="A269" s="386"/>
      <c r="H269" s="2">
        <v>1</v>
      </c>
      <c r="J269" s="71" t="str">
        <f>CONCATENATE(SUM($G$17:G269),".",SUM($H$249:H269))</f>
        <v>20.10</v>
      </c>
      <c r="K269" s="2" t="s">
        <v>194</v>
      </c>
      <c r="L269" s="371"/>
      <c r="M269" s="250"/>
      <c r="N269" s="370"/>
      <c r="O269" s="385" t="str">
        <f>CONCATENATE(J269,". ",K269,$K$17)</f>
        <v>20.10. Certidão Negativa de Terra Indígena - expedida pela FUNAI; (se áreas próximas a reservas indígenas)------------------------------------------------------------------------------------------------------------------------------------------------------------------------</v>
      </c>
      <c r="P269" s="385"/>
      <c r="Q269" s="385"/>
      <c r="R269" s="385"/>
      <c r="S269" s="385"/>
      <c r="T269" s="385"/>
      <c r="U269" s="385"/>
      <c r="V269" s="385"/>
      <c r="W269" s="385"/>
      <c r="X269" s="385"/>
      <c r="Y269" s="385"/>
      <c r="Z269" s="385"/>
      <c r="AA269" s="385"/>
      <c r="AB269" s="9"/>
      <c r="AC269" s="380"/>
      <c r="AD269" s="8"/>
      <c r="AE269" s="379"/>
      <c r="AF269" s="7"/>
      <c r="AG269" s="80"/>
      <c r="AJ269" s="13">
        <f>IF(AND($AC$249="",$AA$249&gt;=1),1,0)</f>
        <v>1</v>
      </c>
      <c r="AK269" s="371" t="str">
        <f>IF(AND(AE269="",$AA$249&gt;=1,$AC$249="",AC269=""),"X","")</f>
        <v>X</v>
      </c>
      <c r="AL269" s="13">
        <f t="shared" ref="AL269" si="329">IF(AND(AC269&lt;&gt;"",AE269&lt;&gt;""),4,IF(AC269&lt;&gt;"",1,IF(AE269&lt;&gt;"",2,IF($AC$249&lt;&gt;"",3,0))))</f>
        <v>0</v>
      </c>
      <c r="AM269" s="13"/>
      <c r="AN269" s="188">
        <f t="shared" ref="AN269" si="330">IF(AND(AC269&lt;&gt;"",AE269&lt;&gt;""),1,IF(AL269&lt;&gt;0,0,1))</f>
        <v>1</v>
      </c>
      <c r="AO269" s="75">
        <f ca="1">SUM($AN$21:OFFSET(AO269,-2,-1))</f>
        <v>104</v>
      </c>
      <c r="AP269" s="75" t="str">
        <f t="shared" ref="AP269" ca="1" si="331">IF(AND(OFFSET(AP269,0,-18)="",AO269=0),AQ269,"XX")</f>
        <v>XX</v>
      </c>
      <c r="AQ269" s="75">
        <f>MAX($AE$21:AE267)</f>
        <v>0</v>
      </c>
      <c r="AR269" s="13">
        <f>IF(SUM(AE271:$AE$348)&gt;0,MIN(AE271:$AE$348),10000)</f>
        <v>10000</v>
      </c>
      <c r="AS269" s="14"/>
      <c r="AT269" s="14"/>
      <c r="AU269" s="75">
        <f t="shared" ref="AU269" si="332">IF(AND(AC269&lt;&gt;"",AE269&lt;&gt;""),4,0)</f>
        <v>0</v>
      </c>
      <c r="AV269" s="2" t="e">
        <f ca="1">IF(AND(AL269&lt;&gt;1,AL269&lt;&gt;3,AL269&lt;&gt;4),AP269+1,XX)</f>
        <v>#VALUE!</v>
      </c>
      <c r="AW269" s="2">
        <f>IF(AND(AL269&lt;&gt;1,AL269&lt;&gt;3,AL269&lt;&gt;4),AR269-1,XX)</f>
        <v>9999</v>
      </c>
    </row>
    <row r="270" spans="1:50" ht="3" customHeight="1">
      <c r="A270" s="386"/>
      <c r="M270" s="250"/>
      <c r="N270" s="121"/>
      <c r="O270" s="18"/>
      <c r="P270" s="18"/>
      <c r="Q270" s="19"/>
      <c r="R270" s="19"/>
      <c r="S270" s="19"/>
      <c r="T270" s="19"/>
      <c r="U270" s="19"/>
      <c r="V270" s="19"/>
      <c r="W270" s="19"/>
      <c r="X270" s="19"/>
      <c r="Y270" s="19"/>
      <c r="Z270" s="19"/>
      <c r="AA270" s="19"/>
      <c r="AB270" s="20"/>
      <c r="AC270" s="21"/>
      <c r="AD270" s="8"/>
      <c r="AE270" s="370"/>
      <c r="AF270" s="7"/>
      <c r="AG270" s="2"/>
      <c r="AH270" s="7"/>
      <c r="AI270" s="7"/>
      <c r="AJ270" s="371"/>
      <c r="AL270" s="371"/>
      <c r="AM270" s="13"/>
      <c r="AN270" s="160"/>
      <c r="AO270" s="160"/>
      <c r="AP270" s="160"/>
      <c r="AQ270" s="160"/>
      <c r="AR270" s="160"/>
      <c r="AS270" s="161"/>
      <c r="AT270" s="161"/>
      <c r="AU270" s="160"/>
      <c r="AV270" s="161"/>
      <c r="AW270" s="161"/>
    </row>
    <row r="271" spans="1:50" ht="3" customHeight="1">
      <c r="A271" s="78"/>
      <c r="M271" s="250"/>
      <c r="N271" s="121"/>
      <c r="O271" s="93"/>
      <c r="P271" s="93"/>
      <c r="Q271" s="94"/>
      <c r="R271" s="94"/>
      <c r="S271" s="94"/>
      <c r="T271" s="94"/>
      <c r="U271" s="94"/>
      <c r="V271" s="94"/>
      <c r="W271" s="94"/>
      <c r="X271" s="94"/>
      <c r="Y271" s="94"/>
      <c r="Z271" s="94"/>
      <c r="AA271" s="94"/>
      <c r="AB271" s="95"/>
      <c r="AC271" s="96"/>
      <c r="AD271" s="86"/>
      <c r="AE271" s="97"/>
      <c r="AF271" s="98"/>
      <c r="AG271" s="98"/>
      <c r="AH271" s="7"/>
      <c r="AI271" s="7"/>
      <c r="AM271" s="13"/>
      <c r="AN271" s="188"/>
      <c r="AO271" s="75"/>
      <c r="AP271" s="75"/>
      <c r="AQ271" s="75"/>
      <c r="AR271" s="75"/>
      <c r="AS271" s="14"/>
      <c r="AT271" s="14"/>
      <c r="AU271" s="75"/>
    </row>
    <row r="272" spans="1:50" ht="17.25" customHeight="1">
      <c r="L272" s="7"/>
      <c r="M272" s="250"/>
      <c r="O272" s="394" t="str">
        <f>IF(AU272=1,"Item em destaque preenchido de forma indevida",IF(AU272&gt;1,"Itens em destaque preenchidos de forma indevida",IF(O273&lt;&gt;"","Proposta não está pronta para internalização ao Banco","")))</f>
        <v/>
      </c>
      <c r="P272" s="394"/>
      <c r="Q272" s="394"/>
      <c r="R272" s="394"/>
      <c r="S272" s="394"/>
      <c r="T272" s="394"/>
      <c r="U272" s="394"/>
      <c r="V272" s="394"/>
      <c r="W272" s="394"/>
      <c r="X272" s="394"/>
      <c r="Y272" s="394"/>
      <c r="Z272" s="394"/>
      <c r="AA272" s="394"/>
      <c r="AB272" s="394"/>
      <c r="AC272" s="394"/>
      <c r="AD272" s="394"/>
      <c r="AE272" s="394"/>
      <c r="AF272" s="394"/>
      <c r="AG272" s="394"/>
      <c r="AH272" s="7"/>
      <c r="AI272" s="7"/>
      <c r="AM272" s="13"/>
      <c r="AN272" s="160"/>
      <c r="AO272" s="160"/>
      <c r="AP272" s="160"/>
      <c r="AQ272" s="160"/>
      <c r="AR272" s="160"/>
      <c r="AS272" s="161"/>
      <c r="AT272" s="161"/>
      <c r="AU272" s="160"/>
      <c r="AV272" s="161"/>
      <c r="AW272" s="161"/>
      <c r="AX272" s="76" t="str">
        <f>IF(SUM(ImovGarantia_3:ImovSup_3)&gt;0,SUM(ImovGar1:ImovGar2),IF(SUM(ImovGar4:ImovGar5)&gt;1,SUM($BB$249:BB272),"-"))</f>
        <v>-</v>
      </c>
    </row>
    <row r="273" spans="12:49" ht="17.25" customHeight="1">
      <c r="L273" s="7"/>
      <c r="M273" s="250"/>
      <c r="O273" s="407" t="str">
        <f>IF(AND(AN351&lt;AJ351,AN351&gt;0),AN361,"")</f>
        <v/>
      </c>
      <c r="P273" s="407"/>
      <c r="Q273" s="407"/>
      <c r="R273" s="407"/>
      <c r="S273" s="407"/>
      <c r="T273" s="407"/>
      <c r="U273" s="407"/>
      <c r="V273" s="407"/>
      <c r="W273" s="407"/>
      <c r="X273" s="407"/>
      <c r="Y273" s="407"/>
      <c r="Z273" s="407"/>
      <c r="AA273" s="407"/>
      <c r="AB273" s="407"/>
      <c r="AC273" s="407"/>
      <c r="AD273" s="407"/>
      <c r="AE273" s="407"/>
      <c r="AF273" s="407"/>
      <c r="AG273" s="407"/>
      <c r="AH273" s="7"/>
      <c r="AI273" s="7"/>
      <c r="AM273" s="13"/>
      <c r="AN273" s="188"/>
      <c r="AO273" s="75"/>
      <c r="AP273" s="75"/>
      <c r="AQ273" s="75"/>
      <c r="AR273" s="75"/>
      <c r="AS273" s="14"/>
      <c r="AT273" s="14"/>
      <c r="AU273" s="75"/>
    </row>
    <row r="274" spans="12:49" ht="6" customHeight="1">
      <c r="L274" s="7"/>
      <c r="M274" s="250"/>
      <c r="N274" s="135"/>
      <c r="O274" s="23"/>
      <c r="P274" s="23"/>
      <c r="Q274" s="22"/>
      <c r="R274" s="24"/>
      <c r="S274" s="24"/>
      <c r="T274" s="24"/>
      <c r="U274" s="24"/>
      <c r="V274" s="24"/>
      <c r="W274" s="24"/>
      <c r="X274" s="24"/>
      <c r="Y274" s="24"/>
      <c r="Z274" s="24"/>
      <c r="AA274" s="24"/>
      <c r="AB274" s="24"/>
      <c r="AC274" s="24"/>
      <c r="AD274" s="8"/>
      <c r="AE274" s="11"/>
      <c r="AF274" s="7"/>
      <c r="AG274" s="7"/>
      <c r="AH274" s="7"/>
      <c r="AI274" s="7"/>
      <c r="AM274" s="13"/>
      <c r="AN274" s="160"/>
      <c r="AO274" s="160"/>
      <c r="AP274" s="160"/>
      <c r="AQ274" s="160"/>
      <c r="AR274" s="160"/>
      <c r="AS274" s="161"/>
      <c r="AT274" s="161"/>
      <c r="AU274" s="160"/>
      <c r="AV274" s="161"/>
      <c r="AW274" s="161"/>
    </row>
    <row r="275" spans="12:49" ht="3.75" customHeight="1">
      <c r="L275" s="7"/>
      <c r="M275" s="250"/>
      <c r="N275" s="135"/>
      <c r="O275" s="82"/>
      <c r="P275" s="83"/>
      <c r="Q275" s="84"/>
      <c r="R275" s="85"/>
      <c r="S275" s="85"/>
      <c r="T275" s="85"/>
      <c r="U275" s="85"/>
      <c r="V275" s="85"/>
      <c r="W275" s="85"/>
      <c r="X275" s="85"/>
      <c r="Y275" s="85"/>
      <c r="Z275" s="85"/>
      <c r="AA275" s="85"/>
      <c r="AB275" s="85"/>
      <c r="AC275" s="85"/>
      <c r="AD275" s="86"/>
      <c r="AE275" s="97"/>
      <c r="AF275" s="98"/>
      <c r="AG275" s="153"/>
      <c r="AH275" s="7"/>
      <c r="AI275" s="7"/>
      <c r="AM275" s="13"/>
      <c r="AN275" s="188"/>
      <c r="AO275" s="75"/>
      <c r="AP275" s="75"/>
      <c r="AQ275" s="75"/>
      <c r="AR275" s="75"/>
      <c r="AS275" s="14"/>
      <c r="AT275" s="14"/>
      <c r="AU275" s="75"/>
    </row>
    <row r="276" spans="12:49" ht="12" customHeight="1">
      <c r="L276" s="7"/>
      <c r="M276" s="250"/>
      <c r="N276" s="135"/>
      <c r="O276" s="455" t="s">
        <v>181</v>
      </c>
      <c r="P276" s="395"/>
      <c r="Q276" s="395"/>
      <c r="R276" s="395"/>
      <c r="S276" s="66"/>
      <c r="T276" s="395" t="s">
        <v>179</v>
      </c>
      <c r="U276" s="395"/>
      <c r="V276" s="395"/>
      <c r="W276" s="395"/>
      <c r="X276" s="395"/>
      <c r="Y276" s="395"/>
      <c r="Z276" s="395"/>
      <c r="AA276" s="395"/>
      <c r="AB276" s="395"/>
      <c r="AC276" s="395"/>
      <c r="AD276" s="395"/>
      <c r="AE276" s="395"/>
      <c r="AF276" s="395"/>
      <c r="AG276" s="396"/>
      <c r="AH276" s="7"/>
      <c r="AI276" s="7"/>
      <c r="AM276" s="13"/>
      <c r="AN276" s="160"/>
      <c r="AO276" s="160"/>
      <c r="AP276" s="160"/>
      <c r="AQ276" s="160"/>
      <c r="AR276" s="160"/>
      <c r="AS276" s="161"/>
      <c r="AT276" s="161"/>
      <c r="AU276" s="160"/>
      <c r="AV276" s="161"/>
      <c r="AW276" s="161"/>
    </row>
    <row r="277" spans="12:49" ht="18.75" customHeight="1">
      <c r="L277" s="7"/>
      <c r="M277" s="250"/>
      <c r="N277" s="135"/>
      <c r="O277" s="397" t="s">
        <v>333</v>
      </c>
      <c r="P277" s="398"/>
      <c r="Q277" s="398"/>
      <c r="R277" s="398"/>
      <c r="S277" s="45"/>
      <c r="T277" s="399" t="s">
        <v>333</v>
      </c>
      <c r="U277" s="399"/>
      <c r="V277" s="399"/>
      <c r="W277" s="399"/>
      <c r="X277" s="399"/>
      <c r="Y277" s="399"/>
      <c r="Z277" s="399"/>
      <c r="AA277" s="399"/>
      <c r="AB277" s="399"/>
      <c r="AC277" s="399"/>
      <c r="AD277" s="399"/>
      <c r="AE277" s="399"/>
      <c r="AF277" s="399"/>
      <c r="AG277" s="400"/>
      <c r="AH277" s="7"/>
      <c r="AI277" s="7"/>
      <c r="AM277" s="13"/>
      <c r="AN277" s="188"/>
      <c r="AO277" s="75"/>
      <c r="AP277" s="75"/>
      <c r="AQ277" s="75"/>
      <c r="AR277" s="75"/>
      <c r="AS277" s="14"/>
      <c r="AT277" s="14"/>
      <c r="AU277" s="75"/>
    </row>
    <row r="278" spans="12:49" ht="15" customHeight="1">
      <c r="L278" s="7"/>
      <c r="M278" s="250"/>
      <c r="N278" s="135"/>
      <c r="O278" s="430"/>
      <c r="P278" s="431"/>
      <c r="Q278" s="431"/>
      <c r="R278" s="431"/>
      <c r="S278" s="67"/>
      <c r="T278" s="403" t="str">
        <f>IF(O9&lt;&gt;"",O9,"")</f>
        <v/>
      </c>
      <c r="U278" s="403"/>
      <c r="V278" s="403"/>
      <c r="W278" s="403"/>
      <c r="X278" s="403"/>
      <c r="Y278" s="403"/>
      <c r="Z278" s="403"/>
      <c r="AA278" s="403"/>
      <c r="AB278" s="403"/>
      <c r="AC278" s="403"/>
      <c r="AD278" s="403"/>
      <c r="AE278" s="403"/>
      <c r="AF278" s="7"/>
      <c r="AG278" s="154"/>
      <c r="AH278" s="7"/>
      <c r="AI278" s="7"/>
      <c r="AM278" s="13"/>
      <c r="AN278" s="160"/>
      <c r="AO278" s="160"/>
      <c r="AP278" s="160"/>
      <c r="AQ278" s="160"/>
      <c r="AR278" s="160"/>
      <c r="AS278" s="161"/>
      <c r="AT278" s="161"/>
      <c r="AU278" s="160"/>
      <c r="AV278" s="161"/>
      <c r="AW278" s="161"/>
    </row>
    <row r="279" spans="12:49" ht="6" customHeight="1">
      <c r="L279" s="7"/>
      <c r="M279" s="250"/>
      <c r="N279" s="135"/>
      <c r="O279" s="88"/>
      <c r="P279" s="89"/>
      <c r="Q279" s="90"/>
      <c r="R279" s="91"/>
      <c r="S279" s="91"/>
      <c r="T279" s="91"/>
      <c r="U279" s="91"/>
      <c r="V279" s="91"/>
      <c r="W279" s="91"/>
      <c r="X279" s="91"/>
      <c r="Y279" s="91"/>
      <c r="Z279" s="91"/>
      <c r="AA279" s="91"/>
      <c r="AB279" s="91"/>
      <c r="AC279" s="91"/>
      <c r="AD279" s="92"/>
      <c r="AE279" s="151"/>
      <c r="AF279" s="100"/>
      <c r="AG279" s="155"/>
      <c r="AH279" s="7"/>
      <c r="AI279" s="7"/>
      <c r="AM279" s="13"/>
      <c r="AN279" s="188"/>
      <c r="AO279" s="75"/>
      <c r="AP279" s="75"/>
      <c r="AQ279" s="75"/>
      <c r="AR279" s="75"/>
      <c r="AS279" s="14"/>
      <c r="AT279" s="14"/>
      <c r="AU279" s="75"/>
    </row>
    <row r="280" spans="12:49" ht="8.25" customHeight="1">
      <c r="L280" s="7"/>
      <c r="M280" s="250"/>
      <c r="N280" s="135"/>
      <c r="O280" s="48"/>
      <c r="P280" s="48"/>
      <c r="Q280" s="47"/>
      <c r="R280" s="45"/>
      <c r="S280" s="45"/>
      <c r="T280" s="45"/>
      <c r="U280" s="45"/>
      <c r="V280" s="45"/>
      <c r="W280" s="45"/>
      <c r="X280" s="45"/>
      <c r="Y280" s="45"/>
      <c r="Z280" s="45"/>
      <c r="AA280" s="45"/>
      <c r="AB280" s="45"/>
      <c r="AC280" s="45"/>
      <c r="AD280" s="46"/>
      <c r="AE280" s="49"/>
      <c r="AF280" s="7"/>
      <c r="AG280" s="7"/>
      <c r="AH280" s="7"/>
      <c r="AI280" s="7"/>
      <c r="AM280" s="13"/>
      <c r="AN280" s="160"/>
      <c r="AO280" s="160"/>
      <c r="AP280" s="160"/>
      <c r="AQ280" s="160"/>
      <c r="AR280" s="160"/>
      <c r="AS280" s="161"/>
      <c r="AT280" s="161"/>
      <c r="AU280" s="160"/>
      <c r="AV280" s="161"/>
      <c r="AW280" s="161"/>
    </row>
    <row r="281" spans="12:49" ht="6" customHeight="1">
      <c r="L281" s="7"/>
      <c r="M281" s="250"/>
      <c r="N281" s="135"/>
      <c r="O281" s="101"/>
      <c r="P281" s="102"/>
      <c r="Q281" s="103"/>
      <c r="R281" s="104"/>
      <c r="S281" s="45"/>
      <c r="T281" s="111"/>
      <c r="U281" s="112"/>
      <c r="V281" s="112"/>
      <c r="W281" s="112"/>
      <c r="X281" s="112"/>
      <c r="Y281" s="112"/>
      <c r="Z281" s="112"/>
      <c r="AA281" s="112"/>
      <c r="AB281" s="112"/>
      <c r="AC281" s="112"/>
      <c r="AD281" s="113"/>
      <c r="AE281" s="152"/>
      <c r="AF281" s="98"/>
      <c r="AG281" s="153"/>
      <c r="AH281" s="7"/>
      <c r="AI281" s="7"/>
      <c r="AM281" s="13"/>
      <c r="AN281" s="188"/>
      <c r="AO281" s="75"/>
      <c r="AP281" s="75"/>
      <c r="AQ281" s="75"/>
      <c r="AR281" s="75"/>
      <c r="AS281" s="14"/>
      <c r="AT281" s="14"/>
      <c r="AU281" s="75"/>
    </row>
    <row r="282" spans="12:49" ht="12.75" customHeight="1">
      <c r="L282" s="7"/>
      <c r="M282" s="250"/>
      <c r="N282" s="135"/>
      <c r="O282" s="404" t="s">
        <v>27</v>
      </c>
      <c r="P282" s="405"/>
      <c r="Q282" s="405"/>
      <c r="R282" s="406"/>
      <c r="S282" s="50"/>
      <c r="T282" s="404" t="s">
        <v>31</v>
      </c>
      <c r="U282" s="405"/>
      <c r="V282" s="405"/>
      <c r="W282" s="405"/>
      <c r="X282" s="405"/>
      <c r="Y282" s="405"/>
      <c r="Z282" s="405"/>
      <c r="AA282" s="405"/>
      <c r="AB282" s="405"/>
      <c r="AC282" s="405"/>
      <c r="AD282" s="405"/>
      <c r="AE282" s="405"/>
      <c r="AF282" s="405"/>
      <c r="AG282" s="406"/>
      <c r="AH282" s="7"/>
      <c r="AI282" s="7"/>
      <c r="AM282" s="13"/>
      <c r="AN282" s="160"/>
      <c r="AO282" s="160"/>
      <c r="AP282" s="160"/>
      <c r="AQ282" s="160"/>
      <c r="AR282" s="160"/>
      <c r="AS282" s="161"/>
      <c r="AT282" s="161"/>
      <c r="AU282" s="160"/>
      <c r="AV282" s="161"/>
      <c r="AW282" s="161"/>
    </row>
    <row r="283" spans="12:49" ht="20.25" customHeight="1">
      <c r="L283" s="7"/>
      <c r="M283" s="250"/>
      <c r="N283" s="135"/>
      <c r="O283" s="105"/>
      <c r="P283" s="50"/>
      <c r="Q283" s="50"/>
      <c r="R283" s="106"/>
      <c r="S283" s="50"/>
      <c r="T283" s="105"/>
      <c r="U283" s="50"/>
      <c r="V283" s="50"/>
      <c r="W283" s="50"/>
      <c r="X283" s="50"/>
      <c r="Y283" s="50"/>
      <c r="Z283" s="50"/>
      <c r="AA283" s="50"/>
      <c r="AB283" s="51"/>
      <c r="AC283" s="52"/>
      <c r="AD283" s="46"/>
      <c r="AE283" s="49"/>
      <c r="AF283" s="7"/>
      <c r="AG283" s="154"/>
      <c r="AH283" s="7"/>
      <c r="AI283" s="7"/>
      <c r="AM283" s="13"/>
      <c r="AN283" s="188"/>
      <c r="AO283" s="75"/>
      <c r="AP283" s="75"/>
      <c r="AQ283" s="75"/>
      <c r="AR283" s="75"/>
      <c r="AS283" s="14"/>
      <c r="AT283" s="14"/>
      <c r="AU283" s="75"/>
    </row>
    <row r="284" spans="12:49" ht="21" customHeight="1">
      <c r="L284" s="7"/>
      <c r="M284" s="250"/>
      <c r="N284" s="121"/>
      <c r="O284" s="390" t="s">
        <v>28</v>
      </c>
      <c r="P284" s="391"/>
      <c r="Q284" s="391"/>
      <c r="R284" s="393"/>
      <c r="S284" s="50"/>
      <c r="T284" s="105"/>
      <c r="U284" s="7"/>
      <c r="V284" s="7"/>
      <c r="W284" s="7"/>
      <c r="X284" s="7"/>
      <c r="Y284" s="7"/>
      <c r="Z284" s="7"/>
      <c r="AA284" s="7"/>
      <c r="AB284" s="7"/>
      <c r="AC284" s="7"/>
      <c r="AD284" s="99"/>
      <c r="AE284" s="49"/>
      <c r="AF284" s="7"/>
      <c r="AG284" s="154"/>
      <c r="AH284" s="7"/>
      <c r="AI284" s="7"/>
      <c r="AM284" s="13"/>
      <c r="AN284" s="160"/>
      <c r="AO284" s="160"/>
      <c r="AP284" s="160"/>
      <c r="AQ284" s="160"/>
      <c r="AR284" s="160"/>
      <c r="AS284" s="161"/>
      <c r="AT284" s="161"/>
      <c r="AU284" s="160"/>
      <c r="AV284" s="161"/>
      <c r="AW284" s="161"/>
    </row>
    <row r="285" spans="12:49" ht="20.25" customHeight="1">
      <c r="L285" s="7"/>
      <c r="M285" s="250"/>
      <c r="N285" s="121"/>
      <c r="O285" s="390" t="s">
        <v>183</v>
      </c>
      <c r="P285" s="391"/>
      <c r="Q285" s="391"/>
      <c r="R285" s="393"/>
      <c r="S285" s="50"/>
      <c r="T285" s="105"/>
      <c r="U285" s="7"/>
      <c r="V285" s="7"/>
      <c r="W285" s="7"/>
      <c r="X285" s="7"/>
      <c r="Y285" s="7"/>
      <c r="Z285" s="7"/>
      <c r="AA285" s="7"/>
      <c r="AB285" s="7"/>
      <c r="AC285" s="7"/>
      <c r="AD285" s="99"/>
      <c r="AE285" s="49"/>
      <c r="AF285" s="7"/>
      <c r="AG285" s="154"/>
      <c r="AH285" s="7"/>
      <c r="AI285" s="7"/>
      <c r="AM285" s="13"/>
      <c r="AN285" s="188"/>
      <c r="AO285" s="75"/>
      <c r="AP285" s="75"/>
      <c r="AQ285" s="75"/>
      <c r="AR285" s="75"/>
      <c r="AS285" s="14"/>
      <c r="AT285" s="14"/>
      <c r="AU285" s="75"/>
    </row>
    <row r="286" spans="12:49" ht="32.25" customHeight="1">
      <c r="L286" s="7"/>
      <c r="M286" s="250"/>
      <c r="N286" s="121"/>
      <c r="O286" s="387" t="s">
        <v>184</v>
      </c>
      <c r="P286" s="388"/>
      <c r="Q286" s="388"/>
      <c r="R286" s="389"/>
      <c r="S286" s="50"/>
      <c r="T286" s="105"/>
      <c r="U286" s="7"/>
      <c r="V286" s="7"/>
      <c r="W286" s="7"/>
      <c r="X286" s="7"/>
      <c r="Y286" s="7"/>
      <c r="Z286" s="7"/>
      <c r="AA286" s="7"/>
      <c r="AB286" s="7"/>
      <c r="AC286" s="7"/>
      <c r="AD286" s="99"/>
      <c r="AE286" s="49"/>
      <c r="AF286" s="7"/>
      <c r="AG286" s="154"/>
      <c r="AH286" s="7"/>
      <c r="AI286" s="7"/>
      <c r="AM286" s="13"/>
      <c r="AN286" s="160"/>
      <c r="AO286" s="160"/>
      <c r="AP286" s="160"/>
      <c r="AQ286" s="160"/>
      <c r="AR286" s="160"/>
      <c r="AS286" s="161"/>
      <c r="AT286" s="161"/>
      <c r="AU286" s="160"/>
      <c r="AV286" s="161"/>
      <c r="AW286" s="161"/>
    </row>
    <row r="287" spans="12:49" ht="15">
      <c r="L287" s="7"/>
      <c r="M287" s="250"/>
      <c r="N287" s="121"/>
      <c r="O287" s="387" t="s">
        <v>182</v>
      </c>
      <c r="P287" s="388"/>
      <c r="Q287" s="388"/>
      <c r="R287" s="389"/>
      <c r="S287" s="44"/>
      <c r="T287" s="390" t="s">
        <v>339</v>
      </c>
      <c r="U287" s="391"/>
      <c r="V287" s="391"/>
      <c r="W287" s="391"/>
      <c r="X287" s="391"/>
      <c r="Y287" s="391"/>
      <c r="Z287" s="391"/>
      <c r="AA287" s="391"/>
      <c r="AB287" s="391"/>
      <c r="AC287" s="391"/>
      <c r="AD287" s="391"/>
      <c r="AE287" s="391"/>
      <c r="AF287" s="391"/>
      <c r="AG287" s="393"/>
      <c r="AH287" s="7"/>
      <c r="AI287" s="7"/>
      <c r="AM287" s="13"/>
      <c r="AN287" s="188"/>
      <c r="AO287" s="75"/>
      <c r="AP287" s="75"/>
      <c r="AQ287" s="75"/>
      <c r="AR287" s="75"/>
      <c r="AS287" s="14"/>
      <c r="AT287" s="14"/>
      <c r="AU287" s="75"/>
    </row>
    <row r="288" spans="12:49" ht="15">
      <c r="L288" s="7"/>
      <c r="M288" s="250"/>
      <c r="N288" s="121"/>
      <c r="O288" s="390" t="s">
        <v>29</v>
      </c>
      <c r="P288" s="391"/>
      <c r="Q288" s="391"/>
      <c r="R288" s="393"/>
      <c r="S288" s="44"/>
      <c r="T288" s="390"/>
      <c r="U288" s="391"/>
      <c r="V288" s="391"/>
      <c r="W288" s="391"/>
      <c r="X288" s="391"/>
      <c r="Y288" s="391"/>
      <c r="Z288" s="391"/>
      <c r="AA288" s="391"/>
      <c r="AB288" s="391"/>
      <c r="AC288" s="391"/>
      <c r="AD288" s="391"/>
      <c r="AE288" s="392"/>
      <c r="AF288" s="7"/>
      <c r="AG288" s="154"/>
      <c r="AH288" s="7"/>
      <c r="AI288" s="7"/>
      <c r="AM288" s="13"/>
      <c r="AN288" s="160"/>
      <c r="AO288" s="160"/>
      <c r="AP288" s="160"/>
      <c r="AQ288" s="160"/>
      <c r="AR288" s="160"/>
      <c r="AS288" s="161"/>
      <c r="AT288" s="161"/>
      <c r="AU288" s="160"/>
      <c r="AV288" s="161"/>
      <c r="AW288" s="161"/>
    </row>
    <row r="289" spans="1:49" ht="20.25" customHeight="1">
      <c r="L289" s="7"/>
      <c r="M289" s="250"/>
      <c r="N289" s="121"/>
      <c r="O289" s="390" t="s">
        <v>183</v>
      </c>
      <c r="P289" s="391"/>
      <c r="Q289" s="391"/>
      <c r="R289" s="393"/>
      <c r="S289" s="44"/>
      <c r="T289" s="390" t="s">
        <v>183</v>
      </c>
      <c r="U289" s="391"/>
      <c r="V289" s="391"/>
      <c r="W289" s="391"/>
      <c r="X289" s="391"/>
      <c r="Y289" s="391"/>
      <c r="Z289" s="391"/>
      <c r="AA289" s="391"/>
      <c r="AB289" s="391"/>
      <c r="AC289" s="391"/>
      <c r="AD289" s="391"/>
      <c r="AE289" s="391"/>
      <c r="AF289" s="391"/>
      <c r="AG289" s="393"/>
      <c r="AH289" s="7"/>
      <c r="AI289" s="7"/>
      <c r="AM289" s="13"/>
      <c r="AN289" s="188"/>
      <c r="AO289" s="75"/>
      <c r="AP289" s="75"/>
      <c r="AQ289" s="75"/>
      <c r="AR289" s="75"/>
      <c r="AS289" s="14"/>
      <c r="AT289" s="14"/>
      <c r="AU289" s="75"/>
    </row>
    <row r="290" spans="1:49" ht="32.25" customHeight="1">
      <c r="L290" s="7"/>
      <c r="M290" s="250"/>
      <c r="N290" s="121"/>
      <c r="O290" s="387" t="s">
        <v>184</v>
      </c>
      <c r="P290" s="388"/>
      <c r="Q290" s="388"/>
      <c r="R290" s="389"/>
      <c r="S290" s="44"/>
      <c r="T290" s="387" t="s">
        <v>184</v>
      </c>
      <c r="U290" s="388"/>
      <c r="V290" s="388"/>
      <c r="W290" s="388"/>
      <c r="X290" s="388"/>
      <c r="Y290" s="388"/>
      <c r="Z290" s="388"/>
      <c r="AA290" s="388"/>
      <c r="AB290" s="388"/>
      <c r="AC290" s="388"/>
      <c r="AD290" s="388"/>
      <c r="AE290" s="388"/>
      <c r="AF290" s="388"/>
      <c r="AG290" s="389"/>
      <c r="AH290" s="7"/>
      <c r="AI290" s="7"/>
      <c r="AM290" s="13"/>
      <c r="AN290" s="160"/>
      <c r="AO290" s="160"/>
      <c r="AP290" s="160"/>
      <c r="AQ290" s="160"/>
      <c r="AR290" s="160"/>
      <c r="AS290" s="161"/>
      <c r="AT290" s="161"/>
      <c r="AU290" s="160"/>
      <c r="AV290" s="161"/>
      <c r="AW290" s="161"/>
    </row>
    <row r="291" spans="1:49" ht="15.75" customHeight="1">
      <c r="L291" s="7"/>
      <c r="M291" s="250"/>
      <c r="N291" s="121"/>
      <c r="O291" s="387" t="s">
        <v>182</v>
      </c>
      <c r="P291" s="388"/>
      <c r="Q291" s="388"/>
      <c r="R291" s="389"/>
      <c r="S291" s="44"/>
      <c r="T291" s="390"/>
      <c r="U291" s="391"/>
      <c r="V291" s="391"/>
      <c r="W291" s="391"/>
      <c r="X291" s="391"/>
      <c r="Y291" s="391"/>
      <c r="Z291" s="391"/>
      <c r="AA291" s="391"/>
      <c r="AB291" s="391"/>
      <c r="AC291" s="391"/>
      <c r="AD291" s="391"/>
      <c r="AE291" s="392"/>
      <c r="AF291" s="7"/>
      <c r="AG291" s="154"/>
      <c r="AH291" s="7"/>
      <c r="AI291" s="7"/>
      <c r="AM291" s="13"/>
      <c r="AN291" s="188"/>
      <c r="AO291" s="75"/>
      <c r="AP291" s="75"/>
      <c r="AQ291" s="75"/>
      <c r="AR291" s="75"/>
      <c r="AS291" s="14"/>
      <c r="AT291" s="14"/>
      <c r="AU291" s="75"/>
    </row>
    <row r="292" spans="1:49" ht="20.25" customHeight="1">
      <c r="L292" s="7"/>
      <c r="M292" s="250"/>
      <c r="N292" s="121"/>
      <c r="O292" s="390" t="s">
        <v>30</v>
      </c>
      <c r="P292" s="391"/>
      <c r="Q292" s="391"/>
      <c r="R292" s="393"/>
      <c r="S292" s="44"/>
      <c r="T292" s="390"/>
      <c r="U292" s="391"/>
      <c r="V292" s="391"/>
      <c r="W292" s="391"/>
      <c r="X292" s="391"/>
      <c r="Y292" s="391"/>
      <c r="Z292" s="391"/>
      <c r="AA292" s="391"/>
      <c r="AB292" s="391"/>
      <c r="AC292" s="391"/>
      <c r="AD292" s="391"/>
      <c r="AE292" s="392"/>
      <c r="AF292" s="7"/>
      <c r="AG292" s="154"/>
      <c r="AH292" s="7"/>
      <c r="AI292" s="7"/>
      <c r="AM292" s="13"/>
      <c r="AN292" s="160"/>
      <c r="AO292" s="160"/>
      <c r="AP292" s="160"/>
      <c r="AQ292" s="160"/>
      <c r="AR292" s="160"/>
      <c r="AS292" s="161"/>
      <c r="AT292" s="161"/>
      <c r="AU292" s="160"/>
      <c r="AV292" s="161"/>
      <c r="AW292" s="161"/>
    </row>
    <row r="293" spans="1:49" ht="20.25" customHeight="1">
      <c r="L293" s="7"/>
      <c r="M293" s="250"/>
      <c r="N293" s="121"/>
      <c r="O293" s="390" t="s">
        <v>183</v>
      </c>
      <c r="P293" s="391"/>
      <c r="Q293" s="391"/>
      <c r="R293" s="393"/>
      <c r="S293" s="44"/>
      <c r="T293" s="387"/>
      <c r="U293" s="388"/>
      <c r="V293" s="388"/>
      <c r="W293" s="388"/>
      <c r="X293" s="388"/>
      <c r="Y293" s="388"/>
      <c r="Z293" s="388"/>
      <c r="AA293" s="388"/>
      <c r="AB293" s="388"/>
      <c r="AC293" s="388"/>
      <c r="AD293" s="388"/>
      <c r="AE293" s="392"/>
      <c r="AF293" s="7"/>
      <c r="AG293" s="154"/>
      <c r="AH293" s="7"/>
      <c r="AI293" s="7"/>
      <c r="AM293" s="13"/>
      <c r="AN293" s="188"/>
      <c r="AO293" s="75"/>
      <c r="AP293" s="75"/>
      <c r="AQ293" s="75"/>
      <c r="AR293" s="75"/>
      <c r="AS293" s="14"/>
      <c r="AT293" s="14"/>
      <c r="AU293" s="75"/>
    </row>
    <row r="294" spans="1:49" ht="27.75" customHeight="1">
      <c r="L294" s="7"/>
      <c r="M294" s="250"/>
      <c r="N294" s="121"/>
      <c r="O294" s="387" t="s">
        <v>184</v>
      </c>
      <c r="P294" s="388"/>
      <c r="Q294" s="388"/>
      <c r="R294" s="389"/>
      <c r="S294" s="51"/>
      <c r="T294" s="114"/>
      <c r="U294" s="53"/>
      <c r="V294" s="53"/>
      <c r="W294" s="53"/>
      <c r="X294" s="53"/>
      <c r="Y294" s="53"/>
      <c r="Z294" s="53"/>
      <c r="AA294" s="53"/>
      <c r="AB294" s="53"/>
      <c r="AC294" s="53"/>
      <c r="AD294" s="54"/>
      <c r="AE294" s="49"/>
      <c r="AF294" s="7"/>
      <c r="AG294" s="154"/>
      <c r="AH294" s="7"/>
      <c r="AI294" s="7"/>
      <c r="AM294" s="13"/>
      <c r="AN294" s="160"/>
      <c r="AO294" s="160"/>
      <c r="AP294" s="160"/>
      <c r="AQ294" s="160"/>
      <c r="AR294" s="160"/>
      <c r="AS294" s="161"/>
      <c r="AT294" s="161"/>
      <c r="AU294" s="160"/>
      <c r="AV294" s="161"/>
      <c r="AW294" s="161"/>
    </row>
    <row r="295" spans="1:49" ht="11.25" customHeight="1">
      <c r="L295" s="7"/>
      <c r="M295" s="250"/>
      <c r="N295" s="121"/>
      <c r="O295" s="108"/>
      <c r="P295" s="109"/>
      <c r="Q295" s="109"/>
      <c r="R295" s="110"/>
      <c r="S295" s="51"/>
      <c r="T295" s="108"/>
      <c r="U295" s="109"/>
      <c r="V295" s="109"/>
      <c r="W295" s="109"/>
      <c r="X295" s="109"/>
      <c r="Y295" s="109"/>
      <c r="Z295" s="109"/>
      <c r="AA295" s="109"/>
      <c r="AB295" s="109"/>
      <c r="AC295" s="115"/>
      <c r="AD295" s="92"/>
      <c r="AE295" s="151"/>
      <c r="AF295" s="100"/>
      <c r="AG295" s="155"/>
      <c r="AH295" s="7"/>
      <c r="AI295" s="7"/>
      <c r="AM295" s="13"/>
      <c r="AN295" s="188"/>
      <c r="AO295" s="75"/>
      <c r="AP295" s="75"/>
      <c r="AQ295" s="75"/>
      <c r="AR295" s="75"/>
      <c r="AS295" s="14"/>
      <c r="AT295" s="14"/>
      <c r="AU295" s="75"/>
    </row>
    <row r="296" spans="1:49" ht="18.75" customHeight="1">
      <c r="L296" s="7"/>
      <c r="M296" s="250"/>
      <c r="N296" s="121"/>
      <c r="O296" s="20"/>
      <c r="P296" s="20"/>
      <c r="Q296" s="20"/>
      <c r="R296" s="20"/>
      <c r="S296" s="20"/>
      <c r="T296" s="20"/>
      <c r="U296" s="20"/>
      <c r="V296" s="20"/>
      <c r="W296" s="20"/>
      <c r="X296" s="20"/>
      <c r="Y296" s="20"/>
      <c r="Z296" s="20"/>
      <c r="AA296" s="20"/>
      <c r="AB296" s="20"/>
      <c r="AC296" s="21"/>
      <c r="AD296" s="8"/>
      <c r="AE296" s="124"/>
      <c r="AF296" s="7"/>
      <c r="AG296" s="252" t="str">
        <f>Menu!D2</f>
        <v>Versão 2.0.9 - 13/02/2017</v>
      </c>
      <c r="AH296" s="7"/>
      <c r="AI296" s="7"/>
      <c r="AM296" s="13"/>
      <c r="AN296" s="160"/>
      <c r="AO296" s="160"/>
      <c r="AP296" s="160"/>
      <c r="AQ296" s="160"/>
      <c r="AR296" s="160"/>
      <c r="AS296" s="161"/>
      <c r="AT296" s="161"/>
      <c r="AU296" s="160"/>
      <c r="AV296" s="161"/>
      <c r="AW296" s="161"/>
    </row>
    <row r="297" spans="1:49" ht="40.5" hidden="1" customHeight="1">
      <c r="A297" s="176"/>
      <c r="N297" s="125"/>
      <c r="O297" s="125"/>
      <c r="P297" s="126"/>
      <c r="Q297" s="122"/>
      <c r="R297" s="122"/>
      <c r="S297" s="122"/>
      <c r="T297" s="122"/>
      <c r="U297" s="122"/>
      <c r="V297" s="427" t="s">
        <v>4</v>
      </c>
      <c r="W297" s="427"/>
      <c r="X297" s="427"/>
      <c r="Y297" s="427"/>
      <c r="Z297" s="427"/>
      <c r="AA297" s="427"/>
      <c r="AB297" s="427"/>
      <c r="AC297" s="427"/>
      <c r="AD297" s="427"/>
      <c r="AE297" s="427"/>
      <c r="AF297" s="427"/>
      <c r="AG297" s="427"/>
      <c r="AJ297" s="2"/>
      <c r="AL297" s="2"/>
      <c r="AM297" s="13"/>
      <c r="AN297" s="188"/>
      <c r="AO297" s="75"/>
      <c r="AP297" s="75"/>
      <c r="AQ297" s="75"/>
      <c r="AR297" s="75"/>
      <c r="AS297" s="14"/>
      <c r="AT297" s="14"/>
      <c r="AU297" s="75"/>
    </row>
    <row r="298" spans="1:49" ht="3" hidden="1" customHeight="1">
      <c r="A298" s="176"/>
      <c r="M298" s="247"/>
      <c r="N298" s="5"/>
      <c r="O298" s="5"/>
      <c r="P298" s="5"/>
      <c r="Q298" s="5"/>
      <c r="R298" s="5"/>
      <c r="S298" s="5"/>
      <c r="T298" s="5"/>
      <c r="U298" s="5"/>
      <c r="V298" s="5"/>
      <c r="W298" s="5"/>
      <c r="X298" s="5"/>
      <c r="Y298" s="5"/>
      <c r="Z298" s="5"/>
      <c r="AA298" s="5"/>
      <c r="AB298" s="5"/>
      <c r="AC298" s="5"/>
      <c r="AD298" s="5"/>
      <c r="AE298" s="5"/>
      <c r="AF298" s="5"/>
      <c r="AG298" s="5"/>
      <c r="AJ298" s="2"/>
      <c r="AL298" s="2"/>
      <c r="AM298" s="13"/>
      <c r="AN298" s="160"/>
      <c r="AO298" s="160"/>
      <c r="AP298" s="160"/>
      <c r="AQ298" s="160"/>
      <c r="AR298" s="160"/>
      <c r="AS298" s="161"/>
      <c r="AT298" s="161"/>
      <c r="AU298" s="160"/>
      <c r="AV298" s="161"/>
      <c r="AW298" s="161"/>
    </row>
    <row r="299" spans="1:49" ht="3" hidden="1" customHeight="1">
      <c r="A299" s="176"/>
      <c r="M299" s="248"/>
      <c r="N299" s="127"/>
      <c r="O299" s="127"/>
      <c r="P299" s="127"/>
      <c r="Q299" s="127"/>
      <c r="R299" s="127"/>
      <c r="S299" s="127"/>
      <c r="T299" s="127"/>
      <c r="U299" s="127"/>
      <c r="V299" s="127"/>
      <c r="W299" s="127"/>
      <c r="X299" s="127"/>
      <c r="Y299" s="127"/>
      <c r="Z299" s="127"/>
      <c r="AA299" s="127"/>
      <c r="AB299" s="127"/>
      <c r="AC299" s="127"/>
      <c r="AD299" s="127"/>
      <c r="AE299" s="127"/>
      <c r="AF299" s="127"/>
      <c r="AG299" s="127"/>
      <c r="AJ299" s="2"/>
      <c r="AL299" s="2"/>
      <c r="AM299" s="13"/>
      <c r="AN299" s="188"/>
      <c r="AO299" s="75"/>
      <c r="AP299" s="75"/>
      <c r="AQ299" s="75"/>
      <c r="AR299" s="75"/>
      <c r="AS299" s="14"/>
      <c r="AT299" s="14"/>
      <c r="AU299" s="75"/>
    </row>
    <row r="300" spans="1:49" ht="15.75" hidden="1" customHeight="1">
      <c r="A300" s="176"/>
      <c r="N300" s="176"/>
      <c r="O300" s="428" t="str">
        <f>O6</f>
        <v>Proposta de Financiamento › Não Rural › Pequena-média, Média e Grande Empresa</v>
      </c>
      <c r="P300" s="428"/>
      <c r="Q300" s="428"/>
      <c r="R300" s="428"/>
      <c r="S300" s="428"/>
      <c r="T300" s="428"/>
      <c r="U300" s="428"/>
      <c r="V300" s="428"/>
      <c r="W300" s="428"/>
      <c r="X300" s="428"/>
      <c r="Y300" s="428"/>
      <c r="Z300" s="428"/>
      <c r="AA300" s="428"/>
      <c r="AB300" s="428"/>
      <c r="AC300" s="428"/>
      <c r="AD300" s="428"/>
      <c r="AE300" s="428"/>
      <c r="AF300" s="428"/>
      <c r="AG300" s="428"/>
      <c r="AJ300" s="176"/>
      <c r="AL300" s="176"/>
      <c r="AM300" s="13"/>
      <c r="AN300" s="160"/>
      <c r="AO300" s="160"/>
      <c r="AP300" s="160"/>
      <c r="AQ300" s="160"/>
      <c r="AR300" s="160"/>
      <c r="AS300" s="161"/>
      <c r="AT300" s="161"/>
      <c r="AU300" s="160"/>
      <c r="AV300" s="161"/>
      <c r="AW300" s="161"/>
    </row>
    <row r="301" spans="1:49" ht="4.5" hidden="1" customHeight="1">
      <c r="A301" s="176"/>
      <c r="N301" s="429"/>
      <c r="O301" s="429"/>
      <c r="P301" s="429"/>
      <c r="Q301" s="429"/>
      <c r="R301" s="429"/>
      <c r="S301" s="429"/>
      <c r="T301" s="429"/>
      <c r="U301" s="429"/>
      <c r="V301" s="429"/>
      <c r="W301" s="429"/>
      <c r="X301" s="429"/>
      <c r="Y301" s="429"/>
      <c r="Z301" s="429"/>
      <c r="AA301" s="429"/>
      <c r="AB301" s="429"/>
      <c r="AC301" s="429"/>
      <c r="AD301" s="429"/>
      <c r="AE301" s="429"/>
      <c r="AF301" s="2"/>
      <c r="AG301" s="2"/>
      <c r="AJ301" s="176"/>
      <c r="AL301" s="176"/>
      <c r="AM301" s="13"/>
      <c r="AN301" s="188"/>
      <c r="AO301" s="75"/>
      <c r="AP301" s="75"/>
      <c r="AQ301" s="75"/>
      <c r="AR301" s="75"/>
      <c r="AS301" s="14"/>
      <c r="AT301" s="14"/>
      <c r="AU301" s="75"/>
    </row>
    <row r="302" spans="1:49" ht="11.25" hidden="1" customHeight="1">
      <c r="A302" s="176"/>
      <c r="N302" s="176"/>
      <c r="O302" s="139" t="s">
        <v>179</v>
      </c>
      <c r="P302" s="7"/>
      <c r="Q302" s="7"/>
      <c r="R302" s="7"/>
      <c r="S302" s="7"/>
      <c r="T302" s="7"/>
      <c r="U302" s="2"/>
      <c r="V302" s="139" t="s">
        <v>180</v>
      </c>
      <c r="W302" s="7"/>
      <c r="X302" s="7"/>
      <c r="Y302" s="7"/>
      <c r="Z302" s="7"/>
      <c r="AA302" s="2"/>
      <c r="AB302" s="141" t="s">
        <v>5</v>
      </c>
      <c r="AC302" s="138"/>
      <c r="AD302" s="99"/>
      <c r="AE302" s="7"/>
      <c r="AF302" s="7"/>
      <c r="AG302" s="7"/>
      <c r="AJ302" s="176"/>
      <c r="AL302" s="176"/>
      <c r="AM302" s="13"/>
      <c r="AN302" s="160"/>
      <c r="AO302" s="160"/>
      <c r="AP302" s="160"/>
      <c r="AQ302" s="160"/>
      <c r="AR302" s="160"/>
      <c r="AS302" s="161"/>
      <c r="AT302" s="161"/>
      <c r="AU302" s="160"/>
      <c r="AV302" s="161"/>
      <c r="AW302" s="161"/>
    </row>
    <row r="303" spans="1:49" ht="15" hidden="1" customHeight="1">
      <c r="A303" s="176"/>
      <c r="N303" s="176"/>
      <c r="O303" s="410" t="str">
        <f>IF(O9&lt;&gt;"",O9,"")</f>
        <v/>
      </c>
      <c r="P303" s="411"/>
      <c r="Q303" s="411"/>
      <c r="R303" s="411"/>
      <c r="S303" s="411"/>
      <c r="T303" s="411"/>
      <c r="U303" s="57"/>
      <c r="V303" s="412" t="str">
        <f>IF(V9&lt;&gt;"",V9,"")</f>
        <v/>
      </c>
      <c r="W303" s="413"/>
      <c r="X303" s="413"/>
      <c r="Y303" s="414"/>
      <c r="Z303" s="414"/>
      <c r="AA303" s="2"/>
      <c r="AB303" s="415">
        <f ca="1">TODAY()</f>
        <v>42864</v>
      </c>
      <c r="AC303" s="416"/>
      <c r="AD303" s="416"/>
      <c r="AE303" s="416"/>
      <c r="AF303" s="416"/>
      <c r="AG303" s="416"/>
      <c r="AJ303" s="176"/>
      <c r="AL303" s="176"/>
      <c r="AM303" s="13"/>
      <c r="AN303" s="188"/>
      <c r="AO303" s="75"/>
      <c r="AP303" s="75"/>
      <c r="AQ303" s="75"/>
      <c r="AR303" s="75"/>
      <c r="AS303" s="14"/>
      <c r="AT303" s="14"/>
      <c r="AU303" s="75"/>
    </row>
    <row r="304" spans="1:49" ht="3" hidden="1" customHeight="1">
      <c r="A304" s="176"/>
      <c r="N304" s="176"/>
      <c r="O304" s="2"/>
      <c r="P304" s="2"/>
      <c r="Q304" s="2"/>
      <c r="R304" s="2"/>
      <c r="S304" s="2"/>
      <c r="T304" s="2"/>
      <c r="U304" s="2"/>
      <c r="V304" s="2"/>
      <c r="W304" s="2"/>
      <c r="X304" s="2"/>
      <c r="Y304" s="2"/>
      <c r="Z304" s="2"/>
      <c r="AA304" s="2"/>
      <c r="AB304" s="2"/>
      <c r="AC304" s="2"/>
      <c r="AD304" s="4"/>
      <c r="AE304" s="2"/>
      <c r="AF304" s="2"/>
      <c r="AG304" s="2"/>
      <c r="AJ304" s="176"/>
      <c r="AL304" s="176"/>
      <c r="AM304" s="13"/>
      <c r="AN304" s="160"/>
      <c r="AO304" s="160"/>
      <c r="AP304" s="160"/>
      <c r="AQ304" s="160"/>
      <c r="AR304" s="160"/>
      <c r="AS304" s="161"/>
      <c r="AT304" s="161"/>
      <c r="AU304" s="160"/>
      <c r="AV304" s="161"/>
      <c r="AW304" s="161"/>
    </row>
    <row r="305" spans="1:49" ht="11.25" hidden="1" customHeight="1">
      <c r="A305" s="176"/>
      <c r="N305" s="176"/>
      <c r="O305" s="140" t="s">
        <v>365</v>
      </c>
      <c r="P305" s="7"/>
      <c r="Q305" s="2"/>
      <c r="R305" s="140" t="s">
        <v>6</v>
      </c>
      <c r="S305" s="137"/>
      <c r="T305" s="137"/>
      <c r="U305" s="137"/>
      <c r="V305" s="137"/>
      <c r="W305" s="2"/>
      <c r="X305" s="140" t="s">
        <v>7</v>
      </c>
      <c r="Y305" s="137"/>
      <c r="Z305" s="137"/>
      <c r="AA305" s="7"/>
      <c r="AB305" s="7"/>
      <c r="AC305" s="7"/>
      <c r="AD305" s="99"/>
      <c r="AE305" s="7"/>
      <c r="AF305" s="7"/>
      <c r="AG305" s="7"/>
      <c r="AJ305" s="176"/>
      <c r="AL305" s="176"/>
      <c r="AM305" s="13"/>
      <c r="AN305" s="188"/>
      <c r="AO305" s="75"/>
      <c r="AP305" s="75"/>
      <c r="AQ305" s="75"/>
      <c r="AR305" s="75"/>
      <c r="AS305" s="14"/>
      <c r="AT305" s="14"/>
      <c r="AU305" s="75"/>
    </row>
    <row r="306" spans="1:49" ht="15" hidden="1">
      <c r="A306" s="176"/>
      <c r="N306" s="176"/>
      <c r="O306" s="417" t="str">
        <f>IF(O12&lt;&gt;"",O12,"")</f>
        <v/>
      </c>
      <c r="P306" s="418"/>
      <c r="Q306" s="2"/>
      <c r="R306" s="417" t="str">
        <f>IF(R12&lt;&gt;"",R12,"")</f>
        <v/>
      </c>
      <c r="S306" s="418"/>
      <c r="T306" s="418"/>
      <c r="U306" s="418"/>
      <c r="V306" s="418"/>
      <c r="W306" s="6"/>
      <c r="X306" s="419" t="str">
        <f>IF(X12&lt;&gt;"",X12,"")</f>
        <v/>
      </c>
      <c r="Y306" s="420"/>
      <c r="Z306" s="420"/>
      <c r="AA306" s="420"/>
      <c r="AB306" s="420"/>
      <c r="AC306" s="420"/>
      <c r="AD306" s="420"/>
      <c r="AE306" s="420"/>
      <c r="AF306" s="421"/>
      <c r="AG306" s="421"/>
      <c r="AJ306" s="176"/>
      <c r="AL306" s="176"/>
      <c r="AM306" s="13"/>
      <c r="AN306" s="160"/>
      <c r="AO306" s="160"/>
      <c r="AP306" s="160"/>
      <c r="AQ306" s="160"/>
      <c r="AR306" s="160"/>
      <c r="AS306" s="161"/>
      <c r="AT306" s="161"/>
      <c r="AU306" s="160"/>
      <c r="AV306" s="161"/>
      <c r="AW306" s="161"/>
    </row>
    <row r="307" spans="1:49" ht="3" hidden="1" customHeight="1">
      <c r="A307" s="176"/>
      <c r="N307" s="176"/>
      <c r="O307" s="2"/>
      <c r="P307" s="2"/>
      <c r="Q307" s="2"/>
      <c r="R307" s="2"/>
      <c r="S307" s="2"/>
      <c r="T307" s="2"/>
      <c r="U307" s="2"/>
      <c r="V307" s="2"/>
      <c r="W307" s="2"/>
      <c r="X307" s="2"/>
      <c r="Y307" s="2"/>
      <c r="Z307" s="2"/>
      <c r="AA307" s="2"/>
      <c r="AB307" s="2"/>
      <c r="AC307" s="2"/>
      <c r="AD307" s="4"/>
      <c r="AE307" s="2"/>
      <c r="AF307" s="2"/>
      <c r="AG307" s="2"/>
      <c r="AJ307" s="176"/>
      <c r="AL307" s="176"/>
      <c r="AM307" s="13"/>
      <c r="AN307" s="188"/>
      <c r="AO307" s="75"/>
      <c r="AP307" s="75"/>
      <c r="AQ307" s="75"/>
      <c r="AR307" s="75"/>
      <c r="AS307" s="14"/>
      <c r="AT307" s="14"/>
      <c r="AU307" s="75"/>
    </row>
    <row r="308" spans="1:49" ht="11.25" hidden="1" customHeight="1">
      <c r="A308" s="176"/>
      <c r="N308" s="176"/>
      <c r="O308" s="140" t="s">
        <v>8</v>
      </c>
      <c r="P308" s="7"/>
      <c r="Q308" s="7"/>
      <c r="R308" s="7"/>
      <c r="S308" s="7"/>
      <c r="T308" s="7"/>
      <c r="U308" s="7"/>
      <c r="V308" s="7"/>
      <c r="W308" s="7"/>
      <c r="X308" s="7"/>
      <c r="Y308" s="2"/>
      <c r="Z308" s="2"/>
      <c r="AA308" s="140" t="s">
        <v>331</v>
      </c>
      <c r="AB308" s="7"/>
      <c r="AC308" s="7"/>
      <c r="AD308" s="99"/>
      <c r="AE308" s="7"/>
      <c r="AF308" s="7"/>
      <c r="AG308" s="7"/>
      <c r="AH308" s="187">
        <v>0</v>
      </c>
      <c r="AJ308" s="176"/>
      <c r="AL308" s="176"/>
      <c r="AM308" s="13"/>
      <c r="AN308" s="160"/>
      <c r="AO308" s="160"/>
      <c r="AP308" s="160"/>
      <c r="AQ308" s="160"/>
      <c r="AR308" s="160"/>
      <c r="AS308" s="161"/>
      <c r="AT308" s="161"/>
      <c r="AU308" s="160"/>
      <c r="AV308" s="161"/>
      <c r="AW308" s="161"/>
    </row>
    <row r="309" spans="1:49" ht="15" hidden="1" customHeight="1">
      <c r="A309" s="176"/>
      <c r="N309" s="176"/>
      <c r="O309" s="417" t="str">
        <f>IF(O15&lt;&gt;"",O15,"")</f>
        <v/>
      </c>
      <c r="P309" s="418"/>
      <c r="Q309" s="418"/>
      <c r="R309" s="418"/>
      <c r="S309" s="418"/>
      <c r="T309" s="418"/>
      <c r="U309" s="418"/>
      <c r="V309" s="418"/>
      <c r="W309" s="418"/>
      <c r="X309" s="418"/>
      <c r="Y309" s="43"/>
      <c r="Z309" s="43"/>
      <c r="AA309" s="422" t="str">
        <f>IF(AA15&lt;&gt;"",AA15,"")</f>
        <v/>
      </c>
      <c r="AB309" s="423"/>
      <c r="AC309" s="423"/>
      <c r="AD309" s="423"/>
      <c r="AE309" s="423"/>
      <c r="AF309" s="416"/>
      <c r="AG309" s="416"/>
      <c r="AJ309" s="176"/>
      <c r="AL309" s="176"/>
      <c r="AM309" s="13"/>
      <c r="AN309" s="188"/>
      <c r="AO309" s="75"/>
      <c r="AP309" s="75"/>
      <c r="AQ309" s="75"/>
      <c r="AR309" s="75"/>
      <c r="AS309" s="14"/>
      <c r="AT309" s="14"/>
      <c r="AU309" s="75"/>
    </row>
    <row r="310" spans="1:49" ht="17.25" hidden="1" customHeight="1">
      <c r="A310" s="176"/>
      <c r="N310" s="2"/>
      <c r="O310" s="424" t="str">
        <f>IF(O351&lt;&gt;"","››› PROPOSTA NÃO ESTÁ PRONTA PARA INTERNALIZAÇÃO AO BANCO ‹‹‹","")</f>
        <v/>
      </c>
      <c r="P310" s="424"/>
      <c r="Q310" s="424"/>
      <c r="R310" s="424"/>
      <c r="S310" s="424"/>
      <c r="T310" s="424"/>
      <c r="U310" s="424"/>
      <c r="V310" s="424"/>
      <c r="W310" s="424"/>
      <c r="X310" s="424"/>
      <c r="Y310" s="424"/>
      <c r="Z310" s="424"/>
      <c r="AA310" s="424"/>
      <c r="AB310" s="424"/>
      <c r="AC310" s="424"/>
      <c r="AD310" s="424"/>
      <c r="AE310" s="424"/>
      <c r="AF310" s="424"/>
      <c r="AG310" s="424"/>
      <c r="AJ310" s="176"/>
      <c r="AL310" s="176"/>
      <c r="AM310" s="13"/>
      <c r="AN310" s="160"/>
      <c r="AO310" s="160"/>
      <c r="AP310" s="160"/>
      <c r="AQ310" s="160"/>
      <c r="AR310" s="160"/>
      <c r="AS310" s="161"/>
      <c r="AT310" s="161"/>
      <c r="AU310" s="160"/>
      <c r="AV310" s="161"/>
      <c r="AW310" s="161"/>
    </row>
    <row r="311" spans="1:49" ht="20.25" hidden="1" customHeight="1">
      <c r="A311" s="176"/>
      <c r="K311" s="150" t="s">
        <v>392</v>
      </c>
      <c r="L311" s="7"/>
      <c r="M311" s="250"/>
      <c r="N311" s="175"/>
      <c r="O311" s="409" t="s">
        <v>9</v>
      </c>
      <c r="P311" s="409"/>
      <c r="Q311" s="409"/>
      <c r="R311" s="409"/>
      <c r="S311" s="409"/>
      <c r="T311" s="409"/>
      <c r="U311" s="409"/>
      <c r="V311" s="409"/>
      <c r="W311" s="409"/>
      <c r="X311" s="409"/>
      <c r="Y311" s="409"/>
      <c r="Z311" s="409"/>
      <c r="AA311" s="409"/>
      <c r="AB311" s="184"/>
      <c r="AC311" s="185" t="s">
        <v>10</v>
      </c>
      <c r="AD311" s="186"/>
      <c r="AE311" s="185" t="s">
        <v>11</v>
      </c>
      <c r="AF311" s="184"/>
      <c r="AG311" s="185" t="s">
        <v>185</v>
      </c>
      <c r="AJ311" s="176"/>
      <c r="AL311" s="176"/>
      <c r="AM311" s="13"/>
      <c r="AN311" s="188"/>
      <c r="AO311" s="75"/>
      <c r="AP311" s="75"/>
      <c r="AQ311" s="75"/>
      <c r="AR311" s="75"/>
      <c r="AS311" s="14"/>
      <c r="AT311" s="14"/>
      <c r="AU311" s="75"/>
    </row>
    <row r="312" spans="1:49" ht="3" hidden="1" customHeight="1" thickBot="1">
      <c r="A312" s="176"/>
      <c r="B312" s="176"/>
      <c r="L312" s="7"/>
      <c r="M312" s="250"/>
      <c r="N312" s="68"/>
      <c r="O312" s="31"/>
      <c r="P312" s="31"/>
      <c r="Q312" s="32"/>
      <c r="R312" s="32"/>
      <c r="S312" s="32"/>
      <c r="T312" s="32"/>
      <c r="U312" s="32"/>
      <c r="V312" s="32"/>
      <c r="W312" s="32"/>
      <c r="X312" s="32"/>
      <c r="Y312" s="32"/>
      <c r="Z312" s="32"/>
      <c r="AA312" s="32"/>
      <c r="AB312" s="12"/>
      <c r="AC312" s="16"/>
      <c r="AD312" s="8"/>
      <c r="AE312" s="175"/>
      <c r="AF312" s="7"/>
      <c r="AG312" s="2"/>
      <c r="AJ312" s="176"/>
      <c r="AL312" s="176"/>
      <c r="AM312" s="13"/>
      <c r="AN312" s="160"/>
      <c r="AO312" s="160"/>
      <c r="AP312" s="160"/>
      <c r="AQ312" s="160"/>
      <c r="AR312" s="160"/>
      <c r="AS312" s="161"/>
      <c r="AT312" s="161"/>
      <c r="AU312" s="160"/>
      <c r="AV312" s="161"/>
      <c r="AW312" s="161"/>
    </row>
    <row r="313" spans="1:49" ht="3" hidden="1" customHeight="1">
      <c r="A313" s="176"/>
      <c r="B313" s="176"/>
      <c r="H313" s="6"/>
      <c r="J313" s="70"/>
      <c r="L313" s="7"/>
      <c r="M313" s="250"/>
      <c r="N313" s="175"/>
      <c r="O313" s="179"/>
      <c r="P313" s="179"/>
      <c r="Q313" s="180"/>
      <c r="R313" s="180"/>
      <c r="S313" s="180"/>
      <c r="T313" s="180"/>
      <c r="U313" s="180"/>
      <c r="V313" s="180"/>
      <c r="W313" s="180"/>
      <c r="X313" s="180"/>
      <c r="Y313" s="180"/>
      <c r="Z313" s="180"/>
      <c r="AA313" s="180"/>
      <c r="AB313" s="181"/>
      <c r="AC313" s="182"/>
      <c r="AD313" s="144"/>
      <c r="AE313" s="183"/>
      <c r="AF313" s="146"/>
      <c r="AG313" s="183"/>
      <c r="AJ313" s="13"/>
      <c r="AK313" s="13"/>
      <c r="AL313" s="13"/>
      <c r="AM313" s="13"/>
      <c r="AN313" s="188"/>
      <c r="AO313" s="75"/>
      <c r="AP313" s="75"/>
      <c r="AQ313" s="75"/>
      <c r="AR313" s="75"/>
      <c r="AS313" s="14"/>
      <c r="AT313" s="14"/>
      <c r="AU313" s="75"/>
    </row>
    <row r="314" spans="1:49" ht="14.25" hidden="1" customHeight="1">
      <c r="A314" s="176"/>
      <c r="B314" s="176"/>
      <c r="G314" s="2">
        <v>1</v>
      </c>
      <c r="J314" s="71">
        <f>SUM($G$17:G314)</f>
        <v>21</v>
      </c>
      <c r="K314" s="2" t="s">
        <v>55</v>
      </c>
      <c r="L314" s="7"/>
      <c r="M314" s="250"/>
      <c r="N314" s="175"/>
      <c r="O314" s="408" t="str">
        <f>CONCATENATE(J314,". ",K314)</f>
        <v>21. Se proposta de financiamento contemplar edificação:</v>
      </c>
      <c r="P314" s="408"/>
      <c r="Q314" s="408"/>
      <c r="R314" s="408"/>
      <c r="S314" s="408"/>
      <c r="T314" s="408"/>
      <c r="U314" s="408"/>
      <c r="V314" s="408"/>
      <c r="W314" s="408"/>
      <c r="X314" s="408"/>
      <c r="Y314" s="408"/>
      <c r="Z314" s="408"/>
      <c r="AA314" s="408"/>
      <c r="AB314" s="9"/>
      <c r="AD314" s="8"/>
      <c r="AE314" s="136" t="s">
        <v>389</v>
      </c>
      <c r="AF314" s="7"/>
      <c r="AG314" s="2"/>
      <c r="AJ314" s="13"/>
      <c r="AK314" s="13"/>
      <c r="AL314" s="13"/>
      <c r="AM314" s="13"/>
      <c r="AN314" s="160"/>
      <c r="AO314" s="160"/>
      <c r="AP314" s="160"/>
      <c r="AQ314" s="160"/>
      <c r="AR314" s="160"/>
      <c r="AS314" s="161"/>
      <c r="AT314" s="161"/>
      <c r="AU314" s="160"/>
      <c r="AV314" s="161"/>
      <c r="AW314" s="161"/>
    </row>
    <row r="315" spans="1:49" ht="3" hidden="1" customHeight="1">
      <c r="A315" s="176"/>
      <c r="B315" s="176"/>
      <c r="J315" s="70"/>
      <c r="L315" s="7"/>
      <c r="M315" s="250"/>
      <c r="N315" s="175"/>
      <c r="O315" s="36"/>
      <c r="P315" s="36"/>
      <c r="Q315" s="37"/>
      <c r="R315" s="37"/>
      <c r="S315" s="37"/>
      <c r="T315" s="37"/>
      <c r="U315" s="37"/>
      <c r="V315" s="37"/>
      <c r="W315" s="37"/>
      <c r="X315" s="37"/>
      <c r="Y315" s="37"/>
      <c r="Z315" s="37"/>
      <c r="AA315" s="37"/>
      <c r="AB315" s="12"/>
      <c r="AC315" s="10"/>
      <c r="AD315" s="8"/>
      <c r="AE315" s="175"/>
      <c r="AF315" s="7"/>
      <c r="AG315" s="176"/>
      <c r="AJ315" s="13"/>
      <c r="AK315" s="13"/>
      <c r="AL315" s="13"/>
      <c r="AM315" s="13"/>
      <c r="AN315" s="188"/>
      <c r="AO315" s="75"/>
      <c r="AP315" s="75"/>
      <c r="AQ315" s="75"/>
      <c r="AR315" s="75"/>
      <c r="AS315" s="14"/>
      <c r="AT315" s="14"/>
      <c r="AU315" s="75"/>
    </row>
    <row r="316" spans="1:49" s="14" customFormat="1" ht="14.25" hidden="1" customHeight="1">
      <c r="A316" s="176"/>
      <c r="B316" s="176"/>
      <c r="C316" s="2"/>
      <c r="D316" s="2"/>
      <c r="E316" s="2"/>
      <c r="F316" s="2"/>
      <c r="G316" s="2"/>
      <c r="H316" s="2">
        <v>1</v>
      </c>
      <c r="I316" s="2"/>
      <c r="J316" s="71" t="str">
        <f>CONCATENATE(SUM($G$17:G316),".",SUM($H$314:H316))</f>
        <v>21.1</v>
      </c>
      <c r="K316" s="2" t="s">
        <v>113</v>
      </c>
      <c r="L316" s="15"/>
      <c r="M316" s="250"/>
      <c r="N316" s="15"/>
      <c r="O316" s="385" t="str">
        <f>CONCATENATE(J316,". ",K316,$K$17)</f>
        <v>21.1. Alvará de Construção; ------------------------------------------------------------------------------------------------------------------------------------------------------------------------</v>
      </c>
      <c r="P316" s="385"/>
      <c r="Q316" s="385"/>
      <c r="R316" s="385"/>
      <c r="S316" s="385"/>
      <c r="T316" s="385"/>
      <c r="U316" s="385"/>
      <c r="V316" s="385"/>
      <c r="W316" s="385"/>
      <c r="X316" s="385"/>
      <c r="Y316" s="385"/>
      <c r="Z316" s="385"/>
      <c r="AA316" s="385"/>
      <c r="AB316" s="385"/>
      <c r="AC316" s="385"/>
      <c r="AD316" s="8"/>
      <c r="AE316" s="156"/>
      <c r="AF316" s="15"/>
      <c r="AG316" s="80"/>
      <c r="AJ316" s="13">
        <f>IF($M$15=0,1,0)</f>
        <v>0</v>
      </c>
      <c r="AK316" s="13"/>
      <c r="AL316" s="13">
        <f>IF(AND(AC316&lt;&gt;"",AE316&lt;&gt;""),4,IF(AC316&lt;&gt;"",1,IF(AE316&lt;&gt;"",2,IF($M$15&lt;&gt;0,3,0))))</f>
        <v>3</v>
      </c>
      <c r="AM316" s="13"/>
      <c r="AN316" s="188">
        <f t="shared" ref="AN316" si="333">IF(AND(AC316&lt;&gt;"",AE316&lt;&gt;""),1,IF(AL316&lt;&gt;0,0,1))</f>
        <v>0</v>
      </c>
      <c r="AO316" s="75">
        <f ca="1">SUM($AN$21:OFFSET(AO316,-2,-1))</f>
        <v>105</v>
      </c>
      <c r="AP316" s="75" t="str">
        <f t="shared" ref="AP316:AP348" ca="1" si="334">IF(AND(OFFSET(AP316,0,-18)="",AO316=0),AQ316,"XX")</f>
        <v>XX</v>
      </c>
      <c r="AQ316" s="75">
        <f>MAX($AE$21:AE314)</f>
        <v>0</v>
      </c>
      <c r="AR316" s="13">
        <f>IF(SUM(AE318:$AE$348)&gt;0,MIN(AE318:$AE$348),10000)</f>
        <v>10000</v>
      </c>
      <c r="AU316" s="75">
        <f t="shared" ref="AU316" si="335">IF(AND(AC316&lt;&gt;"",AE316&lt;&gt;""),4,0)</f>
        <v>0</v>
      </c>
      <c r="AV316" s="2" t="e">
        <f>IF(AND(AL316&lt;&gt;1,AL316&lt;&gt;3,AL316&lt;&gt;4),AP316+1,XX)</f>
        <v>#NAME?</v>
      </c>
      <c r="AW316" s="2" t="e">
        <f>IF(AND(AL316&lt;&gt;1,AL316&lt;&gt;3,AL316&lt;&gt;4),AR316-1,XX)</f>
        <v>#NAME?</v>
      </c>
    </row>
    <row r="317" spans="1:49" s="6" customFormat="1" ht="3" hidden="1" customHeight="1">
      <c r="A317" s="176"/>
      <c r="B317" s="176"/>
      <c r="I317" s="2"/>
      <c r="J317" s="70"/>
      <c r="L317" s="28"/>
      <c r="M317" s="251"/>
      <c r="N317" s="28"/>
      <c r="O317" s="36"/>
      <c r="P317" s="36"/>
      <c r="Q317" s="37"/>
      <c r="R317" s="37"/>
      <c r="S317" s="37"/>
      <c r="T317" s="37"/>
      <c r="U317" s="37"/>
      <c r="V317" s="37"/>
      <c r="W317" s="37"/>
      <c r="X317" s="37"/>
      <c r="Y317" s="37"/>
      <c r="Z317" s="37"/>
      <c r="AA317" s="37"/>
      <c r="AB317" s="12"/>
      <c r="AC317" s="10"/>
      <c r="AD317" s="8"/>
      <c r="AE317" s="175"/>
      <c r="AF317" s="28"/>
      <c r="AG317" s="2"/>
      <c r="AJ317" s="13"/>
      <c r="AK317" s="13"/>
      <c r="AL317" s="13"/>
      <c r="AM317" s="13"/>
      <c r="AN317" s="188"/>
      <c r="AO317" s="75"/>
      <c r="AP317" s="75"/>
      <c r="AQ317" s="75"/>
      <c r="AR317" s="75"/>
      <c r="AS317" s="14"/>
      <c r="AT317" s="14"/>
      <c r="AU317" s="75"/>
      <c r="AV317" s="2"/>
      <c r="AW317" s="2"/>
    </row>
    <row r="318" spans="1:49" ht="14.25" hidden="1" customHeight="1">
      <c r="A318" s="176"/>
      <c r="B318" s="176"/>
      <c r="H318" s="2">
        <v>1</v>
      </c>
      <c r="J318" s="71" t="str">
        <f>CONCATENATE(SUM($G$17:G318),".",SUM($H$314:H318))</f>
        <v>21.2</v>
      </c>
      <c r="K318" s="2" t="s">
        <v>34</v>
      </c>
      <c r="L318" s="7"/>
      <c r="M318" s="250"/>
      <c r="N318" s="175"/>
      <c r="O318" s="385" t="str">
        <f>CONCATENATE(J318,". ",K318,$K$17)</f>
        <v>21.2. Cadastro Específico do INSS (CEI), referente à matrícula da obra; (se obras em andamento)------------------------------------------------------------------------------------------------------------------------------------------------------------------------</v>
      </c>
      <c r="P318" s="385"/>
      <c r="Q318" s="385"/>
      <c r="R318" s="385"/>
      <c r="S318" s="385"/>
      <c r="T318" s="385"/>
      <c r="U318" s="385"/>
      <c r="V318" s="385"/>
      <c r="W318" s="385"/>
      <c r="X318" s="385"/>
      <c r="Y318" s="385"/>
      <c r="Z318" s="385"/>
      <c r="AA318" s="385"/>
      <c r="AB318" s="9"/>
      <c r="AC318" s="189"/>
      <c r="AD318" s="8"/>
      <c r="AE318" s="156"/>
      <c r="AF318" s="7"/>
      <c r="AG318" s="80"/>
      <c r="AJ318" s="13">
        <f>IF($M$15=0,1,0)</f>
        <v>0</v>
      </c>
      <c r="AK318" s="160" t="str">
        <f>IF(AND(AE318="",AC318=""),"X","")</f>
        <v>X</v>
      </c>
      <c r="AL318" s="13">
        <f>IF(AND(AC318&lt;&gt;"",AE318&lt;&gt;""),4,IF(AC318&lt;&gt;"",1,IF(AE318&lt;&gt;"",2,IF($M$15&lt;&gt;0,3,0))))</f>
        <v>3</v>
      </c>
      <c r="AM318" s="13"/>
      <c r="AN318" s="188">
        <f t="shared" ref="AN318" si="336">IF(AND(AC318&lt;&gt;"",AE318&lt;&gt;""),1,IF(AL318&lt;&gt;0,0,1))</f>
        <v>0</v>
      </c>
      <c r="AO318" s="75">
        <f ca="1">SUM($AN$21:OFFSET(AO318,-2,-1))</f>
        <v>105</v>
      </c>
      <c r="AP318" s="75" t="str">
        <f t="shared" ca="1" si="334"/>
        <v>XX</v>
      </c>
      <c r="AQ318" s="75">
        <f>MAX($AE$21:AE316)</f>
        <v>0</v>
      </c>
      <c r="AR318" s="13">
        <f>IF(SUM(AE320:$AE$348)&gt;0,MIN(AE320:$AE$348),10000)</f>
        <v>10000</v>
      </c>
      <c r="AS318" s="14"/>
      <c r="AT318" s="14"/>
      <c r="AU318" s="75">
        <f t="shared" ref="AU318" si="337">IF(AND(AC318&lt;&gt;"",AE318&lt;&gt;""),4,0)</f>
        <v>0</v>
      </c>
      <c r="AV318" s="2" t="e">
        <f>IF(AND(AL318&lt;&gt;1,AL318&lt;&gt;3,AL318&lt;&gt;4),AP318+1,XX)</f>
        <v>#NAME?</v>
      </c>
      <c r="AW318" s="2" t="e">
        <f>IF(AND(AL318&lt;&gt;1,AL318&lt;&gt;3,AL318&lt;&gt;4),AR318-1,XX)</f>
        <v>#NAME?</v>
      </c>
    </row>
    <row r="319" spans="1:49" ht="3" hidden="1" customHeight="1">
      <c r="A319" s="176"/>
      <c r="B319" s="176"/>
      <c r="J319" s="70"/>
      <c r="L319" s="7"/>
      <c r="M319" s="250"/>
      <c r="N319" s="175"/>
      <c r="O319" s="36"/>
      <c r="P319" s="36"/>
      <c r="Q319" s="37"/>
      <c r="R319" s="37"/>
      <c r="S319" s="37"/>
      <c r="T319" s="37"/>
      <c r="U319" s="37"/>
      <c r="V319" s="37"/>
      <c r="W319" s="37"/>
      <c r="X319" s="37"/>
      <c r="Y319" s="37"/>
      <c r="Z319" s="37"/>
      <c r="AA319" s="37"/>
      <c r="AB319" s="12"/>
      <c r="AC319" s="10"/>
      <c r="AD319" s="8"/>
      <c r="AE319" s="175"/>
      <c r="AF319" s="7"/>
      <c r="AG319" s="2"/>
      <c r="AJ319" s="13"/>
      <c r="AK319" s="13"/>
      <c r="AL319" s="13"/>
      <c r="AM319" s="13"/>
      <c r="AN319" s="188"/>
      <c r="AO319" s="75"/>
      <c r="AP319" s="75"/>
      <c r="AQ319" s="75"/>
      <c r="AR319" s="75"/>
      <c r="AS319" s="14"/>
      <c r="AT319" s="14"/>
      <c r="AU319" s="75"/>
    </row>
    <row r="320" spans="1:49" ht="14.25" hidden="1" customHeight="1">
      <c r="A320" s="176"/>
      <c r="B320" s="176"/>
      <c r="H320" s="2">
        <v>1</v>
      </c>
      <c r="J320" s="71" t="str">
        <f>CONCATENATE(SUM($G$17:G320),".",SUM($H$314:H320))</f>
        <v>21.3</v>
      </c>
      <c r="K320" s="2" t="s">
        <v>359</v>
      </c>
      <c r="L320" s="7"/>
      <c r="M320" s="250"/>
      <c r="N320" s="175"/>
      <c r="O320" s="385" t="str">
        <f>CONCATENATE(J320,". ",K320,$K$17)</f>
        <v>21.3. Orçamento Analítico das construções civis a realizar;------------------------------------------------------------------------------------------------------------------------------------------------------------------------</v>
      </c>
      <c r="P320" s="385"/>
      <c r="Q320" s="385"/>
      <c r="R320" s="385"/>
      <c r="S320" s="385"/>
      <c r="T320" s="385"/>
      <c r="U320" s="385"/>
      <c r="V320" s="385"/>
      <c r="W320" s="385"/>
      <c r="X320" s="385"/>
      <c r="Y320" s="385"/>
      <c r="Z320" s="385"/>
      <c r="AA320" s="385"/>
      <c r="AB320" s="385"/>
      <c r="AC320" s="385"/>
      <c r="AD320" s="8"/>
      <c r="AE320" s="156"/>
      <c r="AF320" s="7"/>
      <c r="AG320" s="80"/>
      <c r="AJ320" s="13">
        <f>IF($M$15=0,1,0)</f>
        <v>0</v>
      </c>
      <c r="AK320" s="13"/>
      <c r="AL320" s="13">
        <f>IF(AND(AC320&lt;&gt;"",AE320&lt;&gt;""),4,IF(AC320&lt;&gt;"",1,IF(AE320&lt;&gt;"",2,IF($M$15&lt;&gt;0,3,0))))</f>
        <v>3</v>
      </c>
      <c r="AM320" s="13"/>
      <c r="AN320" s="188">
        <f t="shared" ref="AN320" si="338">IF(AND(AC320&lt;&gt;"",AE320&lt;&gt;""),1,IF(AL320&lt;&gt;0,0,1))</f>
        <v>0</v>
      </c>
      <c r="AO320" s="75">
        <f ca="1">SUM($AN$21:OFFSET(AO320,-2,-1))</f>
        <v>105</v>
      </c>
      <c r="AP320" s="75" t="str">
        <f t="shared" ca="1" si="334"/>
        <v>XX</v>
      </c>
      <c r="AQ320" s="75">
        <f>MAX($AE$21:AE318)</f>
        <v>0</v>
      </c>
      <c r="AR320" s="13">
        <f>IF(SUM(AE322:$AE$348)&gt;0,MIN(AE322:$AE$348),10000)</f>
        <v>10000</v>
      </c>
      <c r="AS320" s="14"/>
      <c r="AT320" s="14"/>
      <c r="AU320" s="75">
        <f t="shared" ref="AU320" si="339">IF(AND(AC320&lt;&gt;"",AE320&lt;&gt;""),4,0)</f>
        <v>0</v>
      </c>
      <c r="AV320" s="2" t="e">
        <f>IF(AND(AL320&lt;&gt;1,AL320&lt;&gt;3,AL320&lt;&gt;4),AP320+1,XX)</f>
        <v>#NAME?</v>
      </c>
      <c r="AW320" s="2" t="e">
        <f>IF(AND(AL320&lt;&gt;1,AL320&lt;&gt;3,AL320&lt;&gt;4),AR320-1,XX)</f>
        <v>#NAME?</v>
      </c>
    </row>
    <row r="321" spans="1:49" ht="3" hidden="1" customHeight="1">
      <c r="A321" s="176"/>
      <c r="B321" s="176"/>
      <c r="H321" s="6"/>
      <c r="J321" s="70"/>
      <c r="L321" s="7"/>
      <c r="M321" s="250"/>
      <c r="N321" s="175"/>
      <c r="O321" s="36"/>
      <c r="P321" s="36"/>
      <c r="Q321" s="37"/>
      <c r="R321" s="37"/>
      <c r="S321" s="37"/>
      <c r="T321" s="37"/>
      <c r="U321" s="37"/>
      <c r="V321" s="37"/>
      <c r="W321" s="37"/>
      <c r="X321" s="37"/>
      <c r="Y321" s="37"/>
      <c r="Z321" s="37"/>
      <c r="AA321" s="37"/>
      <c r="AB321" s="12"/>
      <c r="AC321" s="10"/>
      <c r="AD321" s="8"/>
      <c r="AE321" s="175"/>
      <c r="AF321" s="7"/>
      <c r="AG321" s="2"/>
      <c r="AJ321" s="13"/>
      <c r="AK321" s="13"/>
      <c r="AL321" s="13"/>
      <c r="AM321" s="13"/>
      <c r="AN321" s="188"/>
      <c r="AO321" s="75"/>
      <c r="AP321" s="75"/>
      <c r="AQ321" s="75"/>
      <c r="AR321" s="75"/>
      <c r="AS321" s="14"/>
      <c r="AT321" s="14"/>
      <c r="AU321" s="75"/>
    </row>
    <row r="322" spans="1:49" ht="14.25" hidden="1" customHeight="1">
      <c r="A322" s="176"/>
      <c r="B322" s="176"/>
      <c r="H322" s="2">
        <v>1</v>
      </c>
      <c r="J322" s="71" t="str">
        <f>CONCATENATE(SUM($G$17:G322),".",SUM($H$314:H322))</f>
        <v>21.4</v>
      </c>
      <c r="K322" s="2" t="s">
        <v>109</v>
      </c>
      <c r="L322" s="7"/>
      <c r="M322" s="250"/>
      <c r="N322" s="175"/>
      <c r="O322" s="385" t="str">
        <f>CONCATENATE(J322,". ",K322,$K$17)</f>
        <v>21.4. Memorial descritivo;------------------------------------------------------------------------------------------------------------------------------------------------------------------------</v>
      </c>
      <c r="P322" s="385"/>
      <c r="Q322" s="385"/>
      <c r="R322" s="385"/>
      <c r="S322" s="385"/>
      <c r="T322" s="385"/>
      <c r="U322" s="385"/>
      <c r="V322" s="385"/>
      <c r="W322" s="385"/>
      <c r="X322" s="385"/>
      <c r="Y322" s="385"/>
      <c r="Z322" s="385"/>
      <c r="AA322" s="385"/>
      <c r="AB322" s="385"/>
      <c r="AC322" s="385"/>
      <c r="AD322" s="8"/>
      <c r="AE322" s="156"/>
      <c r="AF322" s="7"/>
      <c r="AG322" s="80"/>
      <c r="AJ322" s="13">
        <f>IF($M$15=0,1,0)</f>
        <v>0</v>
      </c>
      <c r="AK322" s="13"/>
      <c r="AL322" s="13">
        <f>IF(AND(AC322&lt;&gt;"",AE322&lt;&gt;""),4,IF(AC322&lt;&gt;"",1,IF(AE322&lt;&gt;"",2,IF($M$15&lt;&gt;0,3,0))))</f>
        <v>3</v>
      </c>
      <c r="AM322" s="13"/>
      <c r="AN322" s="188">
        <f t="shared" ref="AN322" si="340">IF(AND(AC322&lt;&gt;"",AE322&lt;&gt;""),1,IF(AL322&lt;&gt;0,0,1))</f>
        <v>0</v>
      </c>
      <c r="AO322" s="75">
        <f ca="1">SUM($AN$21:OFFSET(AO322,-2,-1))</f>
        <v>105</v>
      </c>
      <c r="AP322" s="75" t="str">
        <f t="shared" ca="1" si="334"/>
        <v>XX</v>
      </c>
      <c r="AQ322" s="75">
        <f>MAX($AE$21:AE320)</f>
        <v>0</v>
      </c>
      <c r="AR322" s="13">
        <f>IF(SUM(AE324:$AE$348)&gt;0,MIN(AE324:$AE$348),10000)</f>
        <v>10000</v>
      </c>
      <c r="AS322" s="14"/>
      <c r="AT322" s="14"/>
      <c r="AU322" s="75">
        <f t="shared" ref="AU322" si="341">IF(AND(AC322&lt;&gt;"",AE322&lt;&gt;""),4,0)</f>
        <v>0</v>
      </c>
      <c r="AV322" s="2" t="e">
        <f>IF(AND(AL322&lt;&gt;1,AL322&lt;&gt;3,AL322&lt;&gt;4),AP322+1,XX)</f>
        <v>#NAME?</v>
      </c>
      <c r="AW322" s="2" t="e">
        <f>IF(AND(AL322&lt;&gt;1,AL322&lt;&gt;3,AL322&lt;&gt;4),AR322-1,XX)</f>
        <v>#NAME?</v>
      </c>
    </row>
    <row r="323" spans="1:49" ht="3" hidden="1" customHeight="1">
      <c r="A323" s="176"/>
      <c r="B323" s="176"/>
      <c r="J323" s="70"/>
      <c r="L323" s="7"/>
      <c r="M323" s="250"/>
      <c r="N323" s="175"/>
      <c r="O323" s="36"/>
      <c r="P323" s="36"/>
      <c r="Q323" s="37"/>
      <c r="R323" s="37"/>
      <c r="S323" s="37"/>
      <c r="T323" s="37"/>
      <c r="U323" s="37"/>
      <c r="V323" s="37"/>
      <c r="W323" s="37"/>
      <c r="X323" s="37"/>
      <c r="Y323" s="37"/>
      <c r="Z323" s="37"/>
      <c r="AA323" s="37"/>
      <c r="AB323" s="12"/>
      <c r="AC323" s="10"/>
      <c r="AD323" s="8"/>
      <c r="AE323" s="175"/>
      <c r="AF323" s="7"/>
      <c r="AG323" s="176"/>
      <c r="AJ323" s="13"/>
      <c r="AK323" s="13"/>
      <c r="AL323" s="13"/>
      <c r="AM323" s="13"/>
      <c r="AN323" s="188"/>
      <c r="AO323" s="75"/>
      <c r="AP323" s="75"/>
      <c r="AQ323" s="75"/>
      <c r="AR323" s="75"/>
      <c r="AS323" s="14"/>
      <c r="AT323" s="14"/>
      <c r="AU323" s="75"/>
    </row>
    <row r="324" spans="1:49" ht="14.25" hidden="1" customHeight="1">
      <c r="A324" s="176"/>
      <c r="B324" s="176"/>
      <c r="H324" s="2">
        <v>1</v>
      </c>
      <c r="J324" s="71" t="str">
        <f>CONCATENATE(SUM($G$17:G324),".",SUM($H$314:H324))</f>
        <v>21.5</v>
      </c>
      <c r="K324" s="2" t="s">
        <v>110</v>
      </c>
      <c r="L324" s="7"/>
      <c r="M324" s="250"/>
      <c r="N324" s="175"/>
      <c r="O324" s="385" t="str">
        <f>CONCATENATE(J324,". ",K324,$K$17)</f>
        <v>21.5. Cronograma físico-financeiro;------------------------------------------------------------------------------------------------------------------------------------------------------------------------</v>
      </c>
      <c r="P324" s="385"/>
      <c r="Q324" s="385"/>
      <c r="R324" s="385"/>
      <c r="S324" s="385"/>
      <c r="T324" s="385"/>
      <c r="U324" s="385"/>
      <c r="V324" s="385"/>
      <c r="W324" s="385"/>
      <c r="X324" s="385"/>
      <c r="Y324" s="385"/>
      <c r="Z324" s="385"/>
      <c r="AA324" s="385"/>
      <c r="AB324" s="385"/>
      <c r="AC324" s="385"/>
      <c r="AD324" s="8"/>
      <c r="AE324" s="156"/>
      <c r="AF324" s="7"/>
      <c r="AG324" s="80"/>
      <c r="AJ324" s="13">
        <f>IF($M$15=0,1,0)</f>
        <v>0</v>
      </c>
      <c r="AK324" s="13"/>
      <c r="AL324" s="13">
        <f>IF(AND(AC324&lt;&gt;"",AE324&lt;&gt;""),4,IF(AC324&lt;&gt;"",1,IF(AE324&lt;&gt;"",2,IF($M$15&lt;&gt;0,3,0))))</f>
        <v>3</v>
      </c>
      <c r="AM324" s="13"/>
      <c r="AN324" s="188">
        <f t="shared" ref="AN324" si="342">IF(AND(AC324&lt;&gt;"",AE324&lt;&gt;""),1,IF(AL324&lt;&gt;0,0,1))</f>
        <v>0</v>
      </c>
      <c r="AO324" s="75">
        <f ca="1">SUM($AN$21:OFFSET(AO324,-2,-1))</f>
        <v>105</v>
      </c>
      <c r="AP324" s="75" t="str">
        <f t="shared" ca="1" si="334"/>
        <v>XX</v>
      </c>
      <c r="AQ324" s="75">
        <f>MAX($AE$21:AE322)</f>
        <v>0</v>
      </c>
      <c r="AR324" s="13">
        <f>IF(SUM(AE326:$AE$348)&gt;0,MIN(AE326:$AE$348),10000)</f>
        <v>10000</v>
      </c>
      <c r="AS324" s="14"/>
      <c r="AT324" s="14"/>
      <c r="AU324" s="75">
        <f t="shared" ref="AU324" si="343">IF(AND(AC324&lt;&gt;"",AE324&lt;&gt;""),4,0)</f>
        <v>0</v>
      </c>
      <c r="AV324" s="2" t="e">
        <f>IF(AND(AL324&lt;&gt;1,AL324&lt;&gt;3,AL324&lt;&gt;4),AP324+1,XX)</f>
        <v>#NAME?</v>
      </c>
      <c r="AW324" s="2" t="e">
        <f>IF(AND(AL324&lt;&gt;1,AL324&lt;&gt;3,AL324&lt;&gt;4),AR324-1,XX)</f>
        <v>#NAME?</v>
      </c>
    </row>
    <row r="325" spans="1:49" s="14" customFormat="1" ht="3" hidden="1" customHeight="1">
      <c r="A325" s="176"/>
      <c r="B325" s="176"/>
      <c r="H325" s="6"/>
      <c r="J325" s="70"/>
      <c r="L325" s="15"/>
      <c r="M325" s="250"/>
      <c r="N325" s="15"/>
      <c r="O325" s="36"/>
      <c r="P325" s="36"/>
      <c r="Q325" s="37"/>
      <c r="R325" s="37"/>
      <c r="S325" s="37"/>
      <c r="T325" s="37"/>
      <c r="U325" s="37"/>
      <c r="V325" s="37"/>
      <c r="W325" s="37"/>
      <c r="X325" s="37"/>
      <c r="Y325" s="37"/>
      <c r="Z325" s="37"/>
      <c r="AA325" s="37"/>
      <c r="AB325" s="12"/>
      <c r="AC325" s="10"/>
      <c r="AD325" s="8"/>
      <c r="AE325" s="175"/>
      <c r="AF325" s="15"/>
      <c r="AG325" s="176"/>
      <c r="AJ325" s="13"/>
      <c r="AK325" s="13"/>
      <c r="AL325" s="13"/>
      <c r="AM325" s="13"/>
      <c r="AN325" s="188"/>
      <c r="AO325" s="75"/>
      <c r="AP325" s="75"/>
      <c r="AQ325" s="75"/>
      <c r="AR325" s="75"/>
      <c r="AU325" s="75"/>
      <c r="AV325" s="2"/>
      <c r="AW325" s="2"/>
    </row>
    <row r="326" spans="1:49" s="14" customFormat="1" ht="14.25" hidden="1" customHeight="1">
      <c r="A326" s="176"/>
      <c r="B326" s="176"/>
      <c r="C326" s="2"/>
      <c r="D326" s="2"/>
      <c r="E326" s="2"/>
      <c r="F326" s="2"/>
      <c r="G326" s="2"/>
      <c r="H326" s="2">
        <v>1</v>
      </c>
      <c r="I326" s="2"/>
      <c r="J326" s="71" t="str">
        <f>CONCATENATE(SUM($G$17:G326),".",SUM($H$314:H326))</f>
        <v>21.6</v>
      </c>
      <c r="K326" s="2" t="s">
        <v>216</v>
      </c>
      <c r="L326" s="15"/>
      <c r="M326" s="250"/>
      <c r="N326" s="15"/>
      <c r="O326" s="385" t="str">
        <f>CONCATENATE(J326,". ",K326,$K$17)</f>
        <v>21.6. ART/RRT do Orçamento, Memorial Descritivo e Cronograma físico-financeiro;------------------------------------------------------------------------------------------------------------------------------------------------------------------------</v>
      </c>
      <c r="P326" s="385"/>
      <c r="Q326" s="385"/>
      <c r="R326" s="385"/>
      <c r="S326" s="385"/>
      <c r="T326" s="385"/>
      <c r="U326" s="385"/>
      <c r="V326" s="385"/>
      <c r="W326" s="385"/>
      <c r="X326" s="385"/>
      <c r="Y326" s="385"/>
      <c r="Z326" s="385"/>
      <c r="AA326" s="385"/>
      <c r="AB326" s="385"/>
      <c r="AC326" s="385"/>
      <c r="AD326" s="8"/>
      <c r="AE326" s="156"/>
      <c r="AF326" s="15"/>
      <c r="AG326" s="80"/>
      <c r="AJ326" s="13">
        <f>IF($M$15=0,1,0)</f>
        <v>0</v>
      </c>
      <c r="AK326" s="13"/>
      <c r="AL326" s="13">
        <f>IF(AND(AC326&lt;&gt;"",AE326&lt;&gt;""),4,IF(AC326&lt;&gt;"",1,IF(AE326&lt;&gt;"",2,IF($M$15&lt;&gt;0,3,0))))</f>
        <v>3</v>
      </c>
      <c r="AM326" s="13"/>
      <c r="AN326" s="188">
        <f t="shared" ref="AN326" si="344">IF(AND(AC326&lt;&gt;"",AE326&lt;&gt;""),1,IF(AL326&lt;&gt;0,0,1))</f>
        <v>0</v>
      </c>
      <c r="AO326" s="75">
        <f ca="1">SUM($AN$21:OFFSET(AO326,-2,-1))</f>
        <v>105</v>
      </c>
      <c r="AP326" s="75" t="str">
        <f t="shared" ca="1" si="334"/>
        <v>XX</v>
      </c>
      <c r="AQ326" s="75">
        <f>MAX($AE$21:AE324)</f>
        <v>0</v>
      </c>
      <c r="AR326" s="13">
        <f>IF(SUM(AE328:$AE$348)&gt;0,MIN(AE328:$AE$348),10000)</f>
        <v>10000</v>
      </c>
      <c r="AU326" s="75">
        <f t="shared" ref="AU326" si="345">IF(AND(AC326&lt;&gt;"",AE326&lt;&gt;""),4,0)</f>
        <v>0</v>
      </c>
      <c r="AV326" s="2" t="e">
        <f>IF(AND(AL326&lt;&gt;1,AL326&lt;&gt;3,AL326&lt;&gt;4),AP326+1,XX)</f>
        <v>#NAME?</v>
      </c>
      <c r="AW326" s="2" t="e">
        <f>IF(AND(AL326&lt;&gt;1,AL326&lt;&gt;3,AL326&lt;&gt;4),AR326-1,XX)</f>
        <v>#NAME?</v>
      </c>
    </row>
    <row r="327" spans="1:49" ht="3" hidden="1" customHeight="1">
      <c r="A327" s="176"/>
      <c r="B327" s="176"/>
      <c r="J327" s="70"/>
      <c r="L327" s="7"/>
      <c r="M327" s="250"/>
      <c r="N327" s="175"/>
      <c r="O327" s="36"/>
      <c r="P327" s="36"/>
      <c r="Q327" s="37"/>
      <c r="R327" s="37"/>
      <c r="S327" s="37"/>
      <c r="T327" s="37"/>
      <c r="U327" s="37"/>
      <c r="V327" s="37"/>
      <c r="W327" s="37"/>
      <c r="X327" s="37"/>
      <c r="Y327" s="37"/>
      <c r="Z327" s="37"/>
      <c r="AA327" s="37"/>
      <c r="AB327" s="12"/>
      <c r="AC327" s="10"/>
      <c r="AD327" s="8"/>
      <c r="AE327" s="175"/>
      <c r="AF327" s="7"/>
      <c r="AG327" s="25"/>
      <c r="AJ327" s="13"/>
      <c r="AK327" s="13"/>
      <c r="AL327" s="13"/>
      <c r="AM327" s="13"/>
      <c r="AN327" s="188"/>
      <c r="AO327" s="75"/>
      <c r="AP327" s="75"/>
      <c r="AQ327" s="75"/>
      <c r="AR327" s="75"/>
      <c r="AS327" s="14"/>
      <c r="AT327" s="14"/>
      <c r="AU327" s="75"/>
    </row>
    <row r="328" spans="1:49" ht="14.25" hidden="1" customHeight="1">
      <c r="A328" s="176"/>
      <c r="B328" s="176"/>
      <c r="H328" s="2">
        <v>1</v>
      </c>
      <c r="J328" s="71" t="str">
        <f>CONCATENATE(SUM($G$17:G328),".",SUM($H$314:H328))</f>
        <v>21.7</v>
      </c>
      <c r="K328" s="2" t="s">
        <v>360</v>
      </c>
      <c r="L328" s="7"/>
      <c r="M328" s="250"/>
      <c r="N328" s="175"/>
      <c r="O328" s="385" t="str">
        <f>CONCATENATE(J328,". ",K328,$K$17)</f>
        <v>21.7. ART/RRT dos Projetos de Edificação;------------------------------------------------------------------------------------------------------------------------------------------------------------------------</v>
      </c>
      <c r="P328" s="385"/>
      <c r="Q328" s="385"/>
      <c r="R328" s="385"/>
      <c r="S328" s="385"/>
      <c r="T328" s="385"/>
      <c r="U328" s="385"/>
      <c r="V328" s="385"/>
      <c r="W328" s="385"/>
      <c r="X328" s="385"/>
      <c r="Y328" s="385"/>
      <c r="Z328" s="385"/>
      <c r="AA328" s="385"/>
      <c r="AB328" s="385"/>
      <c r="AC328" s="385"/>
      <c r="AD328" s="64"/>
      <c r="AE328" s="156"/>
      <c r="AF328" s="7"/>
      <c r="AG328" s="80"/>
      <c r="AJ328" s="13">
        <f>IF($M$15=0,1,0)</f>
        <v>0</v>
      </c>
      <c r="AK328" s="13"/>
      <c r="AL328" s="13">
        <f>IF(AND(AC328&lt;&gt;"",AE328&lt;&gt;""),4,IF(AC328&lt;&gt;"",1,IF(AE328&lt;&gt;"",2,IF($M$15&lt;&gt;0,3,0))))</f>
        <v>3</v>
      </c>
      <c r="AM328" s="13"/>
      <c r="AN328" s="188">
        <f t="shared" ref="AN328" si="346">IF(AND(AC328&lt;&gt;"",AE328&lt;&gt;""),1,IF(AL328&lt;&gt;0,0,1))</f>
        <v>0</v>
      </c>
      <c r="AO328" s="75">
        <f ca="1">SUM($AN$21:OFFSET(AO328,-2,-1))</f>
        <v>105</v>
      </c>
      <c r="AP328" s="75" t="str">
        <f t="shared" ca="1" si="334"/>
        <v>XX</v>
      </c>
      <c r="AQ328" s="75">
        <f>MAX($AE$21:AE326)</f>
        <v>0</v>
      </c>
      <c r="AR328" s="13">
        <f>IF(SUM(AE330:$AE$348)&gt;0,MIN(AE330:$AE$348),10000)</f>
        <v>10000</v>
      </c>
      <c r="AS328" s="14"/>
      <c r="AT328" s="14"/>
      <c r="AU328" s="75">
        <f t="shared" ref="AU328" si="347">IF(AND(AC328&lt;&gt;"",AE328&lt;&gt;""),4,0)</f>
        <v>0</v>
      </c>
      <c r="AV328" s="2" t="e">
        <f>IF(AND(AL328&lt;&gt;1,AL328&lt;&gt;3,AL328&lt;&gt;4),AP328+1,XX)</f>
        <v>#NAME?</v>
      </c>
      <c r="AW328" s="2" t="e">
        <f>IF(AND(AL328&lt;&gt;1,AL328&lt;&gt;3,AL328&lt;&gt;4),AR328-1,XX)</f>
        <v>#NAME?</v>
      </c>
    </row>
    <row r="329" spans="1:49" s="14" customFormat="1" ht="3" hidden="1" customHeight="1">
      <c r="A329" s="176"/>
      <c r="B329" s="176"/>
      <c r="H329" s="6"/>
      <c r="J329" s="70"/>
      <c r="L329" s="15"/>
      <c r="M329" s="250"/>
      <c r="N329" s="15"/>
      <c r="O329" s="36"/>
      <c r="P329" s="36"/>
      <c r="Q329" s="37"/>
      <c r="R329" s="37"/>
      <c r="S329" s="37"/>
      <c r="T329" s="37"/>
      <c r="U329" s="37"/>
      <c r="V329" s="37"/>
      <c r="W329" s="37"/>
      <c r="X329" s="37"/>
      <c r="Y329" s="37"/>
      <c r="Z329" s="37"/>
      <c r="AA329" s="37"/>
      <c r="AB329" s="12"/>
      <c r="AC329" s="16"/>
      <c r="AD329" s="8"/>
      <c r="AE329" s="17"/>
      <c r="AF329" s="15"/>
      <c r="AG329" s="176"/>
      <c r="AJ329" s="13"/>
      <c r="AK329" s="13"/>
      <c r="AL329" s="13"/>
      <c r="AM329" s="13"/>
      <c r="AN329" s="188"/>
      <c r="AO329" s="75"/>
      <c r="AP329" s="75"/>
      <c r="AQ329" s="75"/>
      <c r="AR329" s="75"/>
      <c r="AU329" s="75"/>
      <c r="AV329" s="2"/>
      <c r="AW329" s="2"/>
    </row>
    <row r="330" spans="1:49" s="14" customFormat="1" ht="14.25" hidden="1" customHeight="1">
      <c r="A330" s="176"/>
      <c r="B330" s="176"/>
      <c r="C330" s="2"/>
      <c r="D330" s="2"/>
      <c r="E330" s="2"/>
      <c r="F330" s="2"/>
      <c r="G330" s="2"/>
      <c r="H330" s="2">
        <v>1</v>
      </c>
      <c r="I330" s="2"/>
      <c r="J330" s="71" t="str">
        <f>CONCATENATE(SUM($G$17:G330),".",SUM($H$314:H330))</f>
        <v>21.8</v>
      </c>
      <c r="K330" s="2" t="s">
        <v>358</v>
      </c>
      <c r="L330" s="15"/>
      <c r="M330" s="250"/>
      <c r="N330" s="15"/>
      <c r="O330" s="385" t="str">
        <f>CONCATENATE(J330,". ",K330,$K$17)</f>
        <v>21.8. ART/RRT da Execução da Obra; (somente se obras em andamento)------------------------------------------------------------------------------------------------------------------------------------------------------------------------</v>
      </c>
      <c r="P330" s="385"/>
      <c r="Q330" s="385"/>
      <c r="R330" s="385"/>
      <c r="S330" s="385"/>
      <c r="T330" s="385"/>
      <c r="U330" s="385"/>
      <c r="V330" s="385"/>
      <c r="W330" s="385"/>
      <c r="X330" s="385"/>
      <c r="Y330" s="385"/>
      <c r="Z330" s="385"/>
      <c r="AA330" s="385"/>
      <c r="AB330" s="12"/>
      <c r="AC330" s="189"/>
      <c r="AD330" s="8"/>
      <c r="AE330" s="156"/>
      <c r="AF330" s="15"/>
      <c r="AG330" s="80"/>
      <c r="AJ330" s="13">
        <f>IF($M$15=0,1,0)</f>
        <v>0</v>
      </c>
      <c r="AK330" s="160" t="str">
        <f>IF(AND(AE330="",AC330=""),"X","")</f>
        <v>X</v>
      </c>
      <c r="AL330" s="13">
        <f>IF(AND(AC330&lt;&gt;"",AE330&lt;&gt;""),4,IF(AC330&lt;&gt;"",1,IF(AE330&lt;&gt;"",2,IF($M$15&lt;&gt;0,3,0))))</f>
        <v>3</v>
      </c>
      <c r="AM330" s="13"/>
      <c r="AN330" s="188">
        <f t="shared" ref="AN330" si="348">IF(AND(AC330&lt;&gt;"",AE330&lt;&gt;""),1,IF(AL330&lt;&gt;0,0,1))</f>
        <v>0</v>
      </c>
      <c r="AO330" s="75">
        <f ca="1">SUM($AN$21:OFFSET(AO330,-2,-1))</f>
        <v>105</v>
      </c>
      <c r="AP330" s="75" t="str">
        <f t="shared" ca="1" si="334"/>
        <v>XX</v>
      </c>
      <c r="AQ330" s="75">
        <f>MAX($AE$21:AE328)</f>
        <v>0</v>
      </c>
      <c r="AR330" s="13">
        <f>IF(SUM(AE332:$AE$348)&gt;0,MIN(AE332:$AE$348),10000)</f>
        <v>10000</v>
      </c>
      <c r="AU330" s="75">
        <f t="shared" ref="AU330" si="349">IF(AND(AC330&lt;&gt;"",AE330&lt;&gt;""),4,0)</f>
        <v>0</v>
      </c>
      <c r="AV330" s="2" t="e">
        <f>IF(AND(AL330&lt;&gt;1,AL330&lt;&gt;3,AL330&lt;&gt;4),AP330+1,XX)</f>
        <v>#NAME?</v>
      </c>
      <c r="AW330" s="2" t="e">
        <f>IF(AND(AL330&lt;&gt;1,AL330&lt;&gt;3,AL330&lt;&gt;4),AR330-1,XX)</f>
        <v>#NAME?</v>
      </c>
    </row>
    <row r="331" spans="1:49" ht="3" hidden="1" customHeight="1">
      <c r="A331" s="176"/>
      <c r="B331" s="176"/>
      <c r="J331" s="70"/>
      <c r="L331" s="7"/>
      <c r="M331" s="250"/>
      <c r="N331" s="175"/>
      <c r="O331" s="36"/>
      <c r="P331" s="36"/>
      <c r="Q331" s="37"/>
      <c r="R331" s="37"/>
      <c r="S331" s="37"/>
      <c r="T331" s="37"/>
      <c r="U331" s="37"/>
      <c r="V331" s="37"/>
      <c r="W331" s="37"/>
      <c r="X331" s="37"/>
      <c r="Y331" s="37"/>
      <c r="Z331" s="37"/>
      <c r="AA331" s="37"/>
      <c r="AB331" s="12"/>
      <c r="AC331" s="10"/>
      <c r="AD331" s="8"/>
      <c r="AE331" s="175"/>
      <c r="AF331" s="7"/>
      <c r="AG331" s="2"/>
      <c r="AJ331" s="13"/>
      <c r="AK331" s="13"/>
      <c r="AL331" s="13"/>
      <c r="AM331" s="13"/>
      <c r="AN331" s="188"/>
      <c r="AO331" s="75"/>
      <c r="AP331" s="75"/>
      <c r="AQ331" s="75"/>
      <c r="AR331" s="75"/>
      <c r="AS331" s="14"/>
      <c r="AT331" s="14"/>
      <c r="AU331" s="75"/>
    </row>
    <row r="332" spans="1:49" ht="14.25" hidden="1" customHeight="1">
      <c r="A332" s="176"/>
      <c r="B332" s="176"/>
      <c r="H332" s="2">
        <v>1</v>
      </c>
      <c r="J332" s="71" t="str">
        <f>CONCATENATE(SUM($G$17:G332),".",SUM($H$314:H332))</f>
        <v>21.9</v>
      </c>
      <c r="K332" s="2" t="s">
        <v>155</v>
      </c>
      <c r="L332" s="7"/>
      <c r="M332" s="250"/>
      <c r="N332" s="175"/>
      <c r="O332" s="385" t="str">
        <f>CONCATENATE(J332,". ",K332,$K$17)</f>
        <v>21.9. Layout das construções civis;------------------------------------------------------------------------------------------------------------------------------------------------------------------------</v>
      </c>
      <c r="P332" s="385"/>
      <c r="Q332" s="385"/>
      <c r="R332" s="385"/>
      <c r="S332" s="385"/>
      <c r="T332" s="385"/>
      <c r="U332" s="385"/>
      <c r="V332" s="385"/>
      <c r="W332" s="385"/>
      <c r="X332" s="385"/>
      <c r="Y332" s="385"/>
      <c r="Z332" s="385"/>
      <c r="AA332" s="385"/>
      <c r="AB332" s="385"/>
      <c r="AC332" s="385"/>
      <c r="AD332" s="8"/>
      <c r="AE332" s="156"/>
      <c r="AF332" s="7"/>
      <c r="AG332" s="80"/>
      <c r="AJ332" s="13">
        <f>IF($M$15=0,1,0)</f>
        <v>0</v>
      </c>
      <c r="AK332" s="13"/>
      <c r="AL332" s="13">
        <f>IF(AND(AC332&lt;&gt;"",AE332&lt;&gt;""),4,IF(AC332&lt;&gt;"",1,IF(AE332&lt;&gt;"",2,IF($M$15&lt;&gt;0,3,0))))</f>
        <v>3</v>
      </c>
      <c r="AM332" s="13"/>
      <c r="AN332" s="188">
        <f t="shared" ref="AN332" si="350">IF(AND(AC332&lt;&gt;"",AE332&lt;&gt;""),1,IF(AL332&lt;&gt;0,0,1))</f>
        <v>0</v>
      </c>
      <c r="AO332" s="75">
        <f ca="1">SUM($AN$21:OFFSET(AO332,-2,-1))</f>
        <v>105</v>
      </c>
      <c r="AP332" s="75" t="str">
        <f t="shared" ca="1" si="334"/>
        <v>XX</v>
      </c>
      <c r="AQ332" s="75">
        <f>MAX($AE$21:AE330)</f>
        <v>0</v>
      </c>
      <c r="AR332" s="13">
        <f>IF(SUM(AE334:$AE$348)&gt;0,MIN(AE334:$AE$348),10000)</f>
        <v>10000</v>
      </c>
      <c r="AS332" s="14"/>
      <c r="AT332" s="14"/>
      <c r="AU332" s="75">
        <f t="shared" ref="AU332" si="351">IF(AND(AC332&lt;&gt;"",AE332&lt;&gt;""),4,0)</f>
        <v>0</v>
      </c>
      <c r="AV332" s="2" t="e">
        <f>IF(AND(AL332&lt;&gt;1,AL332&lt;&gt;3,AL332&lt;&gt;4),AP332+1,XX)</f>
        <v>#NAME?</v>
      </c>
      <c r="AW332" s="2" t="e">
        <f>IF(AND(AL332&lt;&gt;1,AL332&lt;&gt;3,AL332&lt;&gt;4),AR332-1,XX)</f>
        <v>#NAME?</v>
      </c>
    </row>
    <row r="333" spans="1:49" ht="3" hidden="1" customHeight="1">
      <c r="A333" s="176"/>
      <c r="B333" s="176"/>
      <c r="H333" s="6"/>
      <c r="J333" s="70"/>
      <c r="L333" s="7"/>
      <c r="M333" s="250"/>
      <c r="N333" s="175"/>
      <c r="O333" s="34"/>
      <c r="P333" s="34"/>
      <c r="Q333" s="39"/>
      <c r="R333" s="39"/>
      <c r="S333" s="39"/>
      <c r="T333" s="39"/>
      <c r="U333" s="39"/>
      <c r="V333" s="39"/>
      <c r="W333" s="39"/>
      <c r="X333" s="39"/>
      <c r="Y333" s="39"/>
      <c r="Z333" s="39"/>
      <c r="AA333" s="39"/>
      <c r="AB333" s="12"/>
      <c r="AC333" s="10"/>
      <c r="AD333" s="8"/>
      <c r="AE333" s="175"/>
      <c r="AF333" s="7"/>
      <c r="AG333" s="176"/>
      <c r="AJ333" s="13"/>
      <c r="AK333" s="13"/>
      <c r="AL333" s="13"/>
      <c r="AM333" s="13"/>
      <c r="AN333" s="188"/>
      <c r="AO333" s="75"/>
      <c r="AP333" s="75"/>
      <c r="AQ333" s="75"/>
      <c r="AR333" s="75"/>
      <c r="AS333" s="14"/>
      <c r="AT333" s="14"/>
      <c r="AU333" s="75"/>
    </row>
    <row r="334" spans="1:49" ht="14.25" hidden="1" customHeight="1">
      <c r="A334" s="176"/>
      <c r="B334" s="176"/>
      <c r="H334" s="2">
        <v>1</v>
      </c>
      <c r="J334" s="71" t="str">
        <f>CONCATENATE(SUM($G$17:G334),".",SUM($H$314:H334))</f>
        <v>21.10</v>
      </c>
      <c r="K334" s="2" t="s">
        <v>111</v>
      </c>
      <c r="L334" s="7"/>
      <c r="M334" s="250"/>
      <c r="N334" s="175"/>
      <c r="O334" s="385" t="str">
        <f>CONCATENATE(J334,". ",K334,$K$17)</f>
        <v>21.10. Planta de Localização/Situação;------------------------------------------------------------------------------------------------------------------------------------------------------------------------</v>
      </c>
      <c r="P334" s="385"/>
      <c r="Q334" s="385"/>
      <c r="R334" s="385"/>
      <c r="S334" s="385"/>
      <c r="T334" s="385"/>
      <c r="U334" s="385"/>
      <c r="V334" s="385"/>
      <c r="W334" s="385"/>
      <c r="X334" s="385"/>
      <c r="Y334" s="385"/>
      <c r="Z334" s="385"/>
      <c r="AA334" s="385"/>
      <c r="AB334" s="385"/>
      <c r="AC334" s="385"/>
      <c r="AD334" s="8"/>
      <c r="AE334" s="156"/>
      <c r="AF334" s="7"/>
      <c r="AG334" s="80"/>
      <c r="AJ334" s="13">
        <f>IF($M$15=0,1,0)</f>
        <v>0</v>
      </c>
      <c r="AK334" s="13"/>
      <c r="AL334" s="13">
        <f>IF(AND(AC334&lt;&gt;"",AE334&lt;&gt;""),4,IF(AC334&lt;&gt;"",1,IF(AE334&lt;&gt;"",2,IF($M$15&lt;&gt;0,3,0))))</f>
        <v>3</v>
      </c>
      <c r="AM334" s="13"/>
      <c r="AN334" s="188">
        <f t="shared" ref="AN334" si="352">IF(AND(AC334&lt;&gt;"",AE334&lt;&gt;""),1,IF(AL334&lt;&gt;0,0,1))</f>
        <v>0</v>
      </c>
      <c r="AO334" s="75">
        <f ca="1">SUM($AN$21:OFFSET(AO334,-2,-1))</f>
        <v>105</v>
      </c>
      <c r="AP334" s="75" t="str">
        <f t="shared" ca="1" si="334"/>
        <v>XX</v>
      </c>
      <c r="AQ334" s="75">
        <f>MAX($AE$21:AE332)</f>
        <v>0</v>
      </c>
      <c r="AR334" s="13">
        <f>IF(SUM(AE336:$AE$348)&gt;0,MIN(AE336:$AE$348),10000)</f>
        <v>10000</v>
      </c>
      <c r="AS334" s="14"/>
      <c r="AT334" s="14"/>
      <c r="AU334" s="75">
        <f t="shared" ref="AU334" si="353">IF(AND(AC334&lt;&gt;"",AE334&lt;&gt;""),4,0)</f>
        <v>0</v>
      </c>
      <c r="AV334" s="2" t="e">
        <f>IF(AND(AL334&lt;&gt;1,AL334&lt;&gt;3,AL334&lt;&gt;4),AP334+1,XX)</f>
        <v>#NAME?</v>
      </c>
      <c r="AW334" s="2" t="e">
        <f>IF(AND(AL334&lt;&gt;1,AL334&lt;&gt;3,AL334&lt;&gt;4),AR334-1,XX)</f>
        <v>#NAME?</v>
      </c>
    </row>
    <row r="335" spans="1:49" ht="3" hidden="1" customHeight="1">
      <c r="A335" s="176"/>
      <c r="B335" s="176"/>
      <c r="J335" s="70"/>
      <c r="L335" s="7"/>
      <c r="M335" s="250"/>
      <c r="N335" s="175"/>
      <c r="O335" s="36"/>
      <c r="P335" s="36"/>
      <c r="Q335" s="37"/>
      <c r="R335" s="37"/>
      <c r="S335" s="37"/>
      <c r="T335" s="37"/>
      <c r="U335" s="37"/>
      <c r="V335" s="37"/>
      <c r="W335" s="37"/>
      <c r="X335" s="37"/>
      <c r="Y335" s="37"/>
      <c r="Z335" s="37"/>
      <c r="AA335" s="37"/>
      <c r="AB335" s="12"/>
      <c r="AC335" s="10"/>
      <c r="AD335" s="8"/>
      <c r="AE335" s="175"/>
      <c r="AF335" s="7"/>
      <c r="AG335" s="176"/>
      <c r="AJ335" s="13"/>
      <c r="AK335" s="13"/>
      <c r="AL335" s="13"/>
      <c r="AM335" s="13"/>
      <c r="AN335" s="188"/>
      <c r="AO335" s="75"/>
      <c r="AP335" s="75"/>
      <c r="AQ335" s="75"/>
      <c r="AR335" s="75"/>
      <c r="AS335" s="14"/>
      <c r="AT335" s="14"/>
      <c r="AU335" s="75"/>
    </row>
    <row r="336" spans="1:49" ht="14.25" hidden="1" customHeight="1">
      <c r="A336" s="176"/>
      <c r="B336" s="176"/>
      <c r="H336" s="2">
        <v>1</v>
      </c>
      <c r="J336" s="71" t="str">
        <f>CONCATENATE(SUM($G$17:G336),".",SUM($H$314:H336))</f>
        <v>21.11</v>
      </c>
      <c r="K336" s="2" t="s">
        <v>361</v>
      </c>
      <c r="L336" s="7"/>
      <c r="M336" s="250"/>
      <c r="N336" s="175"/>
      <c r="O336" s="385" t="str">
        <f>CONCATENATE(J336,". ",K336,$K$17)</f>
        <v>21.11. Projetos arquitetônicos das construções civis a realizar;------------------------------------------------------------------------------------------------------------------------------------------------------------------------</v>
      </c>
      <c r="P336" s="385"/>
      <c r="Q336" s="385"/>
      <c r="R336" s="385"/>
      <c r="S336" s="385"/>
      <c r="T336" s="385"/>
      <c r="U336" s="385"/>
      <c r="V336" s="385"/>
      <c r="W336" s="385"/>
      <c r="X336" s="385"/>
      <c r="Y336" s="385"/>
      <c r="Z336" s="385"/>
      <c r="AA336" s="385"/>
      <c r="AB336" s="385"/>
      <c r="AC336" s="385"/>
      <c r="AD336" s="8"/>
      <c r="AE336" s="156"/>
      <c r="AF336" s="7"/>
      <c r="AG336" s="80"/>
      <c r="AJ336" s="13">
        <f>IF($M$15=0,1,0)</f>
        <v>0</v>
      </c>
      <c r="AK336" s="13"/>
      <c r="AL336" s="13">
        <f>IF(AND(AC336&lt;&gt;"",AE336&lt;&gt;""),4,IF(AC336&lt;&gt;"",1,IF(AE336&lt;&gt;"",2,IF($M$15&lt;&gt;0,3,0))))</f>
        <v>3</v>
      </c>
      <c r="AM336" s="13"/>
      <c r="AN336" s="188">
        <f t="shared" ref="AN336" si="354">IF(AND(AC336&lt;&gt;"",AE336&lt;&gt;""),1,IF(AL336&lt;&gt;0,0,1))</f>
        <v>0</v>
      </c>
      <c r="AO336" s="75">
        <f ca="1">SUM($AN$21:OFFSET(AO336,-2,-1))</f>
        <v>105</v>
      </c>
      <c r="AP336" s="75" t="str">
        <f t="shared" ca="1" si="334"/>
        <v>XX</v>
      </c>
      <c r="AQ336" s="75">
        <f>MAX($AE$21:AE334)</f>
        <v>0</v>
      </c>
      <c r="AR336" s="13">
        <f>IF(SUM(AE338:$AE$348)&gt;0,MIN(AE338:$AE$348),10000)</f>
        <v>10000</v>
      </c>
      <c r="AS336" s="14"/>
      <c r="AT336" s="14"/>
      <c r="AU336" s="75">
        <f t="shared" ref="AU336" si="355">IF(AND(AC336&lt;&gt;"",AE336&lt;&gt;""),4,0)</f>
        <v>0</v>
      </c>
      <c r="AV336" s="2" t="e">
        <f>IF(AND(AL336&lt;&gt;1,AL336&lt;&gt;3,AL336&lt;&gt;4),AP336+1,XX)</f>
        <v>#NAME?</v>
      </c>
      <c r="AW336" s="2" t="e">
        <f>IF(AND(AL336&lt;&gt;1,AL336&lt;&gt;3,AL336&lt;&gt;4),AR336-1,XX)</f>
        <v>#NAME?</v>
      </c>
    </row>
    <row r="337" spans="1:49" ht="3" hidden="1" customHeight="1">
      <c r="A337" s="176"/>
      <c r="B337" s="176"/>
      <c r="H337" s="6"/>
      <c r="J337" s="70"/>
      <c r="L337" s="7"/>
      <c r="M337" s="250"/>
      <c r="N337" s="175"/>
      <c r="O337" s="36"/>
      <c r="P337" s="36"/>
      <c r="Q337" s="37"/>
      <c r="R337" s="37"/>
      <c r="S337" s="37"/>
      <c r="T337" s="37"/>
      <c r="U337" s="37"/>
      <c r="V337" s="37"/>
      <c r="W337" s="37"/>
      <c r="X337" s="37"/>
      <c r="Y337" s="37"/>
      <c r="Z337" s="37"/>
      <c r="AA337" s="37"/>
      <c r="AB337" s="12"/>
      <c r="AC337" s="10"/>
      <c r="AD337" s="8"/>
      <c r="AE337" s="175"/>
      <c r="AF337" s="7"/>
      <c r="AG337" s="25"/>
      <c r="AJ337" s="13"/>
      <c r="AK337" s="13"/>
      <c r="AL337" s="13"/>
      <c r="AM337" s="13"/>
      <c r="AN337" s="188"/>
      <c r="AO337" s="75"/>
      <c r="AP337" s="75"/>
      <c r="AQ337" s="75"/>
      <c r="AR337" s="75"/>
      <c r="AS337" s="14"/>
      <c r="AT337" s="14"/>
      <c r="AU337" s="75"/>
    </row>
    <row r="338" spans="1:49" ht="14.25" hidden="1" customHeight="1">
      <c r="A338" s="176"/>
      <c r="B338" s="176"/>
      <c r="H338" s="2">
        <v>1</v>
      </c>
      <c r="J338" s="71" t="str">
        <f>CONCATENATE(SUM($G$17:G338),".",SUM($H$314:H338))</f>
        <v>21.12</v>
      </c>
      <c r="K338" s="2" t="s">
        <v>362</v>
      </c>
      <c r="L338" s="7"/>
      <c r="M338" s="250"/>
      <c r="N338" s="175"/>
      <c r="O338" s="385" t="str">
        <f>CONCATENATE(J338,". ",K338,$K$17)</f>
        <v>21.12. Projeto de Fundação;------------------------------------------------------------------------------------------------------------------------------------------------------------------------</v>
      </c>
      <c r="P338" s="385"/>
      <c r="Q338" s="385"/>
      <c r="R338" s="385"/>
      <c r="S338" s="385"/>
      <c r="T338" s="385"/>
      <c r="U338" s="385"/>
      <c r="V338" s="385"/>
      <c r="W338" s="385"/>
      <c r="X338" s="385"/>
      <c r="Y338" s="385"/>
      <c r="Z338" s="385"/>
      <c r="AA338" s="385"/>
      <c r="AB338" s="12"/>
      <c r="AC338" s="189"/>
      <c r="AD338" s="8"/>
      <c r="AE338" s="156"/>
      <c r="AF338" s="7"/>
      <c r="AG338" s="80"/>
      <c r="AJ338" s="13">
        <f>IF($M$15=0,1,0)</f>
        <v>0</v>
      </c>
      <c r="AK338" s="160" t="str">
        <f>IF(AND(AE338="",AC338=""),"X","")</f>
        <v>X</v>
      </c>
      <c r="AL338" s="13">
        <f>IF(AND(AC338&lt;&gt;"",AE338&lt;&gt;""),4,IF(AC338&lt;&gt;"",1,IF(AE338&lt;&gt;"",2,IF($M$15&lt;&gt;0,3,0))))</f>
        <v>3</v>
      </c>
      <c r="AM338" s="13"/>
      <c r="AN338" s="188">
        <f t="shared" ref="AN338" si="356">IF(AND(AC338&lt;&gt;"",AE338&lt;&gt;""),1,IF(AL338&lt;&gt;0,0,1))</f>
        <v>0</v>
      </c>
      <c r="AO338" s="75">
        <f ca="1">SUM($AN$21:OFFSET(AO338,-2,-1))</f>
        <v>105</v>
      </c>
      <c r="AP338" s="75" t="str">
        <f t="shared" ca="1" si="334"/>
        <v>XX</v>
      </c>
      <c r="AQ338" s="75">
        <f>MAX($AE$21:AE336)</f>
        <v>0</v>
      </c>
      <c r="AR338" s="13">
        <f>IF(SUM(AE340:$AE$348)&gt;0,MIN(AE340:$AE$348),10000)</f>
        <v>10000</v>
      </c>
      <c r="AS338" s="14"/>
      <c r="AT338" s="14"/>
      <c r="AU338" s="75">
        <f t="shared" ref="AU338" si="357">IF(AND(AC338&lt;&gt;"",AE338&lt;&gt;""),4,0)</f>
        <v>0</v>
      </c>
      <c r="AV338" s="2" t="e">
        <f>IF(AND(AL338&lt;&gt;1,AL338&lt;&gt;3,AL338&lt;&gt;4),AP338+1,XX)</f>
        <v>#NAME?</v>
      </c>
      <c r="AW338" s="2" t="e">
        <f>IF(AND(AL338&lt;&gt;1,AL338&lt;&gt;3,AL338&lt;&gt;4),AR338-1,XX)</f>
        <v>#NAME?</v>
      </c>
    </row>
    <row r="339" spans="1:49" ht="3" hidden="1" customHeight="1">
      <c r="A339" s="176"/>
      <c r="B339" s="176"/>
      <c r="J339" s="70"/>
      <c r="L339" s="7"/>
      <c r="M339" s="250"/>
      <c r="N339" s="175"/>
      <c r="O339" s="36"/>
      <c r="P339" s="36"/>
      <c r="Q339" s="37"/>
      <c r="R339" s="37"/>
      <c r="S339" s="37"/>
      <c r="T339" s="37"/>
      <c r="U339" s="37"/>
      <c r="V339" s="37"/>
      <c r="W339" s="37"/>
      <c r="X339" s="37"/>
      <c r="Y339" s="37"/>
      <c r="Z339" s="37"/>
      <c r="AA339" s="37"/>
      <c r="AB339" s="12"/>
      <c r="AC339" s="10"/>
      <c r="AD339" s="8"/>
      <c r="AE339" s="175"/>
      <c r="AF339" s="7"/>
      <c r="AG339" s="176"/>
      <c r="AJ339" s="13"/>
      <c r="AK339" s="13"/>
      <c r="AL339" s="13"/>
      <c r="AM339" s="13"/>
      <c r="AN339" s="188"/>
      <c r="AO339" s="75"/>
      <c r="AP339" s="75"/>
      <c r="AQ339" s="75"/>
      <c r="AR339" s="75"/>
      <c r="AS339" s="14"/>
      <c r="AT339" s="14"/>
      <c r="AU339" s="75"/>
    </row>
    <row r="340" spans="1:49" ht="14.25" hidden="1" customHeight="1">
      <c r="A340" s="176"/>
      <c r="B340" s="176"/>
      <c r="H340" s="2">
        <v>1</v>
      </c>
      <c r="J340" s="71" t="str">
        <f>CONCATENATE(SUM($G$17:G340),".",SUM($H$314:H340))</f>
        <v>21.13</v>
      </c>
      <c r="K340" s="2" t="s">
        <v>18</v>
      </c>
      <c r="L340" s="7"/>
      <c r="M340" s="250"/>
      <c r="N340" s="175"/>
      <c r="O340" s="385" t="str">
        <f>CONCATENATE(J340,". ",K340,$K$17)</f>
        <v>21.13. Projeto Estrutural;------------------------------------------------------------------------------------------------------------------------------------------------------------------------</v>
      </c>
      <c r="P340" s="385"/>
      <c r="Q340" s="385"/>
      <c r="R340" s="385"/>
      <c r="S340" s="385"/>
      <c r="T340" s="385"/>
      <c r="U340" s="385"/>
      <c r="V340" s="385"/>
      <c r="W340" s="385"/>
      <c r="X340" s="385"/>
      <c r="Y340" s="385"/>
      <c r="Z340" s="385"/>
      <c r="AA340" s="385"/>
      <c r="AB340" s="12"/>
      <c r="AC340" s="189"/>
      <c r="AD340" s="8"/>
      <c r="AE340" s="156"/>
      <c r="AF340" s="7"/>
      <c r="AG340" s="80"/>
      <c r="AJ340" s="13">
        <f>IF($M$15=0,1,0)</f>
        <v>0</v>
      </c>
      <c r="AK340" s="160" t="str">
        <f>IF(AND(AE340="",AC340=""),"X","")</f>
        <v>X</v>
      </c>
      <c r="AL340" s="13">
        <f>IF(AND(AC340&lt;&gt;"",AE340&lt;&gt;""),4,IF(AC340&lt;&gt;"",1,IF(AE340&lt;&gt;"",2,IF($M$15&lt;&gt;0,3,0))))</f>
        <v>3</v>
      </c>
      <c r="AM340" s="13"/>
      <c r="AN340" s="188">
        <f t="shared" ref="AN340" si="358">IF(AND(AC340&lt;&gt;"",AE340&lt;&gt;""),1,IF(AL340&lt;&gt;0,0,1))</f>
        <v>0</v>
      </c>
      <c r="AO340" s="75">
        <f ca="1">SUM($AN$21:OFFSET(AO340,-2,-1))</f>
        <v>105</v>
      </c>
      <c r="AP340" s="75" t="str">
        <f t="shared" ca="1" si="334"/>
        <v>XX</v>
      </c>
      <c r="AQ340" s="75">
        <f>MAX($AE$21:AE338)</f>
        <v>0</v>
      </c>
      <c r="AR340" s="13">
        <f>IF(SUM(AE342:$AE$348)&gt;0,MIN(AE342:$AE$348),10000)</f>
        <v>10000</v>
      </c>
      <c r="AS340" s="14"/>
      <c r="AT340" s="14"/>
      <c r="AU340" s="75">
        <f t="shared" ref="AU340" si="359">IF(AND(AC340&lt;&gt;"",AE340&lt;&gt;""),4,0)</f>
        <v>0</v>
      </c>
      <c r="AV340" s="2" t="e">
        <f>IF(AND(AL340&lt;&gt;1,AL340&lt;&gt;3,AL340&lt;&gt;4),AP340+1,XX)</f>
        <v>#NAME?</v>
      </c>
      <c r="AW340" s="2" t="e">
        <f>IF(AND(AL340&lt;&gt;1,AL340&lt;&gt;3,AL340&lt;&gt;4),AR340-1,XX)</f>
        <v>#NAME?</v>
      </c>
    </row>
    <row r="341" spans="1:49" ht="3" hidden="1" customHeight="1">
      <c r="A341" s="176"/>
      <c r="B341" s="176"/>
      <c r="H341" s="6"/>
      <c r="J341" s="70"/>
      <c r="L341" s="7"/>
      <c r="M341" s="250"/>
      <c r="N341" s="175"/>
      <c r="O341" s="36"/>
      <c r="P341" s="36"/>
      <c r="Q341" s="37"/>
      <c r="R341" s="37"/>
      <c r="S341" s="37"/>
      <c r="T341" s="37"/>
      <c r="U341" s="37"/>
      <c r="V341" s="37"/>
      <c r="W341" s="37"/>
      <c r="X341" s="37"/>
      <c r="Y341" s="37"/>
      <c r="Z341" s="37"/>
      <c r="AA341" s="37"/>
      <c r="AB341" s="12"/>
      <c r="AC341" s="10"/>
      <c r="AD341" s="8"/>
      <c r="AE341" s="175"/>
      <c r="AF341" s="7"/>
      <c r="AG341" s="176"/>
      <c r="AJ341" s="13"/>
      <c r="AK341" s="13"/>
      <c r="AL341" s="13"/>
      <c r="AM341" s="13"/>
      <c r="AN341" s="188"/>
      <c r="AO341" s="75"/>
      <c r="AP341" s="75"/>
      <c r="AQ341" s="75"/>
      <c r="AR341" s="75"/>
      <c r="AS341" s="14"/>
      <c r="AT341" s="14"/>
      <c r="AU341" s="75"/>
    </row>
    <row r="342" spans="1:49" ht="14.25" hidden="1" customHeight="1">
      <c r="A342" s="176"/>
      <c r="B342" s="176"/>
      <c r="H342" s="2">
        <v>1</v>
      </c>
      <c r="J342" s="71" t="str">
        <f>CONCATENATE(SUM($G$17:G342),".",SUM($H$314:H342))</f>
        <v>21.14</v>
      </c>
      <c r="K342" s="2" t="s">
        <v>153</v>
      </c>
      <c r="L342" s="7"/>
      <c r="M342" s="250"/>
      <c r="N342" s="175"/>
      <c r="O342" s="385" t="str">
        <f>CONCATENATE(J342,". ",K342,$K$17)</f>
        <v>21.14. Projeto Hidrossanitário;------------------------------------------------------------------------------------------------------------------------------------------------------------------------</v>
      </c>
      <c r="P342" s="385"/>
      <c r="Q342" s="385"/>
      <c r="R342" s="385"/>
      <c r="S342" s="385"/>
      <c r="T342" s="385"/>
      <c r="U342" s="385"/>
      <c r="V342" s="385"/>
      <c r="W342" s="385"/>
      <c r="X342" s="385"/>
      <c r="Y342" s="385"/>
      <c r="Z342" s="385"/>
      <c r="AA342" s="385"/>
      <c r="AB342" s="385"/>
      <c r="AC342" s="385"/>
      <c r="AD342" s="8"/>
      <c r="AE342" s="156"/>
      <c r="AF342" s="7"/>
      <c r="AG342" s="80"/>
      <c r="AJ342" s="13">
        <f>IF($M$15=0,1,0)</f>
        <v>0</v>
      </c>
      <c r="AK342" s="13"/>
      <c r="AL342" s="13">
        <f>IF(AND(AC342&lt;&gt;"",AE342&lt;&gt;""),4,IF(AC342&lt;&gt;"",1,IF(AE342&lt;&gt;"",2,IF($M$15&lt;&gt;0,3,0))))</f>
        <v>3</v>
      </c>
      <c r="AM342" s="13"/>
      <c r="AN342" s="188">
        <f t="shared" ref="AN342" si="360">IF(AND(AC342&lt;&gt;"",AE342&lt;&gt;""),1,IF(AL342&lt;&gt;0,0,1))</f>
        <v>0</v>
      </c>
      <c r="AO342" s="75">
        <f ca="1">SUM($AN$21:OFFSET(AO342,-2,-1))</f>
        <v>105</v>
      </c>
      <c r="AP342" s="75" t="str">
        <f t="shared" ca="1" si="334"/>
        <v>XX</v>
      </c>
      <c r="AQ342" s="75">
        <f>MAX($AE$21:AE340)</f>
        <v>0</v>
      </c>
      <c r="AR342" s="13">
        <f>IF(SUM(AE344:$AE$348)&gt;0,MIN(AE344:$AE$348),10000)</f>
        <v>10000</v>
      </c>
      <c r="AS342" s="14"/>
      <c r="AT342" s="14"/>
      <c r="AU342" s="75">
        <f t="shared" ref="AU342" si="361">IF(AND(AC342&lt;&gt;"",AE342&lt;&gt;""),4,0)</f>
        <v>0</v>
      </c>
      <c r="AV342" s="2" t="e">
        <f>IF(AND(AL342&lt;&gt;1,AL342&lt;&gt;3,AL342&lt;&gt;4),AP342+1,XX)</f>
        <v>#NAME?</v>
      </c>
      <c r="AW342" s="2" t="e">
        <f>IF(AND(AL342&lt;&gt;1,AL342&lt;&gt;3,AL342&lt;&gt;4),AR342-1,XX)</f>
        <v>#NAME?</v>
      </c>
    </row>
    <row r="343" spans="1:49" ht="3" hidden="1" customHeight="1">
      <c r="A343" s="176"/>
      <c r="B343" s="176"/>
      <c r="J343" s="70"/>
      <c r="L343" s="7"/>
      <c r="M343" s="250"/>
      <c r="N343" s="175"/>
      <c r="O343" s="36"/>
      <c r="P343" s="36"/>
      <c r="Q343" s="37"/>
      <c r="R343" s="37"/>
      <c r="S343" s="37"/>
      <c r="T343" s="37"/>
      <c r="U343" s="37"/>
      <c r="V343" s="37"/>
      <c r="W343" s="37"/>
      <c r="X343" s="37"/>
      <c r="Y343" s="37"/>
      <c r="Z343" s="37"/>
      <c r="AA343" s="37"/>
      <c r="AB343" s="12"/>
      <c r="AC343" s="10"/>
      <c r="AD343" s="8"/>
      <c r="AE343" s="175"/>
      <c r="AF343" s="7"/>
      <c r="AG343" s="2"/>
      <c r="AJ343" s="13"/>
      <c r="AK343" s="13"/>
      <c r="AL343" s="13"/>
      <c r="AM343" s="13"/>
      <c r="AN343" s="188"/>
      <c r="AO343" s="75"/>
      <c r="AP343" s="75"/>
      <c r="AQ343" s="75"/>
      <c r="AR343" s="75"/>
      <c r="AS343" s="14"/>
      <c r="AT343" s="14"/>
      <c r="AU343" s="75"/>
    </row>
    <row r="344" spans="1:49" ht="14.25" hidden="1" customHeight="1">
      <c r="A344" s="176"/>
      <c r="B344" s="176"/>
      <c r="H344" s="2">
        <v>1</v>
      </c>
      <c r="J344" s="71" t="str">
        <f>CONCATENATE(SUM($G$17:G344),".",SUM($H$314:H344))</f>
        <v>21.15</v>
      </c>
      <c r="K344" s="2" t="s">
        <v>19</v>
      </c>
      <c r="L344" s="7"/>
      <c r="M344" s="250"/>
      <c r="N344" s="175"/>
      <c r="O344" s="385" t="str">
        <f>CONCATENATE(J344,". ",K344,$K$17)</f>
        <v>21.15. Projeto Elétrico;------------------------------------------------------------------------------------------------------------------------------------------------------------------------</v>
      </c>
      <c r="P344" s="385"/>
      <c r="Q344" s="385"/>
      <c r="R344" s="385"/>
      <c r="S344" s="385"/>
      <c r="T344" s="385"/>
      <c r="U344" s="385"/>
      <c r="V344" s="385"/>
      <c r="W344" s="385"/>
      <c r="X344" s="385"/>
      <c r="Y344" s="385"/>
      <c r="Z344" s="385"/>
      <c r="AA344" s="385"/>
      <c r="AB344" s="385"/>
      <c r="AC344" s="385"/>
      <c r="AD344" s="8"/>
      <c r="AE344" s="156"/>
      <c r="AF344" s="7"/>
      <c r="AG344" s="80"/>
      <c r="AJ344" s="13">
        <f>IF($M$15=0,1,0)</f>
        <v>0</v>
      </c>
      <c r="AK344" s="13"/>
      <c r="AL344" s="13">
        <f>IF(AND(AC344&lt;&gt;"",AE344&lt;&gt;""),4,IF(AC344&lt;&gt;"",1,IF(AE344&lt;&gt;"",2,IF($M$15&lt;&gt;0,3,0))))</f>
        <v>3</v>
      </c>
      <c r="AM344" s="13"/>
      <c r="AN344" s="188">
        <f t="shared" ref="AN344" si="362">IF(AND(AC344&lt;&gt;"",AE344&lt;&gt;""),1,IF(AL344&lt;&gt;0,0,1))</f>
        <v>0</v>
      </c>
      <c r="AO344" s="75">
        <f ca="1">SUM($AN$21:OFFSET(AO344,-2,-1))</f>
        <v>105</v>
      </c>
      <c r="AP344" s="75" t="str">
        <f t="shared" ca="1" si="334"/>
        <v>XX</v>
      </c>
      <c r="AQ344" s="75">
        <f>MAX($AE$21:AE342)</f>
        <v>0</v>
      </c>
      <c r="AR344" s="13">
        <f>IF(SUM(AE346:$AE$348)&gt;0,MIN(AE346:$AE$348),10000)</f>
        <v>10000</v>
      </c>
      <c r="AS344" s="14"/>
      <c r="AT344" s="14"/>
      <c r="AU344" s="75">
        <f t="shared" ref="AU344" si="363">IF(AND(AC344&lt;&gt;"",AE344&lt;&gt;""),4,0)</f>
        <v>0</v>
      </c>
      <c r="AV344" s="2" t="e">
        <f>IF(AND(AL344&lt;&gt;1,AL344&lt;&gt;3,AL344&lt;&gt;4),AP344+1,XX)</f>
        <v>#NAME?</v>
      </c>
      <c r="AW344" s="2" t="e">
        <f>IF(AND(AL344&lt;&gt;1,AL344&lt;&gt;3,AL344&lt;&gt;4),AR344-1,XX)</f>
        <v>#NAME?</v>
      </c>
    </row>
    <row r="345" spans="1:49" ht="3" hidden="1" customHeight="1">
      <c r="A345" s="176"/>
      <c r="B345" s="176"/>
      <c r="H345" s="6"/>
      <c r="J345" s="70"/>
      <c r="L345" s="7"/>
      <c r="M345" s="250"/>
      <c r="N345" s="175"/>
      <c r="O345" s="36"/>
      <c r="P345" s="36"/>
      <c r="Q345" s="37"/>
      <c r="R345" s="37"/>
      <c r="S345" s="37"/>
      <c r="T345" s="37"/>
      <c r="U345" s="37"/>
      <c r="V345" s="37"/>
      <c r="W345" s="37"/>
      <c r="X345" s="37"/>
      <c r="Y345" s="37"/>
      <c r="Z345" s="37"/>
      <c r="AA345" s="37"/>
      <c r="AB345" s="12"/>
      <c r="AC345" s="10"/>
      <c r="AD345" s="8"/>
      <c r="AE345" s="175"/>
      <c r="AF345" s="7"/>
      <c r="AG345" s="2"/>
      <c r="AJ345" s="13"/>
      <c r="AK345" s="13"/>
      <c r="AL345" s="13"/>
      <c r="AM345" s="13"/>
      <c r="AN345" s="188"/>
      <c r="AO345" s="75"/>
      <c r="AP345" s="75"/>
      <c r="AQ345" s="75"/>
      <c r="AR345" s="75"/>
      <c r="AS345" s="14"/>
      <c r="AT345" s="14"/>
      <c r="AU345" s="75"/>
    </row>
    <row r="346" spans="1:49" ht="14.25" hidden="1" customHeight="1">
      <c r="A346" s="176"/>
      <c r="B346" s="176"/>
      <c r="H346" s="2">
        <v>1</v>
      </c>
      <c r="J346" s="71" t="str">
        <f>CONCATENATE(SUM($G$17:G346),".",SUM($H$314:H346))</f>
        <v>21.16</v>
      </c>
      <c r="K346" s="2" t="s">
        <v>378</v>
      </c>
      <c r="L346" s="7"/>
      <c r="M346" s="250"/>
      <c r="N346" s="175"/>
      <c r="O346" s="385" t="str">
        <f>CONCATENATE(J346,". ",K346,$K$17)</f>
        <v>21.16. Projeto de Prevenção e Combate a Incêndio ou Comprovação da dispensa;------------------------------------------------------------------------------------------------------------------------------------------------------------------------</v>
      </c>
      <c r="P346" s="385"/>
      <c r="Q346" s="385"/>
      <c r="R346" s="385"/>
      <c r="S346" s="385"/>
      <c r="T346" s="385"/>
      <c r="U346" s="385"/>
      <c r="V346" s="385"/>
      <c r="W346" s="385"/>
      <c r="X346" s="385"/>
      <c r="Y346" s="385"/>
      <c r="Z346" s="385"/>
      <c r="AA346" s="385"/>
      <c r="AB346" s="385"/>
      <c r="AC346" s="385"/>
      <c r="AD346" s="8"/>
      <c r="AE346" s="156"/>
      <c r="AF346" s="7"/>
      <c r="AG346" s="80"/>
      <c r="AJ346" s="13">
        <f>IF($M$15=0,1,0)</f>
        <v>0</v>
      </c>
      <c r="AK346" s="13"/>
      <c r="AL346" s="13">
        <f>IF(AND(AC346&lt;&gt;"",AE346&lt;&gt;""),4,IF(AC346&lt;&gt;"",1,IF(AE346&lt;&gt;"",2,IF($M$15&lt;&gt;0,3,0))))</f>
        <v>3</v>
      </c>
      <c r="AM346" s="13"/>
      <c r="AN346" s="188">
        <f t="shared" ref="AN346" si="364">IF(AND(AC346&lt;&gt;"",AE346&lt;&gt;""),1,IF(AL346&lt;&gt;0,0,1))</f>
        <v>0</v>
      </c>
      <c r="AO346" s="75">
        <f ca="1">SUM($AN$21:OFFSET(AO346,-2,-1))</f>
        <v>105</v>
      </c>
      <c r="AP346" s="75" t="str">
        <f t="shared" ca="1" si="334"/>
        <v>XX</v>
      </c>
      <c r="AQ346" s="75">
        <f>MAX($AE$21:AE344)</f>
        <v>0</v>
      </c>
      <c r="AR346" s="13">
        <f>IF(SUM(AE348:$AE$348)&gt;0,MIN(AE348:$AE$348),10000)</f>
        <v>10000</v>
      </c>
      <c r="AS346" s="14"/>
      <c r="AT346" s="14"/>
      <c r="AU346" s="75">
        <f t="shared" ref="AU346" si="365">IF(AND(AC346&lt;&gt;"",AE346&lt;&gt;""),4,0)</f>
        <v>0</v>
      </c>
      <c r="AV346" s="2" t="e">
        <f>IF(AND(AL346&lt;&gt;1,AL346&lt;&gt;3,AL346&lt;&gt;4),AP346+1,XX)</f>
        <v>#NAME?</v>
      </c>
      <c r="AW346" s="2" t="e">
        <f>IF(AND(AL346&lt;&gt;1,AL346&lt;&gt;3,AL346&lt;&gt;4),AR346-1,XX)</f>
        <v>#NAME?</v>
      </c>
    </row>
    <row r="347" spans="1:49" ht="3" hidden="1" customHeight="1">
      <c r="A347" s="176"/>
      <c r="B347" s="176"/>
      <c r="J347" s="70"/>
      <c r="L347" s="7"/>
      <c r="M347" s="250"/>
      <c r="N347" s="175"/>
      <c r="O347" s="36"/>
      <c r="P347" s="36"/>
      <c r="Q347" s="37"/>
      <c r="R347" s="37"/>
      <c r="S347" s="37"/>
      <c r="T347" s="37"/>
      <c r="U347" s="37"/>
      <c r="V347" s="37"/>
      <c r="W347" s="37"/>
      <c r="X347" s="37"/>
      <c r="Y347" s="37"/>
      <c r="Z347" s="37"/>
      <c r="AA347" s="37"/>
      <c r="AB347" s="12"/>
      <c r="AC347" s="10"/>
      <c r="AD347" s="8"/>
      <c r="AE347" s="175"/>
      <c r="AF347" s="7"/>
      <c r="AG347" s="176"/>
      <c r="AJ347" s="13"/>
      <c r="AK347" s="13"/>
      <c r="AL347" s="13"/>
      <c r="AM347" s="13"/>
      <c r="AN347" s="188"/>
      <c r="AO347" s="75"/>
      <c r="AP347" s="75"/>
      <c r="AQ347" s="75"/>
      <c r="AR347" s="75"/>
      <c r="AS347" s="14"/>
      <c r="AT347" s="14"/>
      <c r="AU347" s="75"/>
    </row>
    <row r="348" spans="1:49" ht="14.25" hidden="1" customHeight="1">
      <c r="A348" s="176"/>
      <c r="B348" s="176"/>
      <c r="H348" s="2">
        <v>1</v>
      </c>
      <c r="J348" s="71" t="str">
        <f>CONCATENATE(SUM($G$17:G348),".",SUM($H$314:H348))</f>
        <v>21.17</v>
      </c>
      <c r="K348" s="2" t="s">
        <v>379</v>
      </c>
      <c r="L348" s="7"/>
      <c r="M348" s="250"/>
      <c r="N348" s="175"/>
      <c r="O348" s="385" t="str">
        <f>CONCATENATE(J348,". ",K348,$K$17)</f>
        <v>21.17. Projeto do Sistema de Proteção Contra Descargas Atmosféricas ou Comprovação da dispensa.------------------------------------------------------------------------------------------------------------------------------------------------------------------------</v>
      </c>
      <c r="P348" s="385"/>
      <c r="Q348" s="385"/>
      <c r="R348" s="385"/>
      <c r="S348" s="385"/>
      <c r="T348" s="385"/>
      <c r="U348" s="385"/>
      <c r="V348" s="385"/>
      <c r="W348" s="385"/>
      <c r="X348" s="385"/>
      <c r="Y348" s="385"/>
      <c r="Z348" s="385"/>
      <c r="AA348" s="385"/>
      <c r="AB348" s="385"/>
      <c r="AC348" s="385"/>
      <c r="AD348" s="8"/>
      <c r="AE348" s="156"/>
      <c r="AF348" s="7"/>
      <c r="AG348" s="80"/>
      <c r="AJ348" s="13">
        <f>IF($M$15=0,1,0)</f>
        <v>0</v>
      </c>
      <c r="AK348" s="13"/>
      <c r="AL348" s="13">
        <f>IF(AND(AC348&lt;&gt;"",AE348&lt;&gt;""),4,IF(AC348&lt;&gt;"",1,IF(AE348&lt;&gt;"",2,IF($M$15&lt;&gt;0,3,0))))</f>
        <v>3</v>
      </c>
      <c r="AM348" s="13"/>
      <c r="AN348" s="188">
        <f t="shared" ref="AN348" si="366">IF(AND(AC348&lt;&gt;"",AE348&lt;&gt;""),1,IF(AL348&lt;&gt;0,0,1))</f>
        <v>0</v>
      </c>
      <c r="AO348" s="75">
        <f ca="1">SUM($AN$21:OFFSET(AO348,-2,-1))</f>
        <v>105</v>
      </c>
      <c r="AP348" s="75" t="str">
        <f t="shared" ca="1" si="334"/>
        <v>XX</v>
      </c>
      <c r="AQ348" s="75">
        <f>MAX($AE$21:AE346)</f>
        <v>0</v>
      </c>
      <c r="AR348" s="13">
        <f>IF(SUM(AE$348:$AE350)&gt;0,MIN(AE$348:$AE350),10000)</f>
        <v>10000</v>
      </c>
      <c r="AS348" s="14"/>
      <c r="AT348" s="14"/>
      <c r="AU348" s="75">
        <f t="shared" ref="AU348" si="367">IF(AND(AC348&lt;&gt;"",AE348&lt;&gt;""),4,0)</f>
        <v>0</v>
      </c>
      <c r="AV348" s="2" t="e">
        <f>IF(AND(AL348&lt;&gt;1,AL348&lt;&gt;3,AL348&lt;&gt;4),AP348+1,XX)</f>
        <v>#NAME?</v>
      </c>
      <c r="AW348" s="2" t="e">
        <f>IF(AND(AL348&lt;&gt;1,AL348&lt;&gt;3,AL348&lt;&gt;4),AR348-1,XX)</f>
        <v>#NAME?</v>
      </c>
    </row>
    <row r="349" spans="1:49" ht="3" hidden="1" customHeight="1">
      <c r="A349" s="176"/>
      <c r="L349" s="7"/>
      <c r="M349" s="250"/>
      <c r="N349" s="121"/>
      <c r="O349" s="18"/>
      <c r="P349" s="18"/>
      <c r="Q349" s="19"/>
      <c r="R349" s="19"/>
      <c r="S349" s="19"/>
      <c r="T349" s="19"/>
      <c r="U349" s="19"/>
      <c r="V349" s="19"/>
      <c r="W349" s="19"/>
      <c r="X349" s="19"/>
      <c r="Y349" s="19"/>
      <c r="Z349" s="19"/>
      <c r="AA349" s="19"/>
      <c r="AB349" s="20"/>
      <c r="AC349" s="21"/>
      <c r="AD349" s="8"/>
      <c r="AE349" s="175"/>
      <c r="AF349" s="7"/>
      <c r="AG349" s="2"/>
      <c r="AH349" s="7"/>
      <c r="AI349" s="7"/>
      <c r="AJ349" s="176"/>
      <c r="AL349" s="176"/>
      <c r="AM349" s="13"/>
      <c r="AN349" s="176"/>
      <c r="AO349" s="176"/>
      <c r="AP349" s="176"/>
      <c r="AQ349" s="176"/>
      <c r="AR349" s="176"/>
      <c r="AU349" s="176"/>
    </row>
    <row r="350" spans="1:49" ht="3" hidden="1" customHeight="1">
      <c r="A350" s="176"/>
      <c r="L350" s="7"/>
      <c r="M350" s="250"/>
      <c r="N350" s="121"/>
      <c r="O350" s="93"/>
      <c r="P350" s="93"/>
      <c r="Q350" s="94"/>
      <c r="R350" s="94"/>
      <c r="S350" s="94"/>
      <c r="T350" s="94"/>
      <c r="U350" s="94"/>
      <c r="V350" s="94"/>
      <c r="W350" s="94"/>
      <c r="X350" s="94"/>
      <c r="Y350" s="94"/>
      <c r="Z350" s="94"/>
      <c r="AA350" s="94"/>
      <c r="AB350" s="95"/>
      <c r="AC350" s="96"/>
      <c r="AD350" s="86"/>
      <c r="AE350" s="97"/>
      <c r="AF350" s="98"/>
      <c r="AG350" s="98"/>
      <c r="AH350" s="7"/>
      <c r="AI350" s="7"/>
      <c r="AJ350" s="176"/>
      <c r="AL350" s="176"/>
      <c r="AM350" s="13"/>
      <c r="AN350" s="176"/>
      <c r="AO350" s="176"/>
      <c r="AP350" s="176"/>
      <c r="AQ350" s="176"/>
      <c r="AR350" s="176"/>
      <c r="AU350" s="3"/>
      <c r="AV350" s="2" t="e">
        <f>#REF!+1</f>
        <v>#REF!</v>
      </c>
      <c r="AW350" s="2">
        <f>AR352-1</f>
        <v>-1</v>
      </c>
    </row>
    <row r="351" spans="1:49" ht="17.25" hidden="1" customHeight="1">
      <c r="A351" s="176"/>
      <c r="L351" s="7"/>
      <c r="M351" s="250"/>
      <c r="O351" s="394" t="str">
        <f>IF(AU351=1,"Item em destaque preenchido de forma indevida",IF(AU351&gt;1,"Itens em destaque preenchidos de forma indevida",IF(O352&lt;&gt;"","Proposta não está pronta para internalização ao Banco","")))</f>
        <v/>
      </c>
      <c r="P351" s="394"/>
      <c r="Q351" s="394"/>
      <c r="R351" s="394"/>
      <c r="S351" s="394"/>
      <c r="T351" s="394"/>
      <c r="U351" s="394"/>
      <c r="V351" s="394"/>
      <c r="W351" s="394"/>
      <c r="X351" s="394"/>
      <c r="Y351" s="394"/>
      <c r="Z351" s="394"/>
      <c r="AA351" s="394"/>
      <c r="AB351" s="394"/>
      <c r="AC351" s="394"/>
      <c r="AD351" s="394"/>
      <c r="AE351" s="394"/>
      <c r="AF351" s="394"/>
      <c r="AG351" s="394"/>
      <c r="AH351" s="7"/>
      <c r="AI351" s="7"/>
      <c r="AJ351" s="176">
        <f>SUM($AJ$21:AJ350)</f>
        <v>105</v>
      </c>
      <c r="AL351" s="176"/>
      <c r="AM351" s="13"/>
      <c r="AN351" s="176">
        <f>SUM($AN$21:AN348)</f>
        <v>105</v>
      </c>
      <c r="AO351" s="176"/>
      <c r="AP351" s="176"/>
      <c r="AQ351" s="176"/>
      <c r="AR351" s="176">
        <v>10000</v>
      </c>
      <c r="AU351" s="3">
        <f>SUM(AU313:AU350)</f>
        <v>0</v>
      </c>
    </row>
    <row r="352" spans="1:49" ht="17.25" hidden="1" customHeight="1">
      <c r="A352" s="176"/>
      <c r="L352" s="7"/>
      <c r="M352" s="250"/>
      <c r="O352" s="407" t="str">
        <f>IF(AND(AN351&lt;AJ351,AN351&gt;0),AN361,"")</f>
        <v/>
      </c>
      <c r="P352" s="407"/>
      <c r="Q352" s="407"/>
      <c r="R352" s="407"/>
      <c r="S352" s="407"/>
      <c r="T352" s="407"/>
      <c r="U352" s="407"/>
      <c r="V352" s="407"/>
      <c r="W352" s="407"/>
      <c r="X352" s="407"/>
      <c r="Y352" s="407"/>
      <c r="Z352" s="407"/>
      <c r="AA352" s="407"/>
      <c r="AB352" s="407"/>
      <c r="AC352" s="407"/>
      <c r="AD352" s="407"/>
      <c r="AE352" s="407"/>
      <c r="AF352" s="407"/>
      <c r="AG352" s="407"/>
      <c r="AH352" s="7"/>
      <c r="AI352" s="7"/>
      <c r="AJ352" s="176"/>
      <c r="AL352" s="176"/>
      <c r="AM352" s="176"/>
      <c r="AN352" s="176"/>
      <c r="AO352" s="176"/>
      <c r="AP352" s="176"/>
      <c r="AQ352" s="176"/>
      <c r="AR352" s="176"/>
    </row>
    <row r="353" spans="1:44" ht="6" hidden="1" customHeight="1">
      <c r="A353" s="176"/>
      <c r="L353" s="7"/>
      <c r="M353" s="250"/>
      <c r="N353" s="135"/>
      <c r="O353" s="23"/>
      <c r="P353" s="23"/>
      <c r="Q353" s="22"/>
      <c r="R353" s="24"/>
      <c r="S353" s="24"/>
      <c r="T353" s="24"/>
      <c r="U353" s="24"/>
      <c r="V353" s="24"/>
      <c r="W353" s="24"/>
      <c r="X353" s="24"/>
      <c r="Y353" s="24"/>
      <c r="Z353" s="24"/>
      <c r="AA353" s="24"/>
      <c r="AB353" s="24"/>
      <c r="AC353" s="24"/>
      <c r="AD353" s="8"/>
      <c r="AE353" s="175"/>
      <c r="AF353" s="7"/>
      <c r="AG353" s="7"/>
      <c r="AH353" s="7"/>
      <c r="AI353" s="7"/>
      <c r="AJ353" s="176"/>
      <c r="AL353" s="176"/>
      <c r="AM353" s="176"/>
      <c r="AN353" s="176"/>
      <c r="AO353" s="176"/>
      <c r="AP353" s="176"/>
      <c r="AQ353" s="176"/>
      <c r="AR353" s="176"/>
    </row>
    <row r="354" spans="1:44" ht="3.75" hidden="1" customHeight="1">
      <c r="A354" s="176"/>
      <c r="L354" s="7"/>
      <c r="M354" s="250"/>
      <c r="N354" s="135"/>
      <c r="O354" s="82"/>
      <c r="P354" s="83"/>
      <c r="Q354" s="84"/>
      <c r="R354" s="85"/>
      <c r="S354" s="85"/>
      <c r="T354" s="85"/>
      <c r="U354" s="85"/>
      <c r="V354" s="85"/>
      <c r="W354" s="85"/>
      <c r="X354" s="85"/>
      <c r="Y354" s="85"/>
      <c r="Z354" s="85"/>
      <c r="AA354" s="85"/>
      <c r="AB354" s="85"/>
      <c r="AC354" s="85"/>
      <c r="AD354" s="86"/>
      <c r="AE354" s="97"/>
      <c r="AF354" s="98"/>
      <c r="AG354" s="153"/>
      <c r="AH354" s="7"/>
      <c r="AI354" s="7"/>
      <c r="AJ354" s="176"/>
      <c r="AL354" s="176"/>
      <c r="AM354" s="176"/>
      <c r="AN354" s="176"/>
      <c r="AO354" s="176"/>
      <c r="AP354" s="176"/>
      <c r="AQ354" s="176"/>
      <c r="AR354" s="176"/>
    </row>
    <row r="355" spans="1:44" ht="12" hidden="1" customHeight="1">
      <c r="A355" s="176"/>
      <c r="L355" s="7"/>
      <c r="M355" s="250"/>
      <c r="N355" s="135"/>
      <c r="O355" s="87"/>
      <c r="P355" s="395" t="s">
        <v>181</v>
      </c>
      <c r="Q355" s="395"/>
      <c r="R355" s="395"/>
      <c r="S355" s="66"/>
      <c r="T355" s="395" t="s">
        <v>179</v>
      </c>
      <c r="U355" s="395"/>
      <c r="V355" s="395"/>
      <c r="W355" s="395"/>
      <c r="X355" s="395"/>
      <c r="Y355" s="395"/>
      <c r="Z355" s="395"/>
      <c r="AA355" s="395"/>
      <c r="AB355" s="395"/>
      <c r="AC355" s="395"/>
      <c r="AD355" s="395"/>
      <c r="AE355" s="395"/>
      <c r="AF355" s="395"/>
      <c r="AG355" s="396"/>
      <c r="AH355" s="7"/>
      <c r="AI355" s="7"/>
      <c r="AJ355" s="176"/>
      <c r="AL355" s="176"/>
      <c r="AM355" s="176"/>
      <c r="AN355" s="176"/>
      <c r="AO355" s="176"/>
      <c r="AP355" s="176"/>
      <c r="AQ355" s="176"/>
      <c r="AR355" s="176"/>
    </row>
    <row r="356" spans="1:44" ht="18.75" hidden="1" customHeight="1">
      <c r="A356" s="176"/>
      <c r="L356" s="7"/>
      <c r="M356" s="250"/>
      <c r="N356" s="135"/>
      <c r="O356" s="397" t="s">
        <v>333</v>
      </c>
      <c r="P356" s="398"/>
      <c r="Q356" s="398"/>
      <c r="R356" s="398"/>
      <c r="S356" s="45"/>
      <c r="T356" s="399" t="s">
        <v>333</v>
      </c>
      <c r="U356" s="399"/>
      <c r="V356" s="399"/>
      <c r="W356" s="399"/>
      <c r="X356" s="399"/>
      <c r="Y356" s="399"/>
      <c r="Z356" s="399"/>
      <c r="AA356" s="399"/>
      <c r="AB356" s="399"/>
      <c r="AC356" s="399"/>
      <c r="AD356" s="399"/>
      <c r="AE356" s="399"/>
      <c r="AF356" s="399"/>
      <c r="AG356" s="400"/>
      <c r="AH356" s="7"/>
      <c r="AI356" s="7"/>
      <c r="AJ356" s="176"/>
      <c r="AL356" s="176"/>
      <c r="AM356" s="176"/>
      <c r="AN356" s="176" t="str">
        <f>"F a l t a  p r e e n c h e r   ››› "&amp;AN351&amp;"  i t e m ‹‹‹"</f>
        <v>F a l t a  p r e e n c h e r   ››› 105  i t e m ‹‹‹</v>
      </c>
      <c r="AO356" s="176"/>
      <c r="AP356" s="176"/>
      <c r="AQ356" s="176"/>
      <c r="AR356" s="176"/>
    </row>
    <row r="357" spans="1:44" ht="15" hidden="1" customHeight="1">
      <c r="A357" s="176"/>
      <c r="L357" s="7"/>
      <c r="M357" s="250"/>
      <c r="N357" s="135"/>
      <c r="O357" s="401" t="str">
        <f>IF(O278&lt;&gt;"",O278,"")</f>
        <v/>
      </c>
      <c r="P357" s="402"/>
      <c r="Q357" s="402"/>
      <c r="R357" s="402"/>
      <c r="S357" s="67"/>
      <c r="T357" s="403" t="str">
        <f>IF(O303&lt;&gt;"",O303,"")</f>
        <v/>
      </c>
      <c r="U357" s="403"/>
      <c r="V357" s="403"/>
      <c r="W357" s="403"/>
      <c r="X357" s="403"/>
      <c r="Y357" s="403"/>
      <c r="Z357" s="403"/>
      <c r="AA357" s="403"/>
      <c r="AB357" s="403"/>
      <c r="AC357" s="403"/>
      <c r="AD357" s="403"/>
      <c r="AE357" s="403"/>
      <c r="AF357" s="7"/>
      <c r="AG357" s="154"/>
      <c r="AH357" s="7"/>
      <c r="AI357" s="7"/>
      <c r="AJ357" s="176"/>
      <c r="AL357" s="176"/>
      <c r="AM357" s="176"/>
      <c r="AN357" s="176" t="str">
        <f>"F a l t a  p r e e n c h e r   ››› "&amp;AN351&amp;"  i t e n s ‹‹‹"</f>
        <v>F a l t a  p r e e n c h e r   ››› 105  i t e n s ‹‹‹</v>
      </c>
      <c r="AO357" s="176"/>
      <c r="AP357" s="176"/>
      <c r="AQ357" s="176"/>
      <c r="AR357" s="176"/>
    </row>
    <row r="358" spans="1:44" ht="6" hidden="1" customHeight="1">
      <c r="A358" s="176"/>
      <c r="L358" s="7"/>
      <c r="M358" s="250"/>
      <c r="N358" s="135"/>
      <c r="O358" s="88"/>
      <c r="P358" s="89"/>
      <c r="Q358" s="90"/>
      <c r="R358" s="91"/>
      <c r="S358" s="91"/>
      <c r="T358" s="91"/>
      <c r="U358" s="91"/>
      <c r="V358" s="91"/>
      <c r="W358" s="91"/>
      <c r="X358" s="91"/>
      <c r="Y358" s="91"/>
      <c r="Z358" s="91"/>
      <c r="AA358" s="91"/>
      <c r="AB358" s="91"/>
      <c r="AC358" s="91"/>
      <c r="AD358" s="92"/>
      <c r="AE358" s="151"/>
      <c r="AF358" s="100"/>
      <c r="AG358" s="155"/>
      <c r="AH358" s="7"/>
      <c r="AI358" s="7"/>
      <c r="AJ358" s="176"/>
      <c r="AL358" s="176"/>
      <c r="AM358" s="176"/>
      <c r="AN358" s="176" t="str">
        <f>IF(AN351&gt;1,AN357,AN356)</f>
        <v>F a l t a  p r e e n c h e r   ››› 105  i t e n s ‹‹‹</v>
      </c>
      <c r="AO358" s="176"/>
      <c r="AP358" s="176"/>
      <c r="AQ358" s="176"/>
      <c r="AR358" s="176"/>
    </row>
    <row r="359" spans="1:44" ht="8.25" hidden="1" customHeight="1">
      <c r="A359" s="176"/>
      <c r="L359" s="7"/>
      <c r="M359" s="250"/>
      <c r="N359" s="135"/>
      <c r="O359" s="48"/>
      <c r="P359" s="48"/>
      <c r="Q359" s="47"/>
      <c r="R359" s="45"/>
      <c r="S359" s="45"/>
      <c r="T359" s="45"/>
      <c r="U359" s="45"/>
      <c r="V359" s="45"/>
      <c r="W359" s="45"/>
      <c r="X359" s="45"/>
      <c r="Y359" s="45"/>
      <c r="Z359" s="45"/>
      <c r="AA359" s="45"/>
      <c r="AB359" s="45"/>
      <c r="AC359" s="45"/>
      <c r="AD359" s="46"/>
      <c r="AE359" s="49"/>
      <c r="AF359" s="7"/>
      <c r="AG359" s="7"/>
      <c r="AH359" s="7"/>
      <c r="AI359" s="7"/>
      <c r="AJ359" s="176"/>
      <c r="AL359" s="176"/>
      <c r="AM359" s="176"/>
      <c r="AN359" s="176"/>
      <c r="AO359" s="176"/>
      <c r="AP359" s="176"/>
      <c r="AQ359" s="176"/>
      <c r="AR359" s="176"/>
    </row>
    <row r="360" spans="1:44" ht="6" hidden="1" customHeight="1">
      <c r="A360" s="176"/>
      <c r="L360" s="7"/>
      <c r="M360" s="250"/>
      <c r="N360" s="135"/>
      <c r="O360" s="101"/>
      <c r="P360" s="102"/>
      <c r="Q360" s="103"/>
      <c r="R360" s="104"/>
      <c r="S360" s="45"/>
      <c r="T360" s="111"/>
      <c r="U360" s="112"/>
      <c r="V360" s="112"/>
      <c r="W360" s="112"/>
      <c r="X360" s="112"/>
      <c r="Y360" s="112"/>
      <c r="Z360" s="112"/>
      <c r="AA360" s="112"/>
      <c r="AB360" s="112"/>
      <c r="AC360" s="112"/>
      <c r="AD360" s="113"/>
      <c r="AE360" s="152"/>
      <c r="AF360" s="98"/>
      <c r="AG360" s="153"/>
      <c r="AH360" s="7"/>
      <c r="AI360" s="7"/>
      <c r="AJ360" s="176"/>
      <c r="AL360" s="176"/>
      <c r="AM360" s="176"/>
      <c r="AN360" s="176"/>
      <c r="AO360" s="176"/>
      <c r="AP360" s="176"/>
      <c r="AQ360" s="176"/>
      <c r="AR360" s="176"/>
    </row>
    <row r="361" spans="1:44" ht="12.75" hidden="1" customHeight="1">
      <c r="A361" s="176"/>
      <c r="L361" s="7"/>
      <c r="M361" s="250"/>
      <c r="N361" s="135"/>
      <c r="O361" s="404" t="s">
        <v>27</v>
      </c>
      <c r="P361" s="405"/>
      <c r="Q361" s="405"/>
      <c r="R361" s="406"/>
      <c r="S361" s="50"/>
      <c r="T361" s="404" t="s">
        <v>31</v>
      </c>
      <c r="U361" s="405"/>
      <c r="V361" s="405"/>
      <c r="W361" s="405"/>
      <c r="X361" s="405"/>
      <c r="Y361" s="405"/>
      <c r="Z361" s="405"/>
      <c r="AA361" s="405"/>
      <c r="AB361" s="405"/>
      <c r="AC361" s="405"/>
      <c r="AD361" s="405"/>
      <c r="AE361" s="405"/>
      <c r="AF361" s="405"/>
      <c r="AG361" s="406"/>
      <c r="AH361" s="7"/>
      <c r="AI361" s="7"/>
      <c r="AJ361" s="176"/>
      <c r="AL361" s="176"/>
      <c r="AM361" s="176"/>
      <c r="AN361" s="176" t="str">
        <f>IF(AND(AN351&lt;AJ351,AN351&gt;0),AN358,"X")</f>
        <v>X</v>
      </c>
      <c r="AO361" s="176"/>
      <c r="AP361" s="176"/>
      <c r="AQ361" s="176"/>
      <c r="AR361" s="176"/>
    </row>
    <row r="362" spans="1:44" ht="20.25" hidden="1" customHeight="1">
      <c r="A362" s="176"/>
      <c r="L362" s="7"/>
      <c r="M362" s="250"/>
      <c r="N362" s="135"/>
      <c r="O362" s="105"/>
      <c r="P362" s="50"/>
      <c r="Q362" s="50"/>
      <c r="R362" s="106"/>
      <c r="S362" s="50"/>
      <c r="T362" s="105"/>
      <c r="U362" s="50"/>
      <c r="V362" s="50"/>
      <c r="W362" s="50"/>
      <c r="X362" s="50"/>
      <c r="Y362" s="50"/>
      <c r="Z362" s="50"/>
      <c r="AA362" s="50"/>
      <c r="AB362" s="51"/>
      <c r="AC362" s="52"/>
      <c r="AD362" s="46"/>
      <c r="AE362" s="49"/>
      <c r="AF362" s="7"/>
      <c r="AG362" s="154"/>
      <c r="AH362" s="7"/>
      <c r="AI362" s="7"/>
      <c r="AJ362" s="176"/>
      <c r="AL362" s="176"/>
      <c r="AM362" s="176"/>
      <c r="AN362" s="176"/>
      <c r="AO362" s="176"/>
      <c r="AP362" s="176"/>
      <c r="AQ362" s="176"/>
      <c r="AR362" s="176"/>
    </row>
    <row r="363" spans="1:44" ht="21" hidden="1" customHeight="1">
      <c r="A363" s="176"/>
      <c r="L363" s="7"/>
      <c r="M363" s="250"/>
      <c r="N363" s="121"/>
      <c r="O363" s="107"/>
      <c r="P363" s="391" t="s">
        <v>28</v>
      </c>
      <c r="Q363" s="391"/>
      <c r="R363" s="393"/>
      <c r="S363" s="50"/>
      <c r="T363" s="105"/>
      <c r="U363" s="7"/>
      <c r="V363" s="7"/>
      <c r="W363" s="7"/>
      <c r="X363" s="7"/>
      <c r="Y363" s="7"/>
      <c r="Z363" s="7"/>
      <c r="AA363" s="7"/>
      <c r="AB363" s="7"/>
      <c r="AC363" s="7"/>
      <c r="AD363" s="99"/>
      <c r="AE363" s="49"/>
      <c r="AF363" s="7"/>
      <c r="AG363" s="154"/>
      <c r="AH363" s="7"/>
      <c r="AI363" s="7"/>
      <c r="AJ363" s="176"/>
      <c r="AL363" s="176"/>
      <c r="AM363" s="176"/>
      <c r="AN363" s="176"/>
      <c r="AO363" s="176"/>
      <c r="AP363" s="176"/>
      <c r="AQ363" s="176"/>
      <c r="AR363" s="176"/>
    </row>
    <row r="364" spans="1:44" ht="20.25" hidden="1" customHeight="1">
      <c r="A364" s="176"/>
      <c r="L364" s="7"/>
      <c r="M364" s="250"/>
      <c r="N364" s="121"/>
      <c r="O364" s="390" t="s">
        <v>183</v>
      </c>
      <c r="P364" s="391"/>
      <c r="Q364" s="391"/>
      <c r="R364" s="393"/>
      <c r="S364" s="50"/>
      <c r="T364" s="105"/>
      <c r="U364" s="7"/>
      <c r="V364" s="7"/>
      <c r="W364" s="7"/>
      <c r="X364" s="7"/>
      <c r="Y364" s="7"/>
      <c r="Z364" s="7"/>
      <c r="AA364" s="7"/>
      <c r="AB364" s="7"/>
      <c r="AC364" s="7"/>
      <c r="AD364" s="99"/>
      <c r="AE364" s="49"/>
      <c r="AF364" s="7"/>
      <c r="AG364" s="154"/>
      <c r="AH364" s="7"/>
      <c r="AI364" s="7"/>
      <c r="AJ364" s="176"/>
      <c r="AL364" s="176"/>
      <c r="AM364" s="176"/>
      <c r="AN364" s="176"/>
      <c r="AO364" s="176"/>
      <c r="AP364" s="176"/>
      <c r="AQ364" s="176"/>
      <c r="AR364" s="176"/>
    </row>
    <row r="365" spans="1:44" ht="32.25" hidden="1" customHeight="1">
      <c r="A365" s="176"/>
      <c r="L365" s="7"/>
      <c r="M365" s="250"/>
      <c r="N365" s="121"/>
      <c r="O365" s="387" t="s">
        <v>184</v>
      </c>
      <c r="P365" s="388"/>
      <c r="Q365" s="388"/>
      <c r="R365" s="389"/>
      <c r="S365" s="50"/>
      <c r="T365" s="105"/>
      <c r="U365" s="7"/>
      <c r="V365" s="7"/>
      <c r="W365" s="7"/>
      <c r="X365" s="7"/>
      <c r="Y365" s="7"/>
      <c r="Z365" s="7"/>
      <c r="AA365" s="7"/>
      <c r="AB365" s="7"/>
      <c r="AC365" s="7"/>
      <c r="AD365" s="99"/>
      <c r="AE365" s="49"/>
      <c r="AF365" s="7"/>
      <c r="AG365" s="154"/>
      <c r="AH365" s="7"/>
      <c r="AI365" s="7"/>
      <c r="AJ365" s="176"/>
      <c r="AL365" s="176"/>
      <c r="AM365" s="176"/>
      <c r="AN365" s="176"/>
      <c r="AO365" s="176"/>
      <c r="AP365" s="176"/>
      <c r="AQ365" s="176"/>
      <c r="AR365" s="176"/>
    </row>
    <row r="366" spans="1:44" ht="15" hidden="1">
      <c r="A366" s="176"/>
      <c r="L366" s="7"/>
      <c r="M366" s="250"/>
      <c r="N366" s="121"/>
      <c r="O366" s="387" t="s">
        <v>182</v>
      </c>
      <c r="P366" s="388"/>
      <c r="Q366" s="388"/>
      <c r="R366" s="389"/>
      <c r="S366" s="44"/>
      <c r="T366" s="390" t="s">
        <v>339</v>
      </c>
      <c r="U366" s="391"/>
      <c r="V366" s="391"/>
      <c r="W366" s="391"/>
      <c r="X366" s="391"/>
      <c r="Y366" s="391"/>
      <c r="Z366" s="391"/>
      <c r="AA366" s="391"/>
      <c r="AB366" s="391"/>
      <c r="AC366" s="391"/>
      <c r="AD366" s="391"/>
      <c r="AE366" s="391"/>
      <c r="AF366" s="391"/>
      <c r="AG366" s="393"/>
      <c r="AH366" s="7"/>
      <c r="AI366" s="7"/>
      <c r="AJ366" s="176"/>
      <c r="AL366" s="176"/>
      <c r="AM366" s="176"/>
      <c r="AN366" s="176"/>
      <c r="AO366" s="176"/>
      <c r="AP366" s="176"/>
      <c r="AQ366" s="176"/>
      <c r="AR366" s="176"/>
    </row>
    <row r="367" spans="1:44" ht="15" hidden="1">
      <c r="A367" s="176"/>
      <c r="L367" s="7"/>
      <c r="M367" s="250"/>
      <c r="N367" s="121"/>
      <c r="O367" s="107"/>
      <c r="P367" s="391" t="s">
        <v>29</v>
      </c>
      <c r="Q367" s="391"/>
      <c r="R367" s="393"/>
      <c r="S367" s="44"/>
      <c r="T367" s="390"/>
      <c r="U367" s="391"/>
      <c r="V367" s="391"/>
      <c r="W367" s="391"/>
      <c r="X367" s="391"/>
      <c r="Y367" s="391"/>
      <c r="Z367" s="391"/>
      <c r="AA367" s="391"/>
      <c r="AB367" s="391"/>
      <c r="AC367" s="391"/>
      <c r="AD367" s="391"/>
      <c r="AE367" s="392"/>
      <c r="AF367" s="7"/>
      <c r="AG367" s="154"/>
      <c r="AH367" s="7"/>
      <c r="AI367" s="7"/>
      <c r="AJ367" s="176"/>
      <c r="AL367" s="176"/>
      <c r="AM367" s="176"/>
      <c r="AN367" s="176"/>
      <c r="AO367" s="176"/>
      <c r="AP367" s="176"/>
      <c r="AQ367" s="176"/>
      <c r="AR367" s="176"/>
    </row>
    <row r="368" spans="1:44" ht="20.25" hidden="1" customHeight="1">
      <c r="A368" s="176"/>
      <c r="L368" s="7"/>
      <c r="M368" s="250"/>
      <c r="N368" s="121"/>
      <c r="O368" s="107"/>
      <c r="P368" s="391" t="s">
        <v>183</v>
      </c>
      <c r="Q368" s="391"/>
      <c r="R368" s="393"/>
      <c r="S368" s="44"/>
      <c r="T368" s="390" t="s">
        <v>183</v>
      </c>
      <c r="U368" s="391"/>
      <c r="V368" s="391"/>
      <c r="W368" s="391"/>
      <c r="X368" s="391"/>
      <c r="Y368" s="391"/>
      <c r="Z368" s="391"/>
      <c r="AA368" s="391"/>
      <c r="AB368" s="391"/>
      <c r="AC368" s="391"/>
      <c r="AD368" s="391"/>
      <c r="AE368" s="391"/>
      <c r="AF368" s="391"/>
      <c r="AG368" s="393"/>
      <c r="AH368" s="7"/>
      <c r="AI368" s="7"/>
      <c r="AJ368" s="176"/>
      <c r="AL368" s="176"/>
      <c r="AM368" s="176"/>
      <c r="AN368" s="176"/>
      <c r="AO368" s="176"/>
      <c r="AP368" s="176"/>
      <c r="AQ368" s="176"/>
      <c r="AR368" s="176"/>
    </row>
    <row r="369" spans="1:44" ht="32.25" hidden="1" customHeight="1">
      <c r="A369" s="176"/>
      <c r="L369" s="7"/>
      <c r="M369" s="250"/>
      <c r="N369" s="121"/>
      <c r="O369" s="387" t="s">
        <v>184</v>
      </c>
      <c r="P369" s="388"/>
      <c r="Q369" s="388"/>
      <c r="R369" s="389"/>
      <c r="S369" s="44"/>
      <c r="T369" s="387" t="s">
        <v>184</v>
      </c>
      <c r="U369" s="388"/>
      <c r="V369" s="388"/>
      <c r="W369" s="388"/>
      <c r="X369" s="388"/>
      <c r="Y369" s="388"/>
      <c r="Z369" s="388"/>
      <c r="AA369" s="388"/>
      <c r="AB369" s="388"/>
      <c r="AC369" s="388"/>
      <c r="AD369" s="388"/>
      <c r="AE369" s="388"/>
      <c r="AF369" s="388"/>
      <c r="AG369" s="389"/>
      <c r="AH369" s="7"/>
      <c r="AI369" s="7"/>
      <c r="AJ369" s="176"/>
      <c r="AL369" s="176"/>
      <c r="AM369" s="176"/>
      <c r="AN369" s="176"/>
      <c r="AO369" s="176"/>
      <c r="AP369" s="176"/>
      <c r="AQ369" s="176"/>
      <c r="AR369" s="176"/>
    </row>
    <row r="370" spans="1:44" ht="15.75" hidden="1" customHeight="1">
      <c r="A370" s="176"/>
      <c r="L370" s="7"/>
      <c r="M370" s="250"/>
      <c r="N370" s="121"/>
      <c r="O370" s="387" t="s">
        <v>182</v>
      </c>
      <c r="P370" s="388"/>
      <c r="Q370" s="388"/>
      <c r="R370" s="389"/>
      <c r="S370" s="44"/>
      <c r="T370" s="390"/>
      <c r="U370" s="391"/>
      <c r="V370" s="391"/>
      <c r="W370" s="391"/>
      <c r="X370" s="391"/>
      <c r="Y370" s="391"/>
      <c r="Z370" s="391"/>
      <c r="AA370" s="391"/>
      <c r="AB370" s="391"/>
      <c r="AC370" s="391"/>
      <c r="AD370" s="391"/>
      <c r="AE370" s="392"/>
      <c r="AF370" s="7"/>
      <c r="AG370" s="154"/>
      <c r="AH370" s="7"/>
      <c r="AI370" s="7"/>
      <c r="AJ370" s="176"/>
      <c r="AL370" s="176"/>
      <c r="AM370" s="176"/>
      <c r="AN370" s="176"/>
      <c r="AO370" s="176"/>
      <c r="AP370" s="176"/>
      <c r="AQ370" s="176"/>
      <c r="AR370" s="176"/>
    </row>
    <row r="371" spans="1:44" ht="20.25" hidden="1" customHeight="1">
      <c r="A371" s="176"/>
      <c r="L371" s="7"/>
      <c r="M371" s="250"/>
      <c r="N371" s="121"/>
      <c r="O371" s="107"/>
      <c r="P371" s="391" t="s">
        <v>30</v>
      </c>
      <c r="Q371" s="391"/>
      <c r="R371" s="393"/>
      <c r="S371" s="44"/>
      <c r="T371" s="390"/>
      <c r="U371" s="391"/>
      <c r="V371" s="391"/>
      <c r="W371" s="391"/>
      <c r="X371" s="391"/>
      <c r="Y371" s="391"/>
      <c r="Z371" s="391"/>
      <c r="AA371" s="391"/>
      <c r="AB371" s="391"/>
      <c r="AC371" s="391"/>
      <c r="AD371" s="391"/>
      <c r="AE371" s="392"/>
      <c r="AF371" s="7"/>
      <c r="AG371" s="154"/>
      <c r="AH371" s="7"/>
      <c r="AI371" s="7"/>
      <c r="AJ371" s="176"/>
      <c r="AL371" s="176"/>
      <c r="AM371" s="176"/>
      <c r="AN371" s="176"/>
      <c r="AO371" s="176"/>
      <c r="AP371" s="176"/>
      <c r="AQ371" s="176"/>
      <c r="AR371" s="176"/>
    </row>
    <row r="372" spans="1:44" ht="20.25" hidden="1" customHeight="1">
      <c r="A372" s="176"/>
      <c r="L372" s="7"/>
      <c r="M372" s="250"/>
      <c r="N372" s="121"/>
      <c r="O372" s="107"/>
      <c r="P372" s="391" t="s">
        <v>183</v>
      </c>
      <c r="Q372" s="391"/>
      <c r="R372" s="393"/>
      <c r="S372" s="44"/>
      <c r="T372" s="387"/>
      <c r="U372" s="388"/>
      <c r="V372" s="388"/>
      <c r="W372" s="388"/>
      <c r="X372" s="388"/>
      <c r="Y372" s="388"/>
      <c r="Z372" s="388"/>
      <c r="AA372" s="388"/>
      <c r="AB372" s="388"/>
      <c r="AC372" s="388"/>
      <c r="AD372" s="388"/>
      <c r="AE372" s="392"/>
      <c r="AF372" s="7"/>
      <c r="AG372" s="154"/>
      <c r="AH372" s="7"/>
      <c r="AI372" s="7"/>
      <c r="AJ372" s="176"/>
      <c r="AL372" s="176"/>
      <c r="AM372" s="176"/>
      <c r="AN372" s="176"/>
      <c r="AO372" s="176"/>
      <c r="AP372" s="176"/>
      <c r="AQ372" s="176"/>
      <c r="AR372" s="176"/>
    </row>
    <row r="373" spans="1:44" ht="27.75" hidden="1" customHeight="1">
      <c r="A373" s="176"/>
      <c r="L373" s="7"/>
      <c r="M373" s="250"/>
      <c r="N373" s="121"/>
      <c r="O373" s="387" t="s">
        <v>184</v>
      </c>
      <c r="P373" s="388"/>
      <c r="Q373" s="388"/>
      <c r="R373" s="389"/>
      <c r="S373" s="51"/>
      <c r="T373" s="114"/>
      <c r="U373" s="53"/>
      <c r="V373" s="53"/>
      <c r="W373" s="53"/>
      <c r="X373" s="53"/>
      <c r="Y373" s="53"/>
      <c r="Z373" s="53"/>
      <c r="AA373" s="53"/>
      <c r="AB373" s="53"/>
      <c r="AC373" s="53"/>
      <c r="AD373" s="54"/>
      <c r="AE373" s="49"/>
      <c r="AF373" s="7"/>
      <c r="AG373" s="154"/>
      <c r="AH373" s="7"/>
      <c r="AI373" s="7"/>
      <c r="AJ373" s="176"/>
      <c r="AL373" s="176"/>
      <c r="AM373" s="176"/>
      <c r="AN373" s="176"/>
      <c r="AO373" s="176"/>
      <c r="AP373" s="176"/>
      <c r="AQ373" s="176"/>
      <c r="AR373" s="176"/>
    </row>
    <row r="374" spans="1:44" ht="11.25" hidden="1" customHeight="1">
      <c r="A374" s="176"/>
      <c r="L374" s="7"/>
      <c r="M374" s="250"/>
      <c r="N374" s="121"/>
      <c r="O374" s="108"/>
      <c r="P374" s="109"/>
      <c r="Q374" s="109"/>
      <c r="R374" s="110"/>
      <c r="S374" s="51"/>
      <c r="T374" s="108"/>
      <c r="U374" s="109"/>
      <c r="V374" s="109"/>
      <c r="W374" s="109"/>
      <c r="X374" s="109"/>
      <c r="Y374" s="109"/>
      <c r="Z374" s="109"/>
      <c r="AA374" s="109"/>
      <c r="AB374" s="109"/>
      <c r="AC374" s="115"/>
      <c r="AD374" s="92"/>
      <c r="AE374" s="151"/>
      <c r="AF374" s="100"/>
      <c r="AG374" s="155"/>
      <c r="AH374" s="7"/>
      <c r="AI374" s="7"/>
      <c r="AJ374" s="176"/>
      <c r="AL374" s="176"/>
      <c r="AM374" s="176"/>
      <c r="AN374" s="176"/>
      <c r="AO374" s="176"/>
      <c r="AP374" s="176"/>
      <c r="AQ374" s="176"/>
      <c r="AR374" s="176"/>
    </row>
    <row r="375" spans="1:44" ht="18.75" hidden="1" customHeight="1">
      <c r="A375" s="176"/>
      <c r="L375" s="7"/>
      <c r="M375" s="250"/>
      <c r="N375" s="121"/>
      <c r="O375" s="20"/>
      <c r="P375" s="20"/>
      <c r="Q375" s="20"/>
      <c r="R375" s="20"/>
      <c r="S375" s="20"/>
      <c r="T375" s="20"/>
      <c r="U375" s="20"/>
      <c r="V375" s="20"/>
      <c r="W375" s="20"/>
      <c r="X375" s="20"/>
      <c r="Y375" s="20"/>
      <c r="Z375" s="20"/>
      <c r="AA375" s="20"/>
      <c r="AB375" s="20"/>
      <c r="AC375" s="21"/>
      <c r="AD375" s="8"/>
      <c r="AE375" s="175"/>
      <c r="AF375" s="7"/>
      <c r="AG375" s="252" t="str">
        <f>AG296</f>
        <v>Versão 2.0.9 - 13/02/2017</v>
      </c>
      <c r="AH375" s="7"/>
      <c r="AI375" s="7"/>
      <c r="AJ375" s="176"/>
      <c r="AL375" s="176"/>
      <c r="AM375" s="176"/>
      <c r="AN375" s="176"/>
      <c r="AO375" s="176"/>
      <c r="AP375" s="176"/>
      <c r="AQ375" s="176"/>
      <c r="AR375" s="176"/>
    </row>
    <row r="376" spans="1:44" ht="15" hidden="1" customHeight="1">
      <c r="N376" s="128"/>
      <c r="O376" s="128"/>
      <c r="P376" s="128"/>
      <c r="Q376" s="128"/>
      <c r="R376" s="128"/>
      <c r="S376" s="128"/>
      <c r="T376" s="128"/>
      <c r="U376" s="128"/>
      <c r="V376" s="128"/>
      <c r="W376" s="128"/>
      <c r="X376" s="128"/>
      <c r="Y376" s="128"/>
      <c r="Z376" s="128"/>
      <c r="AA376" s="128"/>
      <c r="AB376" s="128"/>
      <c r="AC376" s="128"/>
      <c r="AD376" s="128"/>
      <c r="AE376" s="128"/>
      <c r="AF376" s="128"/>
      <c r="AG376" s="128"/>
    </row>
    <row r="377" spans="1:44" ht="15" hidden="1" customHeight="1"/>
    <row r="378" spans="1:44" s="1" customFormat="1" ht="15" hidden="1" customHeight="1">
      <c r="B378" s="2"/>
      <c r="C378" s="2"/>
      <c r="D378" s="2"/>
      <c r="E378" s="2"/>
      <c r="F378" s="2"/>
      <c r="G378" s="2"/>
      <c r="H378" s="2"/>
      <c r="I378" s="2"/>
      <c r="J378" s="3"/>
      <c r="K378" s="2"/>
      <c r="L378" s="2"/>
      <c r="M378" s="187"/>
      <c r="N378"/>
      <c r="O378"/>
      <c r="P378"/>
      <c r="Q378"/>
      <c r="R378"/>
      <c r="S378"/>
      <c r="T378"/>
      <c r="U378"/>
      <c r="V378"/>
      <c r="W378"/>
      <c r="X378"/>
      <c r="Y378"/>
      <c r="Z378"/>
      <c r="AA378"/>
      <c r="AB378"/>
      <c r="AC378"/>
      <c r="AD378"/>
      <c r="AE378"/>
      <c r="AF378"/>
      <c r="AG378"/>
      <c r="AH378" s="2"/>
      <c r="AI378" s="2"/>
      <c r="AK378" s="2"/>
    </row>
    <row r="379" spans="1:44" s="1" customFormat="1" ht="15" hidden="1" customHeight="1">
      <c r="B379" s="2"/>
      <c r="C379" s="2"/>
      <c r="D379" s="2"/>
      <c r="E379" s="2"/>
      <c r="F379" s="2"/>
      <c r="G379" s="2"/>
      <c r="H379" s="2"/>
      <c r="I379" s="2"/>
      <c r="J379" s="3"/>
      <c r="K379" s="2"/>
      <c r="L379" s="2"/>
      <c r="M379" s="187"/>
      <c r="N379"/>
      <c r="O379"/>
      <c r="P379"/>
      <c r="Q379"/>
      <c r="R379"/>
      <c r="S379"/>
      <c r="T379"/>
      <c r="U379"/>
      <c r="V379"/>
      <c r="W379"/>
      <c r="X379"/>
      <c r="Y379"/>
      <c r="Z379"/>
      <c r="AA379"/>
      <c r="AB379"/>
      <c r="AC379"/>
      <c r="AD379"/>
      <c r="AE379"/>
      <c r="AF379"/>
      <c r="AG379"/>
      <c r="AH379" s="2"/>
      <c r="AI379" s="2"/>
      <c r="AK379" s="2"/>
    </row>
    <row r="380" spans="1:44" s="1" customFormat="1" ht="15" hidden="1" customHeight="1">
      <c r="B380" s="2"/>
      <c r="C380" s="2"/>
      <c r="D380" s="2"/>
      <c r="E380" s="2"/>
      <c r="F380" s="2"/>
      <c r="G380" s="2"/>
      <c r="H380" s="2"/>
      <c r="I380" s="2"/>
      <c r="J380" s="3"/>
      <c r="K380" s="2"/>
      <c r="L380" s="2"/>
      <c r="M380" s="187"/>
      <c r="N380"/>
      <c r="O380"/>
      <c r="P380"/>
      <c r="Q380"/>
      <c r="R380"/>
      <c r="S380"/>
      <c r="T380"/>
      <c r="U380"/>
      <c r="V380"/>
      <c r="W380"/>
      <c r="X380"/>
      <c r="Y380"/>
      <c r="Z380"/>
      <c r="AA380"/>
      <c r="AB380"/>
      <c r="AC380"/>
      <c r="AD380"/>
      <c r="AE380"/>
      <c r="AF380"/>
      <c r="AG380"/>
      <c r="AH380" s="2"/>
      <c r="AI380" s="2"/>
      <c r="AK380" s="2"/>
    </row>
    <row r="381" spans="1:44" s="1" customFormat="1" ht="15" hidden="1" customHeight="1">
      <c r="B381" s="2"/>
      <c r="C381" s="2"/>
      <c r="D381" s="2"/>
      <c r="E381" s="2"/>
      <c r="F381" s="2"/>
      <c r="G381" s="2"/>
      <c r="H381" s="2"/>
      <c r="I381" s="2"/>
      <c r="J381" s="3"/>
      <c r="K381" s="2"/>
      <c r="L381" s="2"/>
      <c r="M381" s="187"/>
      <c r="N381"/>
      <c r="O381"/>
      <c r="P381"/>
      <c r="Q381"/>
      <c r="R381"/>
      <c r="S381"/>
      <c r="T381"/>
      <c r="U381"/>
      <c r="V381"/>
      <c r="W381"/>
      <c r="X381"/>
      <c r="Y381"/>
      <c r="Z381"/>
      <c r="AA381"/>
      <c r="AB381"/>
      <c r="AC381"/>
      <c r="AD381"/>
      <c r="AE381"/>
      <c r="AF381"/>
      <c r="AG381"/>
      <c r="AH381" s="2"/>
      <c r="AI381" s="2"/>
      <c r="AK381" s="2"/>
    </row>
    <row r="382" spans="1:44" s="1" customFormat="1" ht="15" hidden="1" customHeight="1">
      <c r="B382" s="2"/>
      <c r="C382" s="2"/>
      <c r="D382" s="2"/>
      <c r="E382" s="2"/>
      <c r="F382" s="2"/>
      <c r="G382" s="2"/>
      <c r="H382" s="2"/>
      <c r="I382" s="2"/>
      <c r="J382" s="3"/>
      <c r="K382" s="2"/>
      <c r="L382" s="2"/>
      <c r="M382" s="187"/>
      <c r="N382"/>
      <c r="O382"/>
      <c r="P382"/>
      <c r="Q382"/>
      <c r="R382"/>
      <c r="S382"/>
      <c r="T382"/>
      <c r="U382"/>
      <c r="V382"/>
      <c r="W382"/>
      <c r="X382"/>
      <c r="Y382"/>
      <c r="Z382"/>
      <c r="AA382"/>
      <c r="AB382"/>
      <c r="AC382"/>
      <c r="AD382"/>
      <c r="AE382"/>
      <c r="AF382"/>
      <c r="AG382"/>
      <c r="AH382" s="2"/>
      <c r="AI382" s="2"/>
      <c r="AK382" s="2"/>
    </row>
    <row r="383" spans="1:44" s="1" customFormat="1" ht="15" hidden="1" customHeight="1">
      <c r="B383" s="2"/>
      <c r="C383" s="2"/>
      <c r="D383" s="2"/>
      <c r="E383" s="2"/>
      <c r="F383" s="2"/>
      <c r="G383" s="2"/>
      <c r="H383" s="2"/>
      <c r="I383" s="2"/>
      <c r="J383" s="3"/>
      <c r="K383" s="2"/>
      <c r="L383" s="2"/>
      <c r="M383" s="187"/>
      <c r="N383"/>
      <c r="O383"/>
      <c r="P383"/>
      <c r="Q383"/>
      <c r="R383"/>
      <c r="S383"/>
      <c r="T383"/>
      <c r="U383"/>
      <c r="V383"/>
      <c r="W383"/>
      <c r="X383"/>
      <c r="Y383"/>
      <c r="Z383"/>
      <c r="AA383"/>
      <c r="AB383"/>
      <c r="AC383"/>
      <c r="AD383"/>
      <c r="AE383"/>
      <c r="AF383"/>
      <c r="AG383"/>
      <c r="AH383" s="2"/>
      <c r="AI383" s="2"/>
      <c r="AK383" s="2"/>
    </row>
    <row r="384" spans="1:44" s="1" customFormat="1" ht="15" hidden="1" customHeight="1">
      <c r="B384" s="2"/>
      <c r="C384" s="2"/>
      <c r="D384" s="2"/>
      <c r="E384" s="2"/>
      <c r="F384" s="2"/>
      <c r="G384" s="2"/>
      <c r="H384" s="2"/>
      <c r="I384" s="2"/>
      <c r="J384" s="3"/>
      <c r="K384" s="2"/>
      <c r="L384" s="2"/>
      <c r="M384" s="187"/>
      <c r="N384"/>
      <c r="O384"/>
      <c r="P384"/>
      <c r="Q384"/>
      <c r="R384"/>
      <c r="S384"/>
      <c r="T384"/>
      <c r="U384"/>
      <c r="V384"/>
      <c r="W384"/>
      <c r="X384"/>
      <c r="Y384"/>
      <c r="Z384"/>
      <c r="AA384"/>
      <c r="AB384"/>
      <c r="AC384"/>
      <c r="AD384"/>
      <c r="AE384"/>
      <c r="AF384"/>
      <c r="AG384"/>
      <c r="AH384" s="2"/>
      <c r="AI384" s="2"/>
      <c r="AK384" s="2"/>
    </row>
    <row r="385" spans="2:37" s="1" customFormat="1" ht="15" hidden="1" customHeight="1">
      <c r="B385" s="2"/>
      <c r="C385" s="2"/>
      <c r="D385" s="2"/>
      <c r="E385" s="2"/>
      <c r="F385" s="2"/>
      <c r="G385" s="2"/>
      <c r="H385" s="2"/>
      <c r="I385" s="2"/>
      <c r="J385" s="3"/>
      <c r="K385" s="2"/>
      <c r="L385" s="2"/>
      <c r="M385" s="187"/>
      <c r="N385"/>
      <c r="O385"/>
      <c r="P385"/>
      <c r="Q385"/>
      <c r="R385"/>
      <c r="S385"/>
      <c r="T385"/>
      <c r="U385"/>
      <c r="V385"/>
      <c r="W385"/>
      <c r="X385"/>
      <c r="Y385"/>
      <c r="Z385"/>
      <c r="AA385"/>
      <c r="AB385"/>
      <c r="AC385"/>
      <c r="AD385"/>
      <c r="AE385"/>
      <c r="AF385"/>
      <c r="AG385"/>
      <c r="AH385" s="2"/>
      <c r="AI385" s="2"/>
      <c r="AK385" s="2"/>
    </row>
    <row r="386" spans="2:37" s="1" customFormat="1" ht="15" hidden="1" customHeight="1">
      <c r="B386" s="2"/>
      <c r="C386" s="2"/>
      <c r="D386" s="2"/>
      <c r="E386" s="2"/>
      <c r="F386" s="2"/>
      <c r="G386" s="2"/>
      <c r="H386" s="2"/>
      <c r="I386" s="2"/>
      <c r="J386" s="3"/>
      <c r="K386" s="2"/>
      <c r="L386" s="2"/>
      <c r="M386" s="187"/>
      <c r="N386"/>
      <c r="O386"/>
      <c r="P386"/>
      <c r="Q386"/>
      <c r="R386"/>
      <c r="S386"/>
      <c r="T386"/>
      <c r="U386"/>
      <c r="V386"/>
      <c r="W386"/>
      <c r="X386"/>
      <c r="Y386"/>
      <c r="Z386"/>
      <c r="AA386"/>
      <c r="AB386"/>
      <c r="AC386"/>
      <c r="AD386"/>
      <c r="AE386"/>
      <c r="AF386"/>
      <c r="AG386"/>
      <c r="AH386" s="2"/>
      <c r="AI386" s="2"/>
      <c r="AK386" s="2"/>
    </row>
    <row r="387" spans="2:37" s="1" customFormat="1" ht="15" hidden="1" customHeight="1">
      <c r="B387" s="2"/>
      <c r="C387" s="2"/>
      <c r="D387" s="2"/>
      <c r="E387" s="2"/>
      <c r="F387" s="2"/>
      <c r="G387" s="2"/>
      <c r="H387" s="2"/>
      <c r="I387" s="2"/>
      <c r="J387" s="3"/>
      <c r="K387" s="2"/>
      <c r="L387" s="2"/>
      <c r="M387" s="187"/>
      <c r="N387"/>
      <c r="O387"/>
      <c r="P387"/>
      <c r="Q387"/>
      <c r="R387"/>
      <c r="S387"/>
      <c r="T387"/>
      <c r="U387"/>
      <c r="V387"/>
      <c r="W387"/>
      <c r="X387"/>
      <c r="Y387"/>
      <c r="Z387"/>
      <c r="AA387"/>
      <c r="AB387"/>
      <c r="AC387"/>
      <c r="AD387"/>
      <c r="AE387"/>
      <c r="AF387"/>
      <c r="AG387"/>
      <c r="AH387" s="2"/>
      <c r="AI387" s="2"/>
      <c r="AK387" s="2"/>
    </row>
    <row r="388" spans="2:37" s="1" customFormat="1" ht="15" hidden="1" customHeight="1">
      <c r="B388" s="2"/>
      <c r="C388" s="2"/>
      <c r="D388" s="2"/>
      <c r="E388" s="2"/>
      <c r="F388" s="2"/>
      <c r="G388" s="2"/>
      <c r="H388" s="2"/>
      <c r="I388" s="2"/>
      <c r="J388" s="3"/>
      <c r="K388" s="2"/>
      <c r="L388" s="2"/>
      <c r="M388" s="187"/>
      <c r="N388"/>
      <c r="O388"/>
      <c r="P388"/>
      <c r="Q388"/>
      <c r="R388"/>
      <c r="S388"/>
      <c r="T388"/>
      <c r="U388"/>
      <c r="V388"/>
      <c r="W388"/>
      <c r="X388"/>
      <c r="Y388"/>
      <c r="Z388"/>
      <c r="AA388"/>
      <c r="AB388"/>
      <c r="AC388"/>
      <c r="AD388"/>
      <c r="AE388"/>
      <c r="AF388"/>
      <c r="AG388"/>
      <c r="AH388" s="2"/>
      <c r="AI388" s="2"/>
      <c r="AK388" s="2"/>
    </row>
    <row r="389" spans="2:37" s="1" customFormat="1" ht="15" hidden="1" customHeight="1">
      <c r="B389" s="2"/>
      <c r="C389" s="2"/>
      <c r="D389" s="2"/>
      <c r="E389" s="2"/>
      <c r="F389" s="2"/>
      <c r="G389" s="2"/>
      <c r="H389" s="2"/>
      <c r="I389" s="2"/>
      <c r="J389" s="3"/>
      <c r="K389" s="2"/>
      <c r="L389" s="2"/>
      <c r="M389" s="187"/>
      <c r="N389"/>
      <c r="O389"/>
      <c r="P389"/>
      <c r="Q389"/>
      <c r="R389"/>
      <c r="S389"/>
      <c r="T389"/>
      <c r="U389"/>
      <c r="V389"/>
      <c r="W389"/>
      <c r="X389"/>
      <c r="Y389"/>
      <c r="Z389"/>
      <c r="AA389"/>
      <c r="AB389"/>
      <c r="AC389"/>
      <c r="AD389"/>
      <c r="AE389"/>
      <c r="AF389"/>
      <c r="AG389"/>
      <c r="AH389" s="2"/>
      <c r="AI389" s="2"/>
      <c r="AK389" s="2"/>
    </row>
    <row r="390" spans="2:37" s="1" customFormat="1" ht="15" hidden="1" customHeight="1">
      <c r="B390" s="2"/>
      <c r="C390" s="2"/>
      <c r="D390" s="2"/>
      <c r="E390" s="2"/>
      <c r="F390" s="2"/>
      <c r="G390" s="2"/>
      <c r="H390" s="2"/>
      <c r="I390" s="2"/>
      <c r="J390" s="3"/>
      <c r="K390" s="2"/>
      <c r="L390" s="2"/>
      <c r="M390" s="187"/>
      <c r="N390"/>
      <c r="O390"/>
      <c r="P390"/>
      <c r="Q390"/>
      <c r="R390"/>
      <c r="S390"/>
      <c r="T390"/>
      <c r="U390"/>
      <c r="V390"/>
      <c r="W390"/>
      <c r="X390"/>
      <c r="Y390"/>
      <c r="Z390"/>
      <c r="AA390"/>
      <c r="AB390"/>
      <c r="AC390"/>
      <c r="AD390"/>
      <c r="AE390"/>
      <c r="AF390"/>
      <c r="AG390"/>
      <c r="AH390" s="2"/>
      <c r="AI390" s="2"/>
      <c r="AK390" s="2"/>
    </row>
    <row r="391" spans="2:37" s="1" customFormat="1" ht="15" hidden="1" customHeight="1">
      <c r="B391" s="2"/>
      <c r="C391" s="2"/>
      <c r="D391" s="2"/>
      <c r="E391" s="2"/>
      <c r="F391" s="2"/>
      <c r="G391" s="2"/>
      <c r="H391" s="2"/>
      <c r="I391" s="2"/>
      <c r="J391" s="3"/>
      <c r="K391" s="2"/>
      <c r="L391" s="2"/>
      <c r="M391" s="187"/>
      <c r="N391"/>
      <c r="O391"/>
      <c r="P391"/>
      <c r="Q391"/>
      <c r="R391"/>
      <c r="S391"/>
      <c r="T391"/>
      <c r="U391"/>
      <c r="V391"/>
      <c r="W391"/>
      <c r="X391"/>
      <c r="Y391"/>
      <c r="Z391"/>
      <c r="AA391"/>
      <c r="AB391"/>
      <c r="AC391"/>
      <c r="AD391"/>
      <c r="AE391"/>
      <c r="AF391"/>
      <c r="AG391"/>
      <c r="AH391" s="2"/>
      <c r="AI391" s="2"/>
      <c r="AK391" s="2"/>
    </row>
    <row r="392" spans="2:37" s="1" customFormat="1" ht="15" hidden="1" customHeight="1">
      <c r="B392" s="2"/>
      <c r="C392" s="2"/>
      <c r="D392" s="2"/>
      <c r="E392" s="2"/>
      <c r="F392" s="2"/>
      <c r="G392" s="2"/>
      <c r="H392" s="2"/>
      <c r="I392" s="2"/>
      <c r="J392" s="3"/>
      <c r="K392" s="2"/>
      <c r="L392" s="2"/>
      <c r="M392" s="187"/>
      <c r="N392"/>
      <c r="O392"/>
      <c r="P392"/>
      <c r="Q392"/>
      <c r="R392"/>
      <c r="S392"/>
      <c r="T392"/>
      <c r="U392"/>
      <c r="V392"/>
      <c r="W392"/>
      <c r="X392"/>
      <c r="Y392"/>
      <c r="Z392"/>
      <c r="AA392"/>
      <c r="AB392"/>
      <c r="AC392"/>
      <c r="AD392"/>
      <c r="AE392"/>
      <c r="AF392"/>
      <c r="AG392"/>
      <c r="AH392" s="2"/>
      <c r="AI392" s="2"/>
      <c r="AK392" s="2"/>
    </row>
    <row r="393" spans="2:37" s="1" customFormat="1" ht="15" hidden="1" customHeight="1">
      <c r="B393" s="2"/>
      <c r="C393" s="2"/>
      <c r="D393" s="2"/>
      <c r="E393" s="2"/>
      <c r="F393" s="2"/>
      <c r="G393" s="2"/>
      <c r="H393" s="2"/>
      <c r="I393" s="2"/>
      <c r="J393" s="3"/>
      <c r="K393" s="2"/>
      <c r="L393" s="2"/>
      <c r="M393" s="187"/>
      <c r="N393"/>
      <c r="O393"/>
      <c r="P393"/>
      <c r="Q393"/>
      <c r="R393"/>
      <c r="S393"/>
      <c r="T393"/>
      <c r="U393"/>
      <c r="V393"/>
      <c r="W393"/>
      <c r="X393"/>
      <c r="Y393"/>
      <c r="Z393"/>
      <c r="AA393"/>
      <c r="AB393"/>
      <c r="AC393"/>
      <c r="AD393"/>
      <c r="AE393"/>
      <c r="AF393"/>
      <c r="AG393"/>
      <c r="AH393" s="2"/>
      <c r="AI393" s="2"/>
      <c r="AK393" s="2"/>
    </row>
    <row r="394" spans="2:37" s="1" customFormat="1" ht="15" hidden="1" customHeight="1">
      <c r="B394" s="2"/>
      <c r="C394" s="2"/>
      <c r="D394" s="2"/>
      <c r="E394" s="2"/>
      <c r="F394" s="2"/>
      <c r="G394" s="2"/>
      <c r="H394" s="2"/>
      <c r="I394" s="2"/>
      <c r="J394" s="3"/>
      <c r="K394" s="2"/>
      <c r="L394" s="2"/>
      <c r="M394" s="187"/>
      <c r="N394"/>
      <c r="O394"/>
      <c r="P394"/>
      <c r="Q394"/>
      <c r="R394"/>
      <c r="S394"/>
      <c r="T394"/>
      <c r="U394"/>
      <c r="V394"/>
      <c r="W394"/>
      <c r="X394"/>
      <c r="Y394"/>
      <c r="Z394"/>
      <c r="AA394"/>
      <c r="AB394"/>
      <c r="AC394"/>
      <c r="AD394"/>
      <c r="AE394"/>
      <c r="AF394"/>
      <c r="AG394"/>
      <c r="AH394" s="2"/>
      <c r="AI394" s="2"/>
      <c r="AK394" s="2"/>
    </row>
    <row r="395" spans="2:37" s="1" customFormat="1" ht="15" hidden="1" customHeight="1">
      <c r="B395" s="2"/>
      <c r="C395" s="2"/>
      <c r="D395" s="2"/>
      <c r="E395" s="2"/>
      <c r="F395" s="2"/>
      <c r="G395" s="2"/>
      <c r="H395" s="2"/>
      <c r="I395" s="2"/>
      <c r="J395" s="3"/>
      <c r="K395" s="2"/>
      <c r="L395" s="2"/>
      <c r="M395" s="187"/>
      <c r="N395"/>
      <c r="O395"/>
      <c r="P395"/>
      <c r="Q395"/>
      <c r="R395"/>
      <c r="S395"/>
      <c r="T395"/>
      <c r="U395"/>
      <c r="V395"/>
      <c r="W395"/>
      <c r="X395"/>
      <c r="Y395"/>
      <c r="Z395"/>
      <c r="AA395"/>
      <c r="AB395"/>
      <c r="AC395"/>
      <c r="AD395"/>
      <c r="AE395"/>
      <c r="AF395"/>
      <c r="AG395"/>
      <c r="AH395" s="2"/>
      <c r="AI395" s="2"/>
      <c r="AK395" s="2"/>
    </row>
    <row r="396" spans="2:37" s="1" customFormat="1" ht="15" hidden="1" customHeight="1">
      <c r="B396" s="2"/>
      <c r="C396" s="2"/>
      <c r="D396" s="2"/>
      <c r="E396" s="2"/>
      <c r="F396" s="2"/>
      <c r="G396" s="2"/>
      <c r="H396" s="2"/>
      <c r="I396" s="2"/>
      <c r="J396" s="3"/>
      <c r="K396" s="2"/>
      <c r="L396" s="2"/>
      <c r="M396" s="187"/>
      <c r="N396"/>
      <c r="O396"/>
      <c r="P396"/>
      <c r="Q396"/>
      <c r="R396"/>
      <c r="S396"/>
      <c r="T396"/>
      <c r="U396"/>
      <c r="V396"/>
      <c r="W396"/>
      <c r="X396"/>
      <c r="Y396"/>
      <c r="Z396"/>
      <c r="AA396"/>
      <c r="AB396"/>
      <c r="AC396"/>
      <c r="AD396"/>
      <c r="AE396"/>
      <c r="AF396"/>
      <c r="AG396"/>
      <c r="AH396" s="2"/>
      <c r="AI396" s="2"/>
      <c r="AK396" s="2"/>
    </row>
    <row r="397" spans="2:37" s="1" customFormat="1" ht="15" hidden="1" customHeight="1">
      <c r="B397" s="2"/>
      <c r="C397" s="2"/>
      <c r="D397" s="2"/>
      <c r="E397" s="2"/>
      <c r="F397" s="2"/>
      <c r="G397" s="2"/>
      <c r="H397" s="2"/>
      <c r="I397" s="2"/>
      <c r="J397" s="3"/>
      <c r="K397" s="2"/>
      <c r="L397" s="2"/>
      <c r="M397" s="187"/>
      <c r="N397"/>
      <c r="O397"/>
      <c r="P397"/>
      <c r="Q397"/>
      <c r="R397"/>
      <c r="S397"/>
      <c r="T397"/>
      <c r="U397"/>
      <c r="V397"/>
      <c r="W397"/>
      <c r="X397"/>
      <c r="Y397"/>
      <c r="Z397"/>
      <c r="AA397"/>
      <c r="AB397"/>
      <c r="AC397"/>
      <c r="AD397"/>
      <c r="AE397"/>
      <c r="AF397"/>
      <c r="AG397"/>
      <c r="AH397" s="2"/>
      <c r="AI397" s="2"/>
      <c r="AK397" s="2"/>
    </row>
    <row r="398" spans="2:37" s="1" customFormat="1" ht="15" hidden="1" customHeight="1">
      <c r="B398" s="2"/>
      <c r="C398" s="2"/>
      <c r="D398" s="2"/>
      <c r="E398" s="2"/>
      <c r="F398" s="2"/>
      <c r="G398" s="2"/>
      <c r="H398" s="2"/>
      <c r="I398" s="2"/>
      <c r="J398" s="3"/>
      <c r="K398" s="2"/>
      <c r="L398" s="2"/>
      <c r="M398" s="187"/>
      <c r="N398"/>
      <c r="O398"/>
      <c r="P398"/>
      <c r="Q398"/>
      <c r="R398"/>
      <c r="S398"/>
      <c r="T398"/>
      <c r="U398"/>
      <c r="V398"/>
      <c r="W398"/>
      <c r="X398"/>
      <c r="Y398"/>
      <c r="Z398"/>
      <c r="AA398"/>
      <c r="AB398"/>
      <c r="AC398"/>
      <c r="AD398"/>
      <c r="AE398"/>
      <c r="AF398"/>
      <c r="AG398"/>
      <c r="AH398" s="2"/>
      <c r="AI398" s="2"/>
      <c r="AK398" s="2"/>
    </row>
    <row r="399" spans="2:37" s="1" customFormat="1" ht="15" hidden="1" customHeight="1">
      <c r="B399" s="2"/>
      <c r="C399" s="2"/>
      <c r="D399" s="2"/>
      <c r="E399" s="2"/>
      <c r="F399" s="2"/>
      <c r="G399" s="2"/>
      <c r="H399" s="2"/>
      <c r="I399" s="2"/>
      <c r="J399" s="3"/>
      <c r="K399" s="2"/>
      <c r="L399" s="2"/>
      <c r="M399" s="187"/>
      <c r="N399"/>
      <c r="O399"/>
      <c r="P399"/>
      <c r="Q399"/>
      <c r="R399"/>
      <c r="S399"/>
      <c r="T399"/>
      <c r="U399"/>
      <c r="V399"/>
      <c r="W399"/>
      <c r="X399"/>
      <c r="Y399"/>
      <c r="Z399"/>
      <c r="AA399"/>
      <c r="AB399"/>
      <c r="AC399"/>
      <c r="AD399"/>
      <c r="AE399"/>
      <c r="AF399"/>
      <c r="AG399"/>
      <c r="AH399" s="2"/>
      <c r="AI399" s="2"/>
      <c r="AK399" s="2"/>
    </row>
    <row r="400" spans="2:37" s="1" customFormat="1" ht="15" hidden="1" customHeight="1">
      <c r="B400" s="2"/>
      <c r="C400" s="2"/>
      <c r="D400" s="2"/>
      <c r="E400" s="2"/>
      <c r="F400" s="2"/>
      <c r="G400" s="2"/>
      <c r="H400" s="2"/>
      <c r="I400" s="2"/>
      <c r="J400" s="3"/>
      <c r="K400" s="2"/>
      <c r="L400" s="2"/>
      <c r="M400" s="187"/>
      <c r="N400"/>
      <c r="O400"/>
      <c r="P400"/>
      <c r="Q400"/>
      <c r="R400"/>
      <c r="S400"/>
      <c r="T400"/>
      <c r="U400"/>
      <c r="V400"/>
      <c r="W400"/>
      <c r="X400"/>
      <c r="Y400"/>
      <c r="Z400"/>
      <c r="AA400"/>
      <c r="AB400"/>
      <c r="AC400"/>
      <c r="AD400"/>
      <c r="AE400"/>
      <c r="AF400"/>
      <c r="AG400"/>
      <c r="AH400" s="2"/>
      <c r="AI400" s="2"/>
      <c r="AK400" s="2"/>
    </row>
    <row r="401" spans="2:37" s="1" customFormat="1" ht="15" hidden="1" customHeight="1">
      <c r="B401" s="2"/>
      <c r="C401" s="2"/>
      <c r="D401" s="2"/>
      <c r="E401" s="2"/>
      <c r="F401" s="2"/>
      <c r="G401" s="2"/>
      <c r="H401" s="2"/>
      <c r="I401" s="2"/>
      <c r="J401" s="3"/>
      <c r="K401" s="2"/>
      <c r="L401" s="2"/>
      <c r="M401" s="187"/>
      <c r="N401"/>
      <c r="O401"/>
      <c r="P401"/>
      <c r="Q401"/>
      <c r="R401"/>
      <c r="S401"/>
      <c r="T401"/>
      <c r="U401"/>
      <c r="V401"/>
      <c r="W401"/>
      <c r="X401"/>
      <c r="Y401"/>
      <c r="Z401"/>
      <c r="AA401"/>
      <c r="AB401"/>
      <c r="AC401"/>
      <c r="AD401"/>
      <c r="AE401"/>
      <c r="AF401"/>
      <c r="AG401"/>
      <c r="AH401" s="2"/>
      <c r="AI401" s="2"/>
      <c r="AK401" s="2"/>
    </row>
    <row r="402" spans="2:37" s="1" customFormat="1" ht="15" hidden="1" customHeight="1">
      <c r="B402" s="2"/>
      <c r="C402" s="2"/>
      <c r="D402" s="2"/>
      <c r="E402" s="2"/>
      <c r="F402" s="2"/>
      <c r="G402" s="2"/>
      <c r="H402" s="2"/>
      <c r="I402" s="2"/>
      <c r="J402" s="3"/>
      <c r="K402" s="2"/>
      <c r="L402" s="2"/>
      <c r="M402" s="187"/>
      <c r="N402"/>
      <c r="O402"/>
      <c r="P402"/>
      <c r="Q402"/>
      <c r="R402"/>
      <c r="S402"/>
      <c r="T402"/>
      <c r="U402"/>
      <c r="V402"/>
      <c r="W402"/>
      <c r="X402"/>
      <c r="Y402"/>
      <c r="Z402"/>
      <c r="AA402"/>
      <c r="AB402"/>
      <c r="AC402"/>
      <c r="AD402"/>
      <c r="AE402"/>
      <c r="AF402"/>
      <c r="AG402"/>
      <c r="AH402" s="2"/>
      <c r="AI402" s="2"/>
      <c r="AK402" s="2"/>
    </row>
    <row r="403" spans="2:37" s="1" customFormat="1" ht="15" hidden="1" customHeight="1">
      <c r="B403" s="2"/>
      <c r="C403" s="2"/>
      <c r="D403" s="2"/>
      <c r="E403" s="2"/>
      <c r="F403" s="2"/>
      <c r="G403" s="2"/>
      <c r="H403" s="2"/>
      <c r="I403" s="2"/>
      <c r="J403" s="3"/>
      <c r="K403" s="2"/>
      <c r="L403" s="2"/>
      <c r="M403" s="187"/>
      <c r="N403"/>
      <c r="O403"/>
      <c r="P403"/>
      <c r="Q403"/>
      <c r="R403"/>
      <c r="S403"/>
      <c r="T403"/>
      <c r="U403"/>
      <c r="V403"/>
      <c r="W403"/>
      <c r="X403"/>
      <c r="Y403"/>
      <c r="Z403"/>
      <c r="AA403"/>
      <c r="AB403"/>
      <c r="AC403"/>
      <c r="AD403"/>
      <c r="AE403"/>
      <c r="AF403"/>
      <c r="AG403"/>
      <c r="AH403" s="2"/>
      <c r="AI403" s="2"/>
      <c r="AK403" s="2"/>
    </row>
    <row r="404" spans="2:37" s="1" customFormat="1" ht="15" hidden="1" customHeight="1">
      <c r="B404" s="2"/>
      <c r="C404" s="2"/>
      <c r="D404" s="2"/>
      <c r="E404" s="2"/>
      <c r="F404" s="2"/>
      <c r="G404" s="2"/>
      <c r="H404" s="2"/>
      <c r="I404" s="2"/>
      <c r="J404" s="3"/>
      <c r="K404" s="2"/>
      <c r="L404" s="2"/>
      <c r="M404" s="187"/>
      <c r="N404"/>
      <c r="O404"/>
      <c r="P404"/>
      <c r="Q404"/>
      <c r="R404"/>
      <c r="S404"/>
      <c r="T404"/>
      <c r="U404"/>
      <c r="V404"/>
      <c r="W404"/>
      <c r="X404"/>
      <c r="Y404"/>
      <c r="Z404"/>
      <c r="AA404"/>
      <c r="AB404"/>
      <c r="AC404"/>
      <c r="AD404"/>
      <c r="AE404"/>
      <c r="AF404"/>
      <c r="AG404"/>
      <c r="AH404" s="2"/>
      <c r="AI404" s="2"/>
      <c r="AK404" s="2"/>
    </row>
    <row r="405" spans="2:37" s="1" customFormat="1" ht="15" hidden="1" customHeight="1">
      <c r="B405" s="2"/>
      <c r="C405" s="2"/>
      <c r="D405" s="2"/>
      <c r="E405" s="2"/>
      <c r="F405" s="2"/>
      <c r="G405" s="2"/>
      <c r="H405" s="2"/>
      <c r="I405" s="2"/>
      <c r="J405" s="3"/>
      <c r="K405" s="2"/>
      <c r="L405" s="2"/>
      <c r="M405" s="187"/>
      <c r="N405"/>
      <c r="O405"/>
      <c r="P405"/>
      <c r="Q405"/>
      <c r="R405"/>
      <c r="S405"/>
      <c r="T405"/>
      <c r="U405"/>
      <c r="V405"/>
      <c r="W405"/>
      <c r="X405"/>
      <c r="Y405"/>
      <c r="Z405"/>
      <c r="AA405"/>
      <c r="AB405"/>
      <c r="AC405"/>
      <c r="AD405"/>
      <c r="AE405"/>
      <c r="AF405"/>
      <c r="AG405"/>
      <c r="AH405" s="2"/>
      <c r="AI405" s="2"/>
      <c r="AK405" s="2"/>
    </row>
    <row r="406" spans="2:37" s="1" customFormat="1" ht="15" hidden="1" customHeight="1">
      <c r="B406" s="2"/>
      <c r="C406" s="2"/>
      <c r="D406" s="2"/>
      <c r="E406" s="2"/>
      <c r="F406" s="2"/>
      <c r="G406" s="2"/>
      <c r="H406" s="2"/>
      <c r="I406" s="2"/>
      <c r="J406" s="3"/>
      <c r="K406" s="2"/>
      <c r="L406" s="2"/>
      <c r="M406" s="187"/>
      <c r="N406"/>
      <c r="O406"/>
      <c r="P406"/>
      <c r="Q406"/>
      <c r="R406"/>
      <c r="S406"/>
      <c r="T406"/>
      <c r="U406"/>
      <c r="V406"/>
      <c r="W406"/>
      <c r="X406"/>
      <c r="Y406"/>
      <c r="Z406"/>
      <c r="AA406"/>
      <c r="AB406"/>
      <c r="AC406"/>
      <c r="AD406"/>
      <c r="AE406"/>
      <c r="AF406"/>
      <c r="AG406"/>
      <c r="AH406" s="2"/>
      <c r="AI406" s="2"/>
      <c r="AK406" s="2"/>
    </row>
    <row r="407" spans="2:37" s="1" customFormat="1" ht="15" hidden="1" customHeight="1">
      <c r="B407" s="2"/>
      <c r="C407" s="2"/>
      <c r="D407" s="2"/>
      <c r="E407" s="2"/>
      <c r="F407" s="2"/>
      <c r="G407" s="2"/>
      <c r="H407" s="2"/>
      <c r="I407" s="2"/>
      <c r="J407" s="3"/>
      <c r="K407" s="2"/>
      <c r="L407" s="2"/>
      <c r="M407" s="187"/>
      <c r="N407"/>
      <c r="O407"/>
      <c r="P407"/>
      <c r="Q407"/>
      <c r="R407"/>
      <c r="S407"/>
      <c r="T407"/>
      <c r="U407"/>
      <c r="V407"/>
      <c r="W407"/>
      <c r="X407"/>
      <c r="Y407"/>
      <c r="Z407"/>
      <c r="AA407"/>
      <c r="AB407"/>
      <c r="AC407"/>
      <c r="AD407"/>
      <c r="AE407"/>
      <c r="AF407"/>
      <c r="AG407"/>
      <c r="AH407" s="2"/>
      <c r="AI407" s="2"/>
      <c r="AK407" s="2"/>
    </row>
    <row r="408" spans="2:37" s="1" customFormat="1" ht="15" hidden="1" customHeight="1">
      <c r="B408" s="2"/>
      <c r="C408" s="2"/>
      <c r="D408" s="2"/>
      <c r="E408" s="2"/>
      <c r="F408" s="2"/>
      <c r="G408" s="2"/>
      <c r="H408" s="2"/>
      <c r="I408" s="2"/>
      <c r="J408" s="3"/>
      <c r="K408" s="2"/>
      <c r="L408" s="2"/>
      <c r="M408" s="187"/>
      <c r="N408"/>
      <c r="O408"/>
      <c r="P408"/>
      <c r="Q408"/>
      <c r="R408"/>
      <c r="S408"/>
      <c r="T408"/>
      <c r="U408"/>
      <c r="V408"/>
      <c r="W408"/>
      <c r="X408"/>
      <c r="Y408"/>
      <c r="Z408"/>
      <c r="AA408"/>
      <c r="AB408"/>
      <c r="AC408"/>
      <c r="AD408"/>
      <c r="AE408"/>
      <c r="AF408"/>
      <c r="AG408"/>
      <c r="AH408" s="2"/>
      <c r="AI408" s="2"/>
      <c r="AK408" s="2"/>
    </row>
    <row r="409" spans="2:37" s="1" customFormat="1" ht="15" hidden="1" customHeight="1">
      <c r="B409" s="2"/>
      <c r="C409" s="2"/>
      <c r="D409" s="2"/>
      <c r="E409" s="2"/>
      <c r="F409" s="2"/>
      <c r="G409" s="2"/>
      <c r="H409" s="2"/>
      <c r="I409" s="2"/>
      <c r="J409" s="3"/>
      <c r="K409" s="2"/>
      <c r="L409" s="2"/>
      <c r="M409" s="187"/>
      <c r="N409"/>
      <c r="O409"/>
      <c r="P409"/>
      <c r="Q409"/>
      <c r="R409"/>
      <c r="S409"/>
      <c r="T409"/>
      <c r="U409"/>
      <c r="V409"/>
      <c r="W409"/>
      <c r="X409"/>
      <c r="Y409"/>
      <c r="Z409"/>
      <c r="AA409"/>
      <c r="AB409"/>
      <c r="AC409"/>
      <c r="AD409"/>
      <c r="AE409"/>
      <c r="AF409"/>
      <c r="AG409"/>
      <c r="AH409" s="2"/>
      <c r="AI409" s="2"/>
      <c r="AK409" s="2"/>
    </row>
    <row r="410" spans="2:37" s="1" customFormat="1" ht="15" hidden="1" customHeight="1">
      <c r="B410" s="2"/>
      <c r="C410" s="2"/>
      <c r="D410" s="2"/>
      <c r="E410" s="2"/>
      <c r="F410" s="2"/>
      <c r="G410" s="2"/>
      <c r="H410" s="2"/>
      <c r="I410" s="2"/>
      <c r="J410" s="3"/>
      <c r="K410" s="2"/>
      <c r="L410" s="2"/>
      <c r="M410" s="187"/>
      <c r="N410"/>
      <c r="O410"/>
      <c r="P410"/>
      <c r="Q410"/>
      <c r="R410"/>
      <c r="S410"/>
      <c r="T410"/>
      <c r="U410"/>
      <c r="V410"/>
      <c r="W410"/>
      <c r="X410"/>
      <c r="Y410"/>
      <c r="Z410"/>
      <c r="AA410"/>
      <c r="AB410"/>
      <c r="AC410"/>
      <c r="AD410"/>
      <c r="AE410"/>
      <c r="AF410"/>
      <c r="AG410"/>
      <c r="AH410" s="2"/>
      <c r="AI410" s="2"/>
      <c r="AK410" s="2"/>
    </row>
    <row r="411" spans="2:37" s="1" customFormat="1" ht="15" hidden="1" customHeight="1">
      <c r="B411" s="2"/>
      <c r="C411" s="2"/>
      <c r="D411" s="2"/>
      <c r="E411" s="2"/>
      <c r="F411" s="2"/>
      <c r="G411" s="2"/>
      <c r="H411" s="2"/>
      <c r="I411" s="2"/>
      <c r="J411" s="3"/>
      <c r="K411" s="2"/>
      <c r="L411" s="2"/>
      <c r="M411" s="187"/>
      <c r="N411"/>
      <c r="O411"/>
      <c r="P411"/>
      <c r="Q411"/>
      <c r="R411"/>
      <c r="S411"/>
      <c r="T411"/>
      <c r="U411"/>
      <c r="V411"/>
      <c r="W411"/>
      <c r="X411"/>
      <c r="Y411"/>
      <c r="Z411"/>
      <c r="AA411"/>
      <c r="AB411"/>
      <c r="AC411"/>
      <c r="AD411"/>
      <c r="AE411"/>
      <c r="AF411"/>
      <c r="AG411"/>
      <c r="AH411" s="2"/>
      <c r="AI411" s="2"/>
      <c r="AK411" s="2"/>
    </row>
    <row r="412" spans="2:37" s="1" customFormat="1" ht="15" hidden="1" customHeight="1">
      <c r="B412" s="2"/>
      <c r="C412" s="2"/>
      <c r="D412" s="2"/>
      <c r="E412" s="2"/>
      <c r="F412" s="2"/>
      <c r="G412" s="2"/>
      <c r="H412" s="2"/>
      <c r="I412" s="2"/>
      <c r="J412" s="3"/>
      <c r="K412" s="2"/>
      <c r="L412" s="2"/>
      <c r="M412" s="187"/>
      <c r="N412"/>
      <c r="O412"/>
      <c r="P412"/>
      <c r="Q412"/>
      <c r="R412"/>
      <c r="S412"/>
      <c r="T412"/>
      <c r="U412"/>
      <c r="V412"/>
      <c r="W412"/>
      <c r="X412"/>
      <c r="Y412"/>
      <c r="Z412"/>
      <c r="AA412"/>
      <c r="AB412"/>
      <c r="AC412"/>
      <c r="AD412"/>
      <c r="AE412"/>
      <c r="AF412"/>
      <c r="AG412"/>
      <c r="AH412" s="2"/>
      <c r="AI412" s="2"/>
      <c r="AK412" s="2"/>
    </row>
    <row r="413" spans="2:37" s="1" customFormat="1" ht="15" hidden="1" customHeight="1">
      <c r="B413" s="2"/>
      <c r="C413" s="2"/>
      <c r="D413" s="2"/>
      <c r="E413" s="2"/>
      <c r="F413" s="2"/>
      <c r="G413" s="2"/>
      <c r="H413" s="2"/>
      <c r="I413" s="2"/>
      <c r="J413" s="3"/>
      <c r="K413" s="2"/>
      <c r="L413" s="2"/>
      <c r="M413" s="187"/>
      <c r="N413"/>
      <c r="O413"/>
      <c r="P413"/>
      <c r="Q413"/>
      <c r="R413"/>
      <c r="S413"/>
      <c r="T413"/>
      <c r="U413"/>
      <c r="V413"/>
      <c r="W413"/>
      <c r="X413"/>
      <c r="Y413"/>
      <c r="Z413"/>
      <c r="AA413"/>
      <c r="AB413"/>
      <c r="AC413"/>
      <c r="AD413"/>
      <c r="AE413"/>
      <c r="AF413"/>
      <c r="AG413"/>
      <c r="AH413" s="2"/>
      <c r="AI413" s="2"/>
      <c r="AK413" s="2"/>
    </row>
    <row r="414" spans="2:37" s="1" customFormat="1" ht="15" hidden="1" customHeight="1">
      <c r="B414" s="2"/>
      <c r="C414" s="2"/>
      <c r="D414" s="2"/>
      <c r="E414" s="2"/>
      <c r="F414" s="2"/>
      <c r="G414" s="2"/>
      <c r="H414" s="2"/>
      <c r="I414" s="2"/>
      <c r="J414" s="3"/>
      <c r="K414" s="2"/>
      <c r="L414" s="2"/>
      <c r="M414" s="187"/>
      <c r="N414"/>
      <c r="O414"/>
      <c r="P414"/>
      <c r="Q414"/>
      <c r="R414"/>
      <c r="S414"/>
      <c r="T414"/>
      <c r="U414"/>
      <c r="V414"/>
      <c r="W414"/>
      <c r="X414"/>
      <c r="Y414"/>
      <c r="Z414"/>
      <c r="AA414"/>
      <c r="AB414"/>
      <c r="AC414"/>
      <c r="AD414"/>
      <c r="AE414"/>
      <c r="AF414"/>
      <c r="AG414"/>
      <c r="AH414" s="2"/>
      <c r="AI414" s="2"/>
      <c r="AK414" s="2"/>
    </row>
    <row r="415" spans="2:37" s="1" customFormat="1" ht="15" hidden="1" customHeight="1">
      <c r="B415" s="2"/>
      <c r="C415" s="2"/>
      <c r="D415" s="2"/>
      <c r="E415" s="2"/>
      <c r="F415" s="2"/>
      <c r="G415" s="2"/>
      <c r="H415" s="2"/>
      <c r="I415" s="2"/>
      <c r="J415" s="3"/>
      <c r="K415" s="2"/>
      <c r="L415" s="2"/>
      <c r="M415" s="187"/>
      <c r="N415"/>
      <c r="O415"/>
      <c r="P415"/>
      <c r="Q415"/>
      <c r="R415"/>
      <c r="S415"/>
      <c r="T415"/>
      <c r="U415"/>
      <c r="V415"/>
      <c r="W415"/>
      <c r="X415"/>
      <c r="Y415"/>
      <c r="Z415"/>
      <c r="AA415"/>
      <c r="AB415"/>
      <c r="AC415"/>
      <c r="AD415"/>
      <c r="AE415"/>
      <c r="AF415"/>
      <c r="AG415"/>
      <c r="AH415" s="2"/>
      <c r="AI415" s="2"/>
      <c r="AK415" s="2"/>
    </row>
    <row r="416" spans="2:37" s="1" customFormat="1" ht="15" hidden="1" customHeight="1">
      <c r="B416" s="2"/>
      <c r="C416" s="2"/>
      <c r="D416" s="2"/>
      <c r="E416" s="2"/>
      <c r="F416" s="2"/>
      <c r="G416" s="2"/>
      <c r="H416" s="2"/>
      <c r="I416" s="2"/>
      <c r="J416" s="3"/>
      <c r="K416" s="2"/>
      <c r="L416" s="2"/>
      <c r="M416" s="187"/>
      <c r="N416"/>
      <c r="O416"/>
      <c r="P416"/>
      <c r="Q416"/>
      <c r="R416"/>
      <c r="S416"/>
      <c r="T416"/>
      <c r="U416"/>
      <c r="V416"/>
      <c r="W416"/>
      <c r="X416"/>
      <c r="Y416"/>
      <c r="Z416"/>
      <c r="AA416"/>
      <c r="AB416"/>
      <c r="AC416"/>
      <c r="AD416"/>
      <c r="AE416"/>
      <c r="AF416"/>
      <c r="AG416"/>
      <c r="AH416" s="2"/>
      <c r="AI416" s="2"/>
      <c r="AK416" s="2"/>
    </row>
    <row r="417" spans="2:37" s="1" customFormat="1" ht="15" hidden="1" customHeight="1">
      <c r="B417" s="2"/>
      <c r="C417" s="2"/>
      <c r="D417" s="2"/>
      <c r="E417" s="2"/>
      <c r="F417" s="2"/>
      <c r="G417" s="2"/>
      <c r="H417" s="2"/>
      <c r="I417" s="2"/>
      <c r="J417" s="3"/>
      <c r="K417" s="2"/>
      <c r="L417" s="2"/>
      <c r="M417" s="187"/>
      <c r="N417"/>
      <c r="O417"/>
      <c r="P417"/>
      <c r="Q417"/>
      <c r="R417"/>
      <c r="S417"/>
      <c r="T417"/>
      <c r="U417"/>
      <c r="V417"/>
      <c r="W417"/>
      <c r="X417"/>
      <c r="Y417"/>
      <c r="Z417"/>
      <c r="AA417"/>
      <c r="AB417"/>
      <c r="AC417"/>
      <c r="AD417"/>
      <c r="AE417"/>
      <c r="AF417"/>
      <c r="AG417"/>
      <c r="AH417" s="2"/>
      <c r="AI417" s="2"/>
      <c r="AK417" s="2"/>
    </row>
    <row r="418" spans="2:37" s="1" customFormat="1" ht="15" hidden="1" customHeight="1">
      <c r="B418" s="2"/>
      <c r="C418" s="2"/>
      <c r="D418" s="2"/>
      <c r="E418" s="2"/>
      <c r="F418" s="2"/>
      <c r="G418" s="2"/>
      <c r="H418" s="2"/>
      <c r="I418" s="2"/>
      <c r="J418" s="3"/>
      <c r="K418" s="2"/>
      <c r="L418" s="2"/>
      <c r="M418" s="187"/>
      <c r="N418"/>
      <c r="O418"/>
      <c r="P418"/>
      <c r="Q418"/>
      <c r="R418"/>
      <c r="S418"/>
      <c r="T418"/>
      <c r="U418"/>
      <c r="V418"/>
      <c r="W418"/>
      <c r="X418"/>
      <c r="Y418"/>
      <c r="Z418"/>
      <c r="AA418"/>
      <c r="AB418"/>
      <c r="AC418"/>
      <c r="AD418"/>
      <c r="AE418"/>
      <c r="AF418"/>
      <c r="AG418"/>
      <c r="AH418" s="2"/>
      <c r="AI418" s="2"/>
      <c r="AK418" s="2"/>
    </row>
    <row r="419" spans="2:37" s="1" customFormat="1" ht="15" hidden="1" customHeight="1">
      <c r="B419" s="2"/>
      <c r="C419" s="2"/>
      <c r="D419" s="2"/>
      <c r="E419" s="2"/>
      <c r="F419" s="2"/>
      <c r="G419" s="2"/>
      <c r="H419" s="2"/>
      <c r="I419" s="2"/>
      <c r="J419" s="3"/>
      <c r="K419" s="2"/>
      <c r="L419" s="2"/>
      <c r="M419" s="187"/>
      <c r="N419"/>
      <c r="O419"/>
      <c r="P419"/>
      <c r="Q419"/>
      <c r="R419"/>
      <c r="S419"/>
      <c r="T419"/>
      <c r="U419"/>
      <c r="V419"/>
      <c r="W419"/>
      <c r="X419"/>
      <c r="Y419"/>
      <c r="Z419"/>
      <c r="AA419"/>
      <c r="AB419"/>
      <c r="AC419"/>
      <c r="AD419"/>
      <c r="AE419"/>
      <c r="AF419"/>
      <c r="AG419"/>
      <c r="AH419" s="2"/>
      <c r="AI419" s="2"/>
      <c r="AK419" s="2"/>
    </row>
    <row r="420" spans="2:37" s="1" customFormat="1" ht="15" hidden="1" customHeight="1">
      <c r="B420" s="2"/>
      <c r="C420" s="2"/>
      <c r="D420" s="2"/>
      <c r="E420" s="2"/>
      <c r="F420" s="2"/>
      <c r="G420" s="2"/>
      <c r="H420" s="2"/>
      <c r="I420" s="2"/>
      <c r="J420" s="3"/>
      <c r="K420" s="2"/>
      <c r="L420" s="2"/>
      <c r="M420" s="187"/>
      <c r="N420"/>
      <c r="O420"/>
      <c r="P420"/>
      <c r="Q420"/>
      <c r="R420"/>
      <c r="S420"/>
      <c r="T420"/>
      <c r="U420"/>
      <c r="V420"/>
      <c r="W420"/>
      <c r="X420"/>
      <c r="Y420"/>
      <c r="Z420"/>
      <c r="AA420"/>
      <c r="AB420"/>
      <c r="AC420"/>
      <c r="AD420"/>
      <c r="AE420"/>
      <c r="AF420"/>
      <c r="AG420"/>
      <c r="AH420" s="2"/>
      <c r="AI420" s="2"/>
      <c r="AK420" s="2"/>
    </row>
    <row r="421" spans="2:37" s="1" customFormat="1" ht="15" hidden="1" customHeight="1">
      <c r="B421" s="2"/>
      <c r="C421" s="2"/>
      <c r="D421" s="2"/>
      <c r="E421" s="2"/>
      <c r="F421" s="2"/>
      <c r="G421" s="2"/>
      <c r="H421" s="2"/>
      <c r="I421" s="2"/>
      <c r="J421" s="3"/>
      <c r="K421" s="2"/>
      <c r="L421" s="2"/>
      <c r="M421" s="187"/>
      <c r="N421"/>
      <c r="O421"/>
      <c r="P421"/>
      <c r="Q421"/>
      <c r="R421"/>
      <c r="S421"/>
      <c r="T421"/>
      <c r="U421"/>
      <c r="V421"/>
      <c r="W421"/>
      <c r="X421"/>
      <c r="Y421"/>
      <c r="Z421"/>
      <c r="AA421"/>
      <c r="AB421"/>
      <c r="AC421"/>
      <c r="AD421"/>
      <c r="AE421"/>
      <c r="AF421"/>
      <c r="AG421"/>
      <c r="AH421" s="2"/>
      <c r="AI421" s="2"/>
      <c r="AK421" s="2"/>
    </row>
    <row r="422" spans="2:37" s="1" customFormat="1" ht="15" hidden="1" customHeight="1">
      <c r="B422" s="2"/>
      <c r="C422" s="2"/>
      <c r="D422" s="2"/>
      <c r="E422" s="2"/>
      <c r="F422" s="2"/>
      <c r="G422" s="2"/>
      <c r="H422" s="2"/>
      <c r="I422" s="2"/>
      <c r="J422" s="3"/>
      <c r="K422" s="2"/>
      <c r="L422" s="2"/>
      <c r="M422" s="187"/>
      <c r="N422"/>
      <c r="O422"/>
      <c r="P422"/>
      <c r="Q422"/>
      <c r="R422"/>
      <c r="S422"/>
      <c r="T422"/>
      <c r="U422"/>
      <c r="V422"/>
      <c r="W422"/>
      <c r="X422"/>
      <c r="Y422"/>
      <c r="Z422"/>
      <c r="AA422"/>
      <c r="AB422"/>
      <c r="AC422"/>
      <c r="AD422"/>
      <c r="AE422"/>
      <c r="AF422"/>
      <c r="AG422"/>
      <c r="AH422" s="2"/>
      <c r="AI422" s="2"/>
      <c r="AK422" s="2"/>
    </row>
    <row r="423" spans="2:37" s="1" customFormat="1" ht="15" hidden="1" customHeight="1">
      <c r="B423" s="2"/>
      <c r="C423" s="2"/>
      <c r="D423" s="2"/>
      <c r="E423" s="2"/>
      <c r="F423" s="2"/>
      <c r="G423" s="2"/>
      <c r="H423" s="2"/>
      <c r="I423" s="2"/>
      <c r="J423" s="3"/>
      <c r="K423" s="2"/>
      <c r="L423" s="2"/>
      <c r="M423" s="187"/>
      <c r="N423"/>
      <c r="O423"/>
      <c r="P423"/>
      <c r="Q423"/>
      <c r="R423"/>
      <c r="S423"/>
      <c r="T423"/>
      <c r="U423"/>
      <c r="V423"/>
      <c r="W423"/>
      <c r="X423"/>
      <c r="Y423"/>
      <c r="Z423"/>
      <c r="AA423"/>
      <c r="AB423"/>
      <c r="AC423"/>
      <c r="AD423"/>
      <c r="AE423"/>
      <c r="AF423"/>
      <c r="AG423"/>
      <c r="AH423" s="2"/>
      <c r="AI423" s="2"/>
      <c r="AK423" s="2"/>
    </row>
    <row r="424" spans="2:37" s="1" customFormat="1" ht="15" hidden="1" customHeight="1">
      <c r="B424" s="2"/>
      <c r="C424" s="2"/>
      <c r="D424" s="2"/>
      <c r="E424" s="2"/>
      <c r="F424" s="2"/>
      <c r="G424" s="2"/>
      <c r="H424" s="2"/>
      <c r="I424" s="2"/>
      <c r="J424" s="3"/>
      <c r="K424" s="2"/>
      <c r="L424" s="2"/>
      <c r="M424" s="187"/>
      <c r="N424"/>
      <c r="O424"/>
      <c r="P424"/>
      <c r="Q424"/>
      <c r="R424"/>
      <c r="S424"/>
      <c r="T424"/>
      <c r="U424"/>
      <c r="V424"/>
      <c r="W424"/>
      <c r="X424"/>
      <c r="Y424"/>
      <c r="Z424"/>
      <c r="AA424"/>
      <c r="AB424"/>
      <c r="AC424"/>
      <c r="AD424"/>
      <c r="AE424"/>
      <c r="AF424"/>
      <c r="AG424"/>
      <c r="AH424" s="2"/>
      <c r="AI424" s="2"/>
      <c r="AK424" s="2"/>
    </row>
    <row r="425" spans="2:37" s="1" customFormat="1" ht="15" hidden="1" customHeight="1">
      <c r="B425" s="2"/>
      <c r="C425" s="2"/>
      <c r="D425" s="2"/>
      <c r="E425" s="2"/>
      <c r="F425" s="2"/>
      <c r="G425" s="2"/>
      <c r="H425" s="2"/>
      <c r="I425" s="2"/>
      <c r="J425" s="3"/>
      <c r="K425" s="2"/>
      <c r="L425" s="2"/>
      <c r="M425" s="187"/>
      <c r="N425"/>
      <c r="O425"/>
      <c r="P425"/>
      <c r="Q425"/>
      <c r="R425"/>
      <c r="S425"/>
      <c r="T425"/>
      <c r="U425"/>
      <c r="V425"/>
      <c r="W425"/>
      <c r="X425"/>
      <c r="Y425"/>
      <c r="Z425"/>
      <c r="AA425"/>
      <c r="AB425"/>
      <c r="AC425"/>
      <c r="AD425"/>
      <c r="AE425"/>
      <c r="AF425"/>
      <c r="AG425"/>
      <c r="AH425" s="2"/>
      <c r="AI425" s="2"/>
      <c r="AK425" s="2"/>
    </row>
    <row r="426" spans="2:37" s="1" customFormat="1" ht="15" hidden="1" customHeight="1">
      <c r="B426" s="2"/>
      <c r="C426" s="2"/>
      <c r="D426" s="2"/>
      <c r="E426" s="2"/>
      <c r="F426" s="2"/>
      <c r="G426" s="2"/>
      <c r="H426" s="2"/>
      <c r="I426" s="2"/>
      <c r="J426" s="3"/>
      <c r="K426" s="2"/>
      <c r="L426" s="2"/>
      <c r="M426" s="187"/>
      <c r="N426"/>
      <c r="O426"/>
      <c r="P426"/>
      <c r="Q426"/>
      <c r="R426"/>
      <c r="S426"/>
      <c r="T426"/>
      <c r="U426"/>
      <c r="V426"/>
      <c r="W426"/>
      <c r="X426"/>
      <c r="Y426"/>
      <c r="Z426"/>
      <c r="AA426"/>
      <c r="AB426"/>
      <c r="AC426"/>
      <c r="AD426"/>
      <c r="AE426"/>
      <c r="AF426"/>
      <c r="AG426"/>
      <c r="AH426" s="2"/>
      <c r="AI426" s="2"/>
      <c r="AK426" s="2"/>
    </row>
    <row r="427" spans="2:37" s="1" customFormat="1" ht="15" hidden="1" customHeight="1">
      <c r="B427" s="2"/>
      <c r="C427" s="2"/>
      <c r="D427" s="2"/>
      <c r="E427" s="2"/>
      <c r="F427" s="2"/>
      <c r="G427" s="2"/>
      <c r="H427" s="2"/>
      <c r="I427" s="2"/>
      <c r="J427" s="3"/>
      <c r="K427" s="2"/>
      <c r="L427" s="2"/>
      <c r="M427" s="187"/>
      <c r="N427"/>
      <c r="O427"/>
      <c r="P427"/>
      <c r="Q427"/>
      <c r="R427"/>
      <c r="S427"/>
      <c r="T427"/>
      <c r="U427"/>
      <c r="V427"/>
      <c r="W427"/>
      <c r="X427"/>
      <c r="Y427"/>
      <c r="Z427"/>
      <c r="AA427"/>
      <c r="AB427"/>
      <c r="AC427"/>
      <c r="AD427"/>
      <c r="AE427"/>
      <c r="AF427"/>
      <c r="AG427"/>
      <c r="AH427" s="2"/>
      <c r="AI427" s="2"/>
      <c r="AK427" s="2"/>
    </row>
    <row r="428" spans="2:37" s="1" customFormat="1" ht="15" hidden="1" customHeight="1">
      <c r="B428" s="2"/>
      <c r="C428" s="2"/>
      <c r="D428" s="2"/>
      <c r="E428" s="2"/>
      <c r="F428" s="2"/>
      <c r="G428" s="2"/>
      <c r="H428" s="2"/>
      <c r="I428" s="2"/>
      <c r="J428" s="3"/>
      <c r="K428" s="2"/>
      <c r="L428" s="2"/>
      <c r="M428" s="187"/>
      <c r="N428"/>
      <c r="O428"/>
      <c r="P428"/>
      <c r="Q428"/>
      <c r="R428"/>
      <c r="S428"/>
      <c r="T428"/>
      <c r="U428"/>
      <c r="V428"/>
      <c r="W428"/>
      <c r="X428"/>
      <c r="Y428"/>
      <c r="Z428"/>
      <c r="AA428"/>
      <c r="AB428"/>
      <c r="AC428"/>
      <c r="AD428"/>
      <c r="AE428"/>
      <c r="AF428"/>
      <c r="AG428"/>
      <c r="AH428" s="2"/>
      <c r="AI428" s="2"/>
      <c r="AK428" s="2"/>
    </row>
    <row r="429" spans="2:37" s="1" customFormat="1" ht="15" hidden="1" customHeight="1">
      <c r="B429" s="2"/>
      <c r="C429" s="2"/>
      <c r="D429" s="2"/>
      <c r="E429" s="2"/>
      <c r="F429" s="2"/>
      <c r="G429" s="2"/>
      <c r="H429" s="2"/>
      <c r="I429" s="2"/>
      <c r="J429" s="3"/>
      <c r="K429" s="2"/>
      <c r="L429" s="2"/>
      <c r="M429" s="187"/>
      <c r="N429"/>
      <c r="O429"/>
      <c r="P429"/>
      <c r="Q429"/>
      <c r="R429"/>
      <c r="S429"/>
      <c r="T429"/>
      <c r="U429"/>
      <c r="V429"/>
      <c r="W429"/>
      <c r="X429"/>
      <c r="Y429"/>
      <c r="Z429"/>
      <c r="AA429"/>
      <c r="AB429"/>
      <c r="AC429"/>
      <c r="AD429"/>
      <c r="AE429"/>
      <c r="AF429"/>
      <c r="AG429"/>
      <c r="AH429" s="2"/>
      <c r="AI429" s="2"/>
      <c r="AK429" s="2"/>
    </row>
    <row r="430" spans="2:37" s="1" customFormat="1" ht="15" hidden="1" customHeight="1">
      <c r="B430" s="2"/>
      <c r="C430" s="2"/>
      <c r="D430" s="2"/>
      <c r="E430" s="2"/>
      <c r="F430" s="2"/>
      <c r="G430" s="2"/>
      <c r="H430" s="2"/>
      <c r="I430" s="2"/>
      <c r="J430" s="3"/>
      <c r="K430" s="2"/>
      <c r="L430" s="2"/>
      <c r="M430" s="187"/>
      <c r="N430"/>
      <c r="O430"/>
      <c r="P430"/>
      <c r="Q430"/>
      <c r="R430"/>
      <c r="S430"/>
      <c r="T430"/>
      <c r="U430"/>
      <c r="V430"/>
      <c r="W430"/>
      <c r="X430"/>
      <c r="Y430"/>
      <c r="Z430"/>
      <c r="AA430"/>
      <c r="AB430"/>
      <c r="AC430"/>
      <c r="AD430"/>
      <c r="AE430"/>
      <c r="AF430"/>
      <c r="AG430"/>
      <c r="AH430" s="2"/>
      <c r="AI430" s="2"/>
      <c r="AK430" s="2"/>
    </row>
    <row r="431" spans="2:37" s="1" customFormat="1" ht="15" hidden="1" customHeight="1">
      <c r="B431" s="2"/>
      <c r="C431" s="2"/>
      <c r="D431" s="2"/>
      <c r="E431" s="2"/>
      <c r="F431" s="2"/>
      <c r="G431" s="2"/>
      <c r="H431" s="2"/>
      <c r="I431" s="2"/>
      <c r="J431" s="3"/>
      <c r="K431" s="2"/>
      <c r="L431" s="2"/>
      <c r="M431" s="187"/>
      <c r="N431"/>
      <c r="O431"/>
      <c r="P431"/>
      <c r="Q431"/>
      <c r="R431"/>
      <c r="S431"/>
      <c r="T431"/>
      <c r="U431"/>
      <c r="V431"/>
      <c r="W431"/>
      <c r="X431"/>
      <c r="Y431"/>
      <c r="Z431"/>
      <c r="AA431"/>
      <c r="AB431"/>
      <c r="AC431"/>
      <c r="AD431"/>
      <c r="AE431"/>
      <c r="AF431"/>
      <c r="AG431"/>
      <c r="AH431" s="2"/>
      <c r="AI431" s="2"/>
      <c r="AK431" s="2"/>
    </row>
    <row r="432" spans="2:37" s="1" customFormat="1" ht="15" hidden="1" customHeight="1">
      <c r="B432" s="2"/>
      <c r="C432" s="2"/>
      <c r="D432" s="2"/>
      <c r="E432" s="2"/>
      <c r="F432" s="2"/>
      <c r="G432" s="2"/>
      <c r="H432" s="2"/>
      <c r="I432" s="2"/>
      <c r="J432" s="3"/>
      <c r="K432" s="2"/>
      <c r="L432" s="2"/>
      <c r="M432" s="187"/>
      <c r="N432"/>
      <c r="O432"/>
      <c r="P432"/>
      <c r="Q432"/>
      <c r="R432"/>
      <c r="S432"/>
      <c r="T432"/>
      <c r="U432"/>
      <c r="V432"/>
      <c r="W432"/>
      <c r="X432"/>
      <c r="Y432"/>
      <c r="Z432"/>
      <c r="AA432"/>
      <c r="AB432"/>
      <c r="AC432"/>
      <c r="AD432"/>
      <c r="AE432"/>
      <c r="AF432"/>
      <c r="AG432"/>
      <c r="AH432" s="2"/>
      <c r="AI432" s="2"/>
      <c r="AK432" s="2"/>
    </row>
    <row r="433" spans="2:37" s="1" customFormat="1" ht="15" hidden="1" customHeight="1">
      <c r="B433" s="2"/>
      <c r="C433" s="2"/>
      <c r="D433" s="2"/>
      <c r="E433" s="2"/>
      <c r="F433" s="2"/>
      <c r="G433" s="2"/>
      <c r="H433" s="2"/>
      <c r="I433" s="2"/>
      <c r="J433" s="3"/>
      <c r="K433" s="2"/>
      <c r="L433" s="2"/>
      <c r="M433" s="187"/>
      <c r="N433"/>
      <c r="O433"/>
      <c r="P433"/>
      <c r="Q433"/>
      <c r="R433"/>
      <c r="S433"/>
      <c r="T433"/>
      <c r="U433"/>
      <c r="V433"/>
      <c r="W433"/>
      <c r="X433"/>
      <c r="Y433"/>
      <c r="Z433"/>
      <c r="AA433"/>
      <c r="AB433"/>
      <c r="AC433"/>
      <c r="AD433"/>
      <c r="AE433"/>
      <c r="AF433"/>
      <c r="AG433"/>
      <c r="AH433" s="2"/>
      <c r="AI433" s="2"/>
      <c r="AK433" s="2"/>
    </row>
    <row r="434" spans="2:37" s="1" customFormat="1" ht="15" hidden="1" customHeight="1">
      <c r="B434" s="2"/>
      <c r="C434" s="2"/>
      <c r="D434" s="2"/>
      <c r="E434" s="2"/>
      <c r="F434" s="2"/>
      <c r="G434" s="2"/>
      <c r="H434" s="2"/>
      <c r="I434" s="2"/>
      <c r="J434" s="3"/>
      <c r="K434" s="2"/>
      <c r="L434" s="2"/>
      <c r="M434" s="187"/>
      <c r="N434"/>
      <c r="O434"/>
      <c r="P434"/>
      <c r="Q434"/>
      <c r="R434"/>
      <c r="S434"/>
      <c r="T434"/>
      <c r="U434"/>
      <c r="V434"/>
      <c r="W434"/>
      <c r="X434"/>
      <c r="Y434"/>
      <c r="Z434"/>
      <c r="AA434"/>
      <c r="AB434"/>
      <c r="AC434"/>
      <c r="AD434"/>
      <c r="AE434"/>
      <c r="AF434"/>
      <c r="AG434"/>
      <c r="AH434" s="2"/>
      <c r="AI434" s="2"/>
      <c r="AK434" s="2"/>
    </row>
    <row r="435" spans="2:37" s="1" customFormat="1" ht="15" hidden="1" customHeight="1">
      <c r="B435" s="2"/>
      <c r="C435" s="2"/>
      <c r="D435" s="2"/>
      <c r="E435" s="2"/>
      <c r="F435" s="2"/>
      <c r="G435" s="2"/>
      <c r="H435" s="2"/>
      <c r="I435" s="2"/>
      <c r="J435" s="3"/>
      <c r="K435" s="2"/>
      <c r="L435" s="2"/>
      <c r="M435" s="187"/>
      <c r="N435"/>
      <c r="O435"/>
      <c r="P435"/>
      <c r="Q435"/>
      <c r="R435"/>
      <c r="S435"/>
      <c r="T435"/>
      <c r="U435"/>
      <c r="V435"/>
      <c r="W435"/>
      <c r="X435"/>
      <c r="Y435"/>
      <c r="Z435"/>
      <c r="AA435"/>
      <c r="AB435"/>
      <c r="AC435"/>
      <c r="AD435"/>
      <c r="AE435"/>
      <c r="AF435"/>
      <c r="AG435"/>
      <c r="AH435" s="2"/>
      <c r="AI435" s="2"/>
      <c r="AK435" s="2"/>
    </row>
    <row r="436" spans="2:37" s="1" customFormat="1" ht="15" hidden="1" customHeight="1">
      <c r="B436" s="2"/>
      <c r="C436" s="2"/>
      <c r="D436" s="2"/>
      <c r="E436" s="2"/>
      <c r="F436" s="2"/>
      <c r="G436" s="2"/>
      <c r="H436" s="2"/>
      <c r="I436" s="2"/>
      <c r="J436" s="3"/>
      <c r="K436" s="2"/>
      <c r="L436" s="2"/>
      <c r="M436" s="187"/>
      <c r="N436"/>
      <c r="O436"/>
      <c r="P436"/>
      <c r="Q436"/>
      <c r="R436"/>
      <c r="S436"/>
      <c r="T436"/>
      <c r="U436"/>
      <c r="V436"/>
      <c r="W436"/>
      <c r="X436"/>
      <c r="Y436"/>
      <c r="Z436"/>
      <c r="AA436"/>
      <c r="AB436"/>
      <c r="AC436"/>
      <c r="AD436"/>
      <c r="AE436"/>
      <c r="AF436"/>
      <c r="AG436"/>
      <c r="AH436" s="2"/>
      <c r="AI436" s="2"/>
      <c r="AK436" s="2"/>
    </row>
    <row r="437" spans="2:37" s="1" customFormat="1" ht="15" hidden="1" customHeight="1">
      <c r="B437" s="2"/>
      <c r="C437" s="2"/>
      <c r="D437" s="2"/>
      <c r="E437" s="2"/>
      <c r="F437" s="2"/>
      <c r="G437" s="2"/>
      <c r="H437" s="2"/>
      <c r="I437" s="2"/>
      <c r="J437" s="3"/>
      <c r="K437" s="2"/>
      <c r="L437" s="2"/>
      <c r="M437" s="187"/>
      <c r="N437"/>
      <c r="O437"/>
      <c r="P437"/>
      <c r="Q437"/>
      <c r="R437"/>
      <c r="S437"/>
      <c r="T437"/>
      <c r="U437"/>
      <c r="V437"/>
      <c r="W437"/>
      <c r="X437"/>
      <c r="Y437"/>
      <c r="Z437"/>
      <c r="AA437"/>
      <c r="AB437"/>
      <c r="AC437"/>
      <c r="AD437"/>
      <c r="AE437"/>
      <c r="AF437"/>
      <c r="AG437"/>
      <c r="AH437" s="2"/>
      <c r="AI437" s="2"/>
      <c r="AK437" s="2"/>
    </row>
    <row r="438" spans="2:37" s="1" customFormat="1" ht="15" hidden="1" customHeight="1">
      <c r="B438" s="2"/>
      <c r="C438" s="2"/>
      <c r="D438" s="2"/>
      <c r="E438" s="2"/>
      <c r="F438" s="2"/>
      <c r="G438" s="2"/>
      <c r="H438" s="2"/>
      <c r="I438" s="2"/>
      <c r="J438" s="3"/>
      <c r="K438" s="2"/>
      <c r="L438" s="2"/>
      <c r="M438" s="187"/>
      <c r="N438"/>
      <c r="O438"/>
      <c r="P438"/>
      <c r="Q438"/>
      <c r="R438"/>
      <c r="S438"/>
      <c r="T438"/>
      <c r="U438"/>
      <c r="V438"/>
      <c r="W438"/>
      <c r="X438"/>
      <c r="Y438"/>
      <c r="Z438"/>
      <c r="AA438"/>
      <c r="AB438"/>
      <c r="AC438"/>
      <c r="AD438"/>
      <c r="AE438"/>
      <c r="AF438"/>
      <c r="AG438"/>
      <c r="AH438" s="2"/>
      <c r="AI438" s="2"/>
      <c r="AK438" s="2"/>
    </row>
    <row r="439" spans="2:37" s="1" customFormat="1" ht="15" hidden="1" customHeight="1">
      <c r="B439" s="2"/>
      <c r="C439" s="2"/>
      <c r="D439" s="2"/>
      <c r="E439" s="2"/>
      <c r="F439" s="2"/>
      <c r="G439" s="2"/>
      <c r="H439" s="2"/>
      <c r="I439" s="2"/>
      <c r="J439" s="3"/>
      <c r="K439" s="2"/>
      <c r="L439" s="2"/>
      <c r="M439" s="187"/>
      <c r="N439"/>
      <c r="O439"/>
      <c r="P439"/>
      <c r="Q439"/>
      <c r="R439"/>
      <c r="S439"/>
      <c r="T439"/>
      <c r="U439"/>
      <c r="V439"/>
      <c r="W439"/>
      <c r="X439"/>
      <c r="Y439"/>
      <c r="Z439"/>
      <c r="AA439"/>
      <c r="AB439"/>
      <c r="AC439"/>
      <c r="AD439"/>
      <c r="AE439"/>
      <c r="AF439"/>
      <c r="AG439"/>
      <c r="AH439" s="2"/>
      <c r="AI439" s="2"/>
      <c r="AK439" s="2"/>
    </row>
    <row r="440" spans="2:37" s="1" customFormat="1" ht="15" hidden="1" customHeight="1">
      <c r="B440" s="2"/>
      <c r="C440" s="2"/>
      <c r="D440" s="2"/>
      <c r="E440" s="2"/>
      <c r="F440" s="2"/>
      <c r="G440" s="2"/>
      <c r="H440" s="2"/>
      <c r="I440" s="2"/>
      <c r="J440" s="3"/>
      <c r="K440" s="2"/>
      <c r="L440" s="2"/>
      <c r="M440" s="187"/>
      <c r="N440"/>
      <c r="O440"/>
      <c r="P440"/>
      <c r="Q440"/>
      <c r="R440"/>
      <c r="S440"/>
      <c r="T440"/>
      <c r="U440"/>
      <c r="V440"/>
      <c r="W440"/>
      <c r="X440"/>
      <c r="Y440"/>
      <c r="Z440"/>
      <c r="AA440"/>
      <c r="AB440"/>
      <c r="AC440"/>
      <c r="AD440"/>
      <c r="AE440"/>
      <c r="AF440"/>
      <c r="AG440"/>
      <c r="AH440" s="2"/>
      <c r="AI440" s="2"/>
      <c r="AK440" s="2"/>
    </row>
    <row r="441" spans="2:37" s="1" customFormat="1" ht="15" hidden="1" customHeight="1">
      <c r="B441" s="2"/>
      <c r="C441" s="2"/>
      <c r="D441" s="2"/>
      <c r="E441" s="2"/>
      <c r="F441" s="2"/>
      <c r="G441" s="2"/>
      <c r="H441" s="2"/>
      <c r="I441" s="2"/>
      <c r="J441" s="3"/>
      <c r="K441" s="2"/>
      <c r="L441" s="2"/>
      <c r="M441" s="187"/>
      <c r="N441"/>
      <c r="O441"/>
      <c r="P441"/>
      <c r="Q441"/>
      <c r="R441"/>
      <c r="S441"/>
      <c r="T441"/>
      <c r="U441"/>
      <c r="V441"/>
      <c r="W441"/>
      <c r="X441"/>
      <c r="Y441"/>
      <c r="Z441"/>
      <c r="AA441"/>
      <c r="AB441"/>
      <c r="AC441"/>
      <c r="AD441"/>
      <c r="AE441"/>
      <c r="AF441"/>
      <c r="AG441"/>
      <c r="AH441" s="2"/>
      <c r="AI441" s="2"/>
      <c r="AK441" s="2"/>
    </row>
    <row r="442" spans="2:37" s="1" customFormat="1" ht="15" hidden="1" customHeight="1">
      <c r="B442" s="2"/>
      <c r="C442" s="2"/>
      <c r="D442" s="2"/>
      <c r="E442" s="2"/>
      <c r="F442" s="2"/>
      <c r="G442" s="2"/>
      <c r="H442" s="2"/>
      <c r="I442" s="2"/>
      <c r="J442" s="3"/>
      <c r="K442" s="2"/>
      <c r="L442" s="2"/>
      <c r="M442" s="187"/>
      <c r="N442"/>
      <c r="O442"/>
      <c r="P442"/>
      <c r="Q442"/>
      <c r="R442"/>
      <c r="S442"/>
      <c r="T442"/>
      <c r="U442"/>
      <c r="V442"/>
      <c r="W442"/>
      <c r="X442"/>
      <c r="Y442"/>
      <c r="Z442"/>
      <c r="AA442"/>
      <c r="AB442"/>
      <c r="AC442"/>
      <c r="AD442"/>
      <c r="AE442"/>
      <c r="AF442"/>
      <c r="AG442"/>
      <c r="AH442" s="2"/>
      <c r="AI442" s="2"/>
      <c r="AK442" s="2"/>
    </row>
    <row r="443" spans="2:37" s="1" customFormat="1" ht="15" hidden="1" customHeight="1">
      <c r="B443" s="2"/>
      <c r="C443" s="2"/>
      <c r="D443" s="2"/>
      <c r="E443" s="2"/>
      <c r="F443" s="2"/>
      <c r="G443" s="2"/>
      <c r="H443" s="2"/>
      <c r="I443" s="2"/>
      <c r="J443" s="3"/>
      <c r="K443" s="2"/>
      <c r="L443" s="2"/>
      <c r="M443" s="187"/>
      <c r="N443"/>
      <c r="O443"/>
      <c r="P443"/>
      <c r="Q443"/>
      <c r="R443"/>
      <c r="S443"/>
      <c r="T443"/>
      <c r="U443"/>
      <c r="V443"/>
      <c r="W443"/>
      <c r="X443"/>
      <c r="Y443"/>
      <c r="Z443"/>
      <c r="AA443"/>
      <c r="AB443"/>
      <c r="AC443"/>
      <c r="AD443"/>
      <c r="AE443"/>
      <c r="AF443"/>
      <c r="AG443"/>
      <c r="AH443" s="2"/>
      <c r="AI443" s="2"/>
      <c r="AK443" s="2"/>
    </row>
    <row r="444" spans="2:37" s="1" customFormat="1" ht="15" hidden="1" customHeight="1">
      <c r="B444" s="2"/>
      <c r="C444" s="2"/>
      <c r="D444" s="2"/>
      <c r="E444" s="2"/>
      <c r="F444" s="2"/>
      <c r="G444" s="2"/>
      <c r="H444" s="2"/>
      <c r="I444" s="2"/>
      <c r="J444" s="3"/>
      <c r="K444" s="2"/>
      <c r="L444" s="2"/>
      <c r="M444" s="187"/>
      <c r="N444"/>
      <c r="O444"/>
      <c r="P444"/>
      <c r="Q444"/>
      <c r="R444"/>
      <c r="S444"/>
      <c r="T444"/>
      <c r="U444"/>
      <c r="V444"/>
      <c r="W444"/>
      <c r="X444"/>
      <c r="Y444"/>
      <c r="Z444"/>
      <c r="AA444"/>
      <c r="AB444"/>
      <c r="AC444"/>
      <c r="AD444"/>
      <c r="AE444"/>
      <c r="AF444"/>
      <c r="AG444"/>
      <c r="AH444" s="2"/>
      <c r="AI444" s="2"/>
      <c r="AK444" s="2"/>
    </row>
    <row r="445" spans="2:37" s="1" customFormat="1" ht="15" hidden="1" customHeight="1">
      <c r="B445" s="2"/>
      <c r="C445" s="2"/>
      <c r="D445" s="2"/>
      <c r="E445" s="2"/>
      <c r="F445" s="2"/>
      <c r="G445" s="2"/>
      <c r="H445" s="2"/>
      <c r="I445" s="2"/>
      <c r="J445" s="3"/>
      <c r="K445" s="2"/>
      <c r="L445" s="2"/>
      <c r="M445" s="187"/>
      <c r="N445"/>
      <c r="O445"/>
      <c r="P445"/>
      <c r="Q445"/>
      <c r="R445"/>
      <c r="S445"/>
      <c r="T445"/>
      <c r="U445"/>
      <c r="V445"/>
      <c r="W445"/>
      <c r="X445"/>
      <c r="Y445"/>
      <c r="Z445"/>
      <c r="AA445"/>
      <c r="AB445"/>
      <c r="AC445"/>
      <c r="AD445"/>
      <c r="AE445"/>
      <c r="AF445"/>
      <c r="AG445"/>
      <c r="AH445" s="2"/>
      <c r="AI445" s="2"/>
      <c r="AK445" s="2"/>
    </row>
    <row r="446" spans="2:37" s="1" customFormat="1" ht="15" hidden="1" customHeight="1">
      <c r="B446" s="2"/>
      <c r="C446" s="2"/>
      <c r="D446" s="2"/>
      <c r="E446" s="2"/>
      <c r="F446" s="2"/>
      <c r="G446" s="2"/>
      <c r="H446" s="2"/>
      <c r="I446" s="2"/>
      <c r="J446" s="3"/>
      <c r="K446" s="2"/>
      <c r="L446" s="2"/>
      <c r="M446" s="187"/>
      <c r="N446"/>
      <c r="O446"/>
      <c r="P446"/>
      <c r="Q446"/>
      <c r="R446"/>
      <c r="S446"/>
      <c r="T446"/>
      <c r="U446"/>
      <c r="V446"/>
      <c r="W446"/>
      <c r="X446"/>
      <c r="Y446"/>
      <c r="Z446"/>
      <c r="AA446"/>
      <c r="AB446"/>
      <c r="AC446"/>
      <c r="AD446"/>
      <c r="AE446"/>
      <c r="AF446"/>
      <c r="AG446"/>
      <c r="AH446" s="2"/>
      <c r="AI446" s="2"/>
      <c r="AK446" s="2"/>
    </row>
    <row r="447" spans="2:37" s="1" customFormat="1" ht="15" hidden="1" customHeight="1">
      <c r="B447" s="2"/>
      <c r="C447" s="2"/>
      <c r="D447" s="2"/>
      <c r="E447" s="2"/>
      <c r="F447" s="2"/>
      <c r="G447" s="2"/>
      <c r="H447" s="2"/>
      <c r="I447" s="2"/>
      <c r="J447" s="3"/>
      <c r="K447" s="2"/>
      <c r="L447" s="2"/>
      <c r="M447" s="187"/>
      <c r="N447"/>
      <c r="O447"/>
      <c r="P447"/>
      <c r="Q447"/>
      <c r="R447"/>
      <c r="S447"/>
      <c r="T447"/>
      <c r="U447"/>
      <c r="V447"/>
      <c r="W447"/>
      <c r="X447"/>
      <c r="Y447"/>
      <c r="Z447"/>
      <c r="AA447"/>
      <c r="AB447"/>
      <c r="AC447"/>
      <c r="AD447"/>
      <c r="AE447"/>
      <c r="AF447"/>
      <c r="AG447"/>
      <c r="AH447" s="2"/>
      <c r="AI447" s="2"/>
      <c r="AK447" s="2"/>
    </row>
    <row r="448" spans="2:37" s="1" customFormat="1" ht="15" hidden="1" customHeight="1">
      <c r="B448" s="2"/>
      <c r="C448" s="2"/>
      <c r="D448" s="2"/>
      <c r="E448" s="2"/>
      <c r="F448" s="2"/>
      <c r="G448" s="2"/>
      <c r="H448" s="2"/>
      <c r="I448" s="2"/>
      <c r="J448" s="3"/>
      <c r="K448" s="2"/>
      <c r="L448" s="2"/>
      <c r="M448" s="187"/>
      <c r="N448"/>
      <c r="O448"/>
      <c r="P448"/>
      <c r="Q448"/>
      <c r="R448"/>
      <c r="S448"/>
      <c r="T448"/>
      <c r="U448"/>
      <c r="V448"/>
      <c r="W448"/>
      <c r="X448"/>
      <c r="Y448"/>
      <c r="Z448"/>
      <c r="AA448"/>
      <c r="AB448"/>
      <c r="AC448"/>
      <c r="AD448"/>
      <c r="AE448"/>
      <c r="AF448"/>
      <c r="AG448"/>
      <c r="AH448" s="2"/>
      <c r="AI448" s="2"/>
      <c r="AK448" s="2"/>
    </row>
    <row r="449" spans="2:37" s="1" customFormat="1" ht="15" hidden="1" customHeight="1">
      <c r="B449" s="2"/>
      <c r="C449" s="2"/>
      <c r="D449" s="2"/>
      <c r="E449" s="2"/>
      <c r="F449" s="2"/>
      <c r="G449" s="2"/>
      <c r="H449" s="2"/>
      <c r="I449" s="2"/>
      <c r="J449" s="3"/>
      <c r="K449" s="2"/>
      <c r="L449" s="2"/>
      <c r="M449" s="187"/>
      <c r="N449"/>
      <c r="O449"/>
      <c r="P449"/>
      <c r="Q449"/>
      <c r="R449"/>
      <c r="S449"/>
      <c r="T449"/>
      <c r="U449"/>
      <c r="V449"/>
      <c r="W449"/>
      <c r="X449"/>
      <c r="Y449"/>
      <c r="Z449"/>
      <c r="AA449"/>
      <c r="AB449"/>
      <c r="AC449"/>
      <c r="AD449"/>
      <c r="AE449"/>
      <c r="AF449"/>
      <c r="AG449"/>
      <c r="AH449" s="2"/>
      <c r="AI449" s="2"/>
      <c r="AK449" s="2"/>
    </row>
    <row r="450" spans="2:37" s="1" customFormat="1" ht="15" hidden="1" customHeight="1">
      <c r="B450" s="2"/>
      <c r="C450" s="2"/>
      <c r="D450" s="2"/>
      <c r="E450" s="2"/>
      <c r="F450" s="2"/>
      <c r="G450" s="2"/>
      <c r="H450" s="2"/>
      <c r="I450" s="2"/>
      <c r="J450" s="3"/>
      <c r="K450" s="2"/>
      <c r="L450" s="2"/>
      <c r="M450" s="187"/>
      <c r="N450"/>
      <c r="O450"/>
      <c r="P450"/>
      <c r="Q450"/>
      <c r="R450"/>
      <c r="S450"/>
      <c r="T450"/>
      <c r="U450"/>
      <c r="V450"/>
      <c r="W450"/>
      <c r="X450"/>
      <c r="Y450"/>
      <c r="Z450"/>
      <c r="AA450"/>
      <c r="AB450"/>
      <c r="AC450"/>
      <c r="AD450"/>
      <c r="AE450"/>
      <c r="AF450"/>
      <c r="AG450"/>
      <c r="AH450" s="2"/>
      <c r="AI450" s="2"/>
      <c r="AK450" s="2"/>
    </row>
    <row r="451" spans="2:37" s="1" customFormat="1" ht="15" hidden="1" customHeight="1">
      <c r="B451" s="2"/>
      <c r="C451" s="2"/>
      <c r="D451" s="2"/>
      <c r="E451" s="2"/>
      <c r="F451" s="2"/>
      <c r="G451" s="2"/>
      <c r="H451" s="2"/>
      <c r="I451" s="2"/>
      <c r="J451" s="3"/>
      <c r="K451" s="2"/>
      <c r="L451" s="2"/>
      <c r="M451" s="187"/>
      <c r="N451"/>
      <c r="O451"/>
      <c r="P451"/>
      <c r="Q451"/>
      <c r="R451"/>
      <c r="S451"/>
      <c r="T451"/>
      <c r="U451"/>
      <c r="V451"/>
      <c r="W451"/>
      <c r="X451"/>
      <c r="Y451"/>
      <c r="Z451"/>
      <c r="AA451"/>
      <c r="AB451"/>
      <c r="AC451"/>
      <c r="AD451"/>
      <c r="AE451"/>
      <c r="AF451"/>
      <c r="AG451"/>
      <c r="AH451" s="2"/>
      <c r="AI451" s="2"/>
      <c r="AK451" s="2"/>
    </row>
    <row r="452" spans="2:37" s="1" customFormat="1" ht="15" hidden="1" customHeight="1">
      <c r="B452" s="2"/>
      <c r="C452" s="2"/>
      <c r="D452" s="2"/>
      <c r="E452" s="2"/>
      <c r="F452" s="2"/>
      <c r="G452" s="2"/>
      <c r="H452" s="2"/>
      <c r="I452" s="2"/>
      <c r="J452" s="3"/>
      <c r="K452" s="2"/>
      <c r="L452" s="2"/>
      <c r="M452" s="187"/>
      <c r="N452"/>
      <c r="O452"/>
      <c r="P452"/>
      <c r="Q452"/>
      <c r="R452"/>
      <c r="S452"/>
      <c r="T452"/>
      <c r="U452"/>
      <c r="V452"/>
      <c r="W452"/>
      <c r="X452"/>
      <c r="Y452"/>
      <c r="Z452"/>
      <c r="AA452"/>
      <c r="AB452"/>
      <c r="AC452"/>
      <c r="AD452"/>
      <c r="AE452"/>
      <c r="AF452"/>
      <c r="AG452"/>
      <c r="AH452" s="2"/>
      <c r="AI452" s="2"/>
      <c r="AK452" s="2"/>
    </row>
    <row r="453" spans="2:37" s="1" customFormat="1" ht="15" hidden="1" customHeight="1">
      <c r="B453" s="2"/>
      <c r="C453" s="2"/>
      <c r="D453" s="2"/>
      <c r="E453" s="2"/>
      <c r="F453" s="2"/>
      <c r="G453" s="2"/>
      <c r="H453" s="2"/>
      <c r="I453" s="2"/>
      <c r="J453" s="3"/>
      <c r="K453" s="2"/>
      <c r="L453" s="2"/>
      <c r="M453" s="187"/>
      <c r="N453"/>
      <c r="O453"/>
      <c r="P453"/>
      <c r="Q453"/>
      <c r="R453"/>
      <c r="S453"/>
      <c r="T453"/>
      <c r="U453"/>
      <c r="V453"/>
      <c r="W453"/>
      <c r="X453"/>
      <c r="Y453"/>
      <c r="Z453"/>
      <c r="AA453"/>
      <c r="AB453"/>
      <c r="AC453"/>
      <c r="AD453"/>
      <c r="AE453"/>
      <c r="AF453"/>
      <c r="AG453"/>
      <c r="AH453" s="2"/>
      <c r="AI453" s="2"/>
      <c r="AK453" s="2"/>
    </row>
    <row r="454" spans="2:37" s="1" customFormat="1" ht="15" hidden="1" customHeight="1">
      <c r="B454" s="2"/>
      <c r="C454" s="2"/>
      <c r="D454" s="2"/>
      <c r="E454" s="2"/>
      <c r="F454" s="2"/>
      <c r="G454" s="2"/>
      <c r="H454" s="2"/>
      <c r="I454" s="2"/>
      <c r="J454" s="3"/>
      <c r="K454" s="2"/>
      <c r="L454" s="2"/>
      <c r="M454" s="187"/>
      <c r="N454"/>
      <c r="O454"/>
      <c r="P454"/>
      <c r="Q454"/>
      <c r="R454"/>
      <c r="S454"/>
      <c r="T454"/>
      <c r="U454"/>
      <c r="V454"/>
      <c r="W454"/>
      <c r="X454"/>
      <c r="Y454"/>
      <c r="Z454"/>
      <c r="AA454"/>
      <c r="AB454"/>
      <c r="AC454"/>
      <c r="AD454"/>
      <c r="AE454"/>
      <c r="AF454"/>
      <c r="AG454"/>
      <c r="AH454" s="2"/>
      <c r="AI454" s="2"/>
      <c r="AK454" s="2"/>
    </row>
    <row r="455" spans="2:37" s="1" customFormat="1" ht="15" hidden="1" customHeight="1">
      <c r="B455" s="2"/>
      <c r="C455" s="2"/>
      <c r="D455" s="2"/>
      <c r="E455" s="2"/>
      <c r="F455" s="2"/>
      <c r="G455" s="2"/>
      <c r="H455" s="2"/>
      <c r="I455" s="2"/>
      <c r="J455" s="3"/>
      <c r="K455" s="2"/>
      <c r="L455" s="2"/>
      <c r="M455" s="187"/>
      <c r="N455"/>
      <c r="O455"/>
      <c r="P455"/>
      <c r="Q455"/>
      <c r="R455"/>
      <c r="S455"/>
      <c r="T455"/>
      <c r="U455"/>
      <c r="V455"/>
      <c r="W455"/>
      <c r="X455"/>
      <c r="Y455"/>
      <c r="Z455"/>
      <c r="AA455"/>
      <c r="AB455"/>
      <c r="AC455"/>
      <c r="AD455"/>
      <c r="AE455"/>
      <c r="AF455"/>
      <c r="AG455"/>
      <c r="AH455" s="2"/>
      <c r="AI455" s="2"/>
      <c r="AK455" s="2"/>
    </row>
    <row r="456" spans="2:37" s="1" customFormat="1" ht="15" hidden="1" customHeight="1">
      <c r="B456" s="2"/>
      <c r="C456" s="2"/>
      <c r="D456" s="2"/>
      <c r="E456" s="2"/>
      <c r="F456" s="2"/>
      <c r="G456" s="2"/>
      <c r="H456" s="2"/>
      <c r="I456" s="2"/>
      <c r="J456" s="3"/>
      <c r="K456" s="2"/>
      <c r="L456" s="2"/>
      <c r="M456" s="187"/>
      <c r="N456"/>
      <c r="O456"/>
      <c r="P456"/>
      <c r="Q456"/>
      <c r="R456"/>
      <c r="S456"/>
      <c r="T456"/>
      <c r="U456"/>
      <c r="V456"/>
      <c r="W456"/>
      <c r="X456"/>
      <c r="Y456"/>
      <c r="Z456"/>
      <c r="AA456"/>
      <c r="AB456"/>
      <c r="AC456"/>
      <c r="AD456"/>
      <c r="AE456"/>
      <c r="AF456"/>
      <c r="AG456"/>
      <c r="AH456" s="2"/>
      <c r="AI456" s="2"/>
      <c r="AK456" s="2"/>
    </row>
    <row r="457" spans="2:37" s="1" customFormat="1" ht="15" hidden="1" customHeight="1">
      <c r="B457" s="2"/>
      <c r="C457" s="2"/>
      <c r="D457" s="2"/>
      <c r="E457" s="2"/>
      <c r="F457" s="2"/>
      <c r="G457" s="2"/>
      <c r="H457" s="2"/>
      <c r="I457" s="2"/>
      <c r="J457" s="3"/>
      <c r="K457" s="2"/>
      <c r="L457" s="2"/>
      <c r="M457" s="187"/>
      <c r="N457"/>
      <c r="O457"/>
      <c r="P457"/>
      <c r="Q457"/>
      <c r="R457"/>
      <c r="S457"/>
      <c r="T457"/>
      <c r="U457"/>
      <c r="V457"/>
      <c r="W457"/>
      <c r="X457"/>
      <c r="Y457"/>
      <c r="Z457"/>
      <c r="AA457"/>
      <c r="AB457"/>
      <c r="AC457"/>
      <c r="AD457"/>
      <c r="AE457"/>
      <c r="AF457"/>
      <c r="AG457"/>
      <c r="AH457" s="2"/>
      <c r="AI457" s="2"/>
      <c r="AK457" s="2"/>
    </row>
    <row r="458" spans="2:37" s="1" customFormat="1" ht="15" hidden="1" customHeight="1">
      <c r="B458" s="2"/>
      <c r="C458" s="2"/>
      <c r="D458" s="2"/>
      <c r="E458" s="2"/>
      <c r="F458" s="2"/>
      <c r="G458" s="2"/>
      <c r="H458" s="2"/>
      <c r="I458" s="2"/>
      <c r="J458" s="3"/>
      <c r="K458" s="2"/>
      <c r="L458" s="2"/>
      <c r="M458" s="187"/>
      <c r="N458"/>
      <c r="O458"/>
      <c r="P458"/>
      <c r="Q458"/>
      <c r="R458"/>
      <c r="S458"/>
      <c r="T458"/>
      <c r="U458"/>
      <c r="V458"/>
      <c r="W458"/>
      <c r="X458"/>
      <c r="Y458"/>
      <c r="Z458"/>
      <c r="AA458"/>
      <c r="AB458"/>
      <c r="AC458"/>
      <c r="AD458"/>
      <c r="AE458"/>
      <c r="AF458"/>
      <c r="AG458"/>
      <c r="AH458" s="2"/>
      <c r="AI458" s="2"/>
      <c r="AK458" s="2"/>
    </row>
    <row r="459" spans="2:37" s="1" customFormat="1" ht="15" hidden="1" customHeight="1">
      <c r="B459" s="2"/>
      <c r="C459" s="2"/>
      <c r="D459" s="2"/>
      <c r="E459" s="2"/>
      <c r="F459" s="2"/>
      <c r="G459" s="2"/>
      <c r="H459" s="2"/>
      <c r="I459" s="2"/>
      <c r="J459" s="3"/>
      <c r="K459" s="2"/>
      <c r="L459" s="2"/>
      <c r="M459" s="187"/>
      <c r="N459"/>
      <c r="O459"/>
      <c r="P459"/>
      <c r="Q459"/>
      <c r="R459"/>
      <c r="S459"/>
      <c r="T459"/>
      <c r="U459"/>
      <c r="V459"/>
      <c r="W459"/>
      <c r="X459"/>
      <c r="Y459"/>
      <c r="Z459"/>
      <c r="AA459"/>
      <c r="AB459"/>
      <c r="AC459"/>
      <c r="AD459"/>
      <c r="AE459"/>
      <c r="AF459"/>
      <c r="AG459"/>
      <c r="AH459" s="2"/>
      <c r="AI459" s="2"/>
      <c r="AK459" s="2"/>
    </row>
    <row r="460" spans="2:37" s="1" customFormat="1" ht="15" hidden="1" customHeight="1">
      <c r="B460" s="2"/>
      <c r="C460" s="2"/>
      <c r="D460" s="2"/>
      <c r="E460" s="2"/>
      <c r="F460" s="2"/>
      <c r="G460" s="2"/>
      <c r="H460" s="2"/>
      <c r="I460" s="2"/>
      <c r="J460" s="3"/>
      <c r="K460" s="2"/>
      <c r="L460" s="2"/>
      <c r="M460" s="187"/>
      <c r="N460"/>
      <c r="O460"/>
      <c r="P460"/>
      <c r="Q460"/>
      <c r="R460"/>
      <c r="S460"/>
      <c r="T460"/>
      <c r="U460"/>
      <c r="V460"/>
      <c r="W460"/>
      <c r="X460"/>
      <c r="Y460"/>
      <c r="Z460"/>
      <c r="AA460"/>
      <c r="AB460"/>
      <c r="AC460"/>
      <c r="AD460"/>
      <c r="AE460"/>
      <c r="AF460"/>
      <c r="AG460"/>
      <c r="AH460" s="2"/>
      <c r="AI460" s="2"/>
      <c r="AK460" s="2"/>
    </row>
    <row r="461" spans="2:37" s="1" customFormat="1" ht="15" hidden="1" customHeight="1">
      <c r="B461" s="2"/>
      <c r="C461" s="2"/>
      <c r="D461" s="2"/>
      <c r="E461" s="2"/>
      <c r="F461" s="2"/>
      <c r="G461" s="2"/>
      <c r="H461" s="2"/>
      <c r="I461" s="2"/>
      <c r="J461" s="3"/>
      <c r="K461" s="2"/>
      <c r="L461" s="2"/>
      <c r="M461" s="187"/>
      <c r="N461"/>
      <c r="O461"/>
      <c r="P461"/>
      <c r="Q461"/>
      <c r="R461"/>
      <c r="S461"/>
      <c r="T461"/>
      <c r="U461"/>
      <c r="V461"/>
      <c r="W461"/>
      <c r="X461"/>
      <c r="Y461"/>
      <c r="Z461"/>
      <c r="AA461"/>
      <c r="AB461"/>
      <c r="AC461"/>
      <c r="AD461"/>
      <c r="AE461"/>
      <c r="AF461"/>
      <c r="AG461"/>
      <c r="AH461" s="2"/>
      <c r="AI461" s="2"/>
      <c r="AK461" s="2"/>
    </row>
    <row r="462" spans="2:37" s="1" customFormat="1" ht="15" hidden="1" customHeight="1">
      <c r="B462" s="2"/>
      <c r="C462" s="2"/>
      <c r="D462" s="2"/>
      <c r="E462" s="2"/>
      <c r="F462" s="2"/>
      <c r="G462" s="2"/>
      <c r="H462" s="2"/>
      <c r="I462" s="2"/>
      <c r="J462" s="3"/>
      <c r="K462" s="2"/>
      <c r="L462" s="2"/>
      <c r="M462" s="187"/>
      <c r="N462"/>
      <c r="O462"/>
      <c r="P462"/>
      <c r="Q462"/>
      <c r="R462"/>
      <c r="S462"/>
      <c r="T462"/>
      <c r="U462"/>
      <c r="V462"/>
      <c r="W462"/>
      <c r="X462"/>
      <c r="Y462"/>
      <c r="Z462"/>
      <c r="AA462"/>
      <c r="AB462"/>
      <c r="AC462"/>
      <c r="AD462"/>
      <c r="AE462"/>
      <c r="AF462"/>
      <c r="AG462"/>
      <c r="AH462" s="2"/>
      <c r="AI462" s="2"/>
      <c r="AK462" s="2"/>
    </row>
    <row r="463" spans="2:37" s="1" customFormat="1" ht="15" hidden="1" customHeight="1">
      <c r="B463" s="2"/>
      <c r="C463" s="2"/>
      <c r="D463" s="2"/>
      <c r="E463" s="2"/>
      <c r="F463" s="2"/>
      <c r="G463" s="2"/>
      <c r="H463" s="2"/>
      <c r="I463" s="2"/>
      <c r="J463" s="3"/>
      <c r="K463" s="2"/>
      <c r="L463" s="2"/>
      <c r="M463" s="187"/>
      <c r="N463"/>
      <c r="O463"/>
      <c r="P463"/>
      <c r="Q463"/>
      <c r="R463"/>
      <c r="S463"/>
      <c r="T463"/>
      <c r="U463"/>
      <c r="V463"/>
      <c r="W463"/>
      <c r="X463"/>
      <c r="Y463"/>
      <c r="Z463"/>
      <c r="AA463"/>
      <c r="AB463"/>
      <c r="AC463"/>
      <c r="AD463"/>
      <c r="AE463"/>
      <c r="AF463"/>
      <c r="AG463"/>
      <c r="AH463" s="2"/>
      <c r="AI463" s="2"/>
      <c r="AK463" s="2"/>
    </row>
    <row r="464" spans="2:37" s="1" customFormat="1" ht="15" hidden="1" customHeight="1">
      <c r="B464" s="2"/>
      <c r="C464" s="2"/>
      <c r="D464" s="2"/>
      <c r="E464" s="2"/>
      <c r="F464" s="2"/>
      <c r="G464" s="2"/>
      <c r="H464" s="2"/>
      <c r="I464" s="2"/>
      <c r="J464" s="3"/>
      <c r="K464" s="2"/>
      <c r="L464" s="2"/>
      <c r="M464" s="187"/>
      <c r="N464"/>
      <c r="O464"/>
      <c r="P464"/>
      <c r="Q464"/>
      <c r="R464"/>
      <c r="S464"/>
      <c r="T464"/>
      <c r="U464"/>
      <c r="V464"/>
      <c r="W464"/>
      <c r="X464"/>
      <c r="Y464"/>
      <c r="Z464"/>
      <c r="AA464"/>
      <c r="AB464"/>
      <c r="AC464"/>
      <c r="AD464"/>
      <c r="AE464"/>
      <c r="AF464"/>
      <c r="AG464"/>
      <c r="AH464" s="2"/>
      <c r="AI464" s="2"/>
      <c r="AK464" s="2"/>
    </row>
    <row r="465" spans="2:37" s="1" customFormat="1" ht="15" hidden="1" customHeight="1">
      <c r="B465" s="2"/>
      <c r="C465" s="2"/>
      <c r="D465" s="2"/>
      <c r="E465" s="2"/>
      <c r="F465" s="2"/>
      <c r="G465" s="2"/>
      <c r="H465" s="2"/>
      <c r="I465" s="2"/>
      <c r="J465" s="3"/>
      <c r="K465" s="2"/>
      <c r="L465" s="2"/>
      <c r="M465" s="187"/>
      <c r="N465"/>
      <c r="O465"/>
      <c r="P465"/>
      <c r="Q465"/>
      <c r="R465"/>
      <c r="S465"/>
      <c r="T465"/>
      <c r="U465"/>
      <c r="V465"/>
      <c r="W465"/>
      <c r="X465"/>
      <c r="Y465"/>
      <c r="Z465"/>
      <c r="AA465"/>
      <c r="AB465"/>
      <c r="AC465"/>
      <c r="AD465"/>
      <c r="AE465"/>
      <c r="AF465"/>
      <c r="AG465"/>
      <c r="AH465" s="2"/>
      <c r="AI465" s="2"/>
      <c r="AK465" s="2"/>
    </row>
    <row r="466" spans="2:37" s="1" customFormat="1" ht="15" hidden="1" customHeight="1">
      <c r="B466" s="2"/>
      <c r="C466" s="2"/>
      <c r="D466" s="2"/>
      <c r="E466" s="2"/>
      <c r="F466" s="2"/>
      <c r="G466" s="2"/>
      <c r="H466" s="2"/>
      <c r="I466" s="2"/>
      <c r="J466" s="3"/>
      <c r="K466" s="2"/>
      <c r="L466" s="2"/>
      <c r="M466" s="187"/>
      <c r="N466"/>
      <c r="O466"/>
      <c r="P466"/>
      <c r="Q466"/>
      <c r="R466"/>
      <c r="S466"/>
      <c r="T466"/>
      <c r="U466"/>
      <c r="V466"/>
      <c r="W466"/>
      <c r="X466"/>
      <c r="Y466"/>
      <c r="Z466"/>
      <c r="AA466"/>
      <c r="AB466"/>
      <c r="AC466"/>
      <c r="AD466"/>
      <c r="AE466"/>
      <c r="AF466"/>
      <c r="AG466"/>
      <c r="AH466" s="2"/>
      <c r="AI466" s="2"/>
      <c r="AK466" s="2"/>
    </row>
    <row r="467" spans="2:37" s="1" customFormat="1" ht="15" hidden="1" customHeight="1">
      <c r="B467" s="2"/>
      <c r="C467" s="2"/>
      <c r="D467" s="2"/>
      <c r="E467" s="2"/>
      <c r="F467" s="2"/>
      <c r="G467" s="2"/>
      <c r="H467" s="2"/>
      <c r="I467" s="2"/>
      <c r="J467" s="3"/>
      <c r="K467" s="2"/>
      <c r="L467" s="2"/>
      <c r="M467" s="187"/>
      <c r="N467"/>
      <c r="O467"/>
      <c r="P467"/>
      <c r="Q467"/>
      <c r="R467"/>
      <c r="S467"/>
      <c r="T467"/>
      <c r="U467"/>
      <c r="V467"/>
      <c r="W467"/>
      <c r="X467"/>
      <c r="Y467"/>
      <c r="Z467"/>
      <c r="AA467"/>
      <c r="AB467"/>
      <c r="AC467"/>
      <c r="AD467"/>
      <c r="AE467"/>
      <c r="AF467"/>
      <c r="AG467"/>
      <c r="AH467" s="2"/>
      <c r="AI467" s="2"/>
      <c r="AK467" s="2"/>
    </row>
    <row r="468" spans="2:37" s="1" customFormat="1" ht="15" hidden="1" customHeight="1">
      <c r="B468" s="2"/>
      <c r="C468" s="2"/>
      <c r="D468" s="2"/>
      <c r="E468" s="2"/>
      <c r="F468" s="2"/>
      <c r="G468" s="2"/>
      <c r="H468" s="2"/>
      <c r="I468" s="2"/>
      <c r="J468" s="3"/>
      <c r="K468" s="2"/>
      <c r="L468" s="2"/>
      <c r="M468" s="187"/>
      <c r="N468"/>
      <c r="O468"/>
      <c r="P468"/>
      <c r="Q468"/>
      <c r="R468"/>
      <c r="S468"/>
      <c r="T468"/>
      <c r="U468"/>
      <c r="V468"/>
      <c r="W468"/>
      <c r="X468"/>
      <c r="Y468"/>
      <c r="Z468"/>
      <c r="AA468"/>
      <c r="AB468"/>
      <c r="AC468"/>
      <c r="AD468"/>
      <c r="AE468"/>
      <c r="AF468"/>
      <c r="AG468"/>
      <c r="AH468" s="2"/>
      <c r="AI468" s="2"/>
      <c r="AK468" s="2"/>
    </row>
    <row r="469" spans="2:37" s="1" customFormat="1" ht="15" hidden="1" customHeight="1">
      <c r="B469" s="2"/>
      <c r="C469" s="2"/>
      <c r="D469" s="2"/>
      <c r="E469" s="2"/>
      <c r="F469" s="2"/>
      <c r="G469" s="2"/>
      <c r="H469" s="2"/>
      <c r="I469" s="2"/>
      <c r="J469" s="3"/>
      <c r="K469" s="2"/>
      <c r="L469" s="2"/>
      <c r="M469" s="187"/>
      <c r="N469"/>
      <c r="O469"/>
      <c r="P469"/>
      <c r="Q469"/>
      <c r="R469"/>
      <c r="S469"/>
      <c r="T469"/>
      <c r="U469"/>
      <c r="V469"/>
      <c r="W469"/>
      <c r="X469"/>
      <c r="Y469"/>
      <c r="Z469"/>
      <c r="AA469"/>
      <c r="AB469"/>
      <c r="AC469"/>
      <c r="AD469"/>
      <c r="AE469"/>
      <c r="AF469"/>
      <c r="AG469"/>
      <c r="AH469" s="2"/>
      <c r="AI469" s="2"/>
      <c r="AK469" s="2"/>
    </row>
    <row r="470" spans="2:37" s="1" customFormat="1" ht="15" hidden="1" customHeight="1">
      <c r="B470" s="2"/>
      <c r="C470" s="2"/>
      <c r="D470" s="2"/>
      <c r="E470" s="2"/>
      <c r="F470" s="2"/>
      <c r="G470" s="2"/>
      <c r="H470" s="2"/>
      <c r="I470" s="2"/>
      <c r="J470" s="3"/>
      <c r="K470" s="2"/>
      <c r="L470" s="2"/>
      <c r="M470" s="187"/>
      <c r="N470"/>
      <c r="O470"/>
      <c r="P470"/>
      <c r="Q470"/>
      <c r="R470"/>
      <c r="S470"/>
      <c r="T470"/>
      <c r="U470"/>
      <c r="V470"/>
      <c r="W470"/>
      <c r="X470"/>
      <c r="Y470"/>
      <c r="Z470"/>
      <c r="AA470"/>
      <c r="AB470"/>
      <c r="AC470"/>
      <c r="AD470"/>
      <c r="AE470"/>
      <c r="AF470"/>
      <c r="AG470"/>
      <c r="AH470" s="2"/>
      <c r="AI470" s="2"/>
      <c r="AK470" s="2"/>
    </row>
    <row r="471" spans="2:37" s="1" customFormat="1" ht="15" hidden="1" customHeight="1">
      <c r="B471" s="2"/>
      <c r="C471" s="2"/>
      <c r="D471" s="2"/>
      <c r="E471" s="2"/>
      <c r="F471" s="2"/>
      <c r="G471" s="2"/>
      <c r="H471" s="2"/>
      <c r="I471" s="2"/>
      <c r="J471" s="3"/>
      <c r="K471" s="2"/>
      <c r="L471" s="2"/>
      <c r="M471" s="187"/>
      <c r="N471"/>
      <c r="O471"/>
      <c r="P471"/>
      <c r="Q471"/>
      <c r="R471"/>
      <c r="S471"/>
      <c r="T471"/>
      <c r="U471"/>
      <c r="V471"/>
      <c r="W471"/>
      <c r="X471"/>
      <c r="Y471"/>
      <c r="Z471"/>
      <c r="AA471"/>
      <c r="AB471"/>
      <c r="AC471"/>
      <c r="AD471"/>
      <c r="AE471"/>
      <c r="AF471"/>
      <c r="AG471"/>
      <c r="AH471" s="2"/>
      <c r="AI471" s="2"/>
      <c r="AK471" s="2"/>
    </row>
    <row r="472" spans="2:37" s="1" customFormat="1" ht="15" hidden="1" customHeight="1">
      <c r="B472" s="2"/>
      <c r="C472" s="2"/>
      <c r="D472" s="2"/>
      <c r="E472" s="2"/>
      <c r="F472" s="2"/>
      <c r="G472" s="2"/>
      <c r="H472" s="2"/>
      <c r="I472" s="2"/>
      <c r="J472" s="3"/>
      <c r="K472" s="2"/>
      <c r="L472" s="2"/>
      <c r="M472" s="187"/>
      <c r="N472"/>
      <c r="O472"/>
      <c r="P472"/>
      <c r="Q472"/>
      <c r="R472"/>
      <c r="S472"/>
      <c r="T472"/>
      <c r="U472"/>
      <c r="V472"/>
      <c r="W472"/>
      <c r="X472"/>
      <c r="Y472"/>
      <c r="Z472"/>
      <c r="AA472"/>
      <c r="AB472"/>
      <c r="AC472"/>
      <c r="AD472"/>
      <c r="AE472"/>
      <c r="AF472"/>
      <c r="AG472"/>
      <c r="AH472" s="2"/>
      <c r="AI472" s="2"/>
      <c r="AK472" s="2"/>
    </row>
    <row r="473" spans="2:37" s="1" customFormat="1" ht="15" hidden="1" customHeight="1">
      <c r="B473" s="2"/>
      <c r="C473" s="2"/>
      <c r="D473" s="2"/>
      <c r="E473" s="2"/>
      <c r="F473" s="2"/>
      <c r="G473" s="2"/>
      <c r="H473" s="2"/>
      <c r="I473" s="2"/>
      <c r="J473" s="3"/>
      <c r="K473" s="2"/>
      <c r="L473" s="2"/>
      <c r="M473" s="187"/>
      <c r="N473"/>
      <c r="O473"/>
      <c r="P473"/>
      <c r="Q473"/>
      <c r="R473"/>
      <c r="S473"/>
      <c r="T473"/>
      <c r="U473"/>
      <c r="V473"/>
      <c r="W473"/>
      <c r="X473"/>
      <c r="Y473"/>
      <c r="Z473"/>
      <c r="AA473"/>
      <c r="AB473"/>
      <c r="AC473"/>
      <c r="AD473"/>
      <c r="AE473"/>
      <c r="AF473"/>
      <c r="AG473"/>
      <c r="AH473" s="2"/>
      <c r="AI473" s="2"/>
      <c r="AK473" s="2"/>
    </row>
    <row r="474" spans="2:37" s="1" customFormat="1" ht="15" hidden="1" customHeight="1">
      <c r="B474" s="2"/>
      <c r="C474" s="2"/>
      <c r="D474" s="2"/>
      <c r="E474" s="2"/>
      <c r="F474" s="2"/>
      <c r="G474" s="2"/>
      <c r="H474" s="2"/>
      <c r="I474" s="2"/>
      <c r="J474" s="3"/>
      <c r="K474" s="2"/>
      <c r="L474" s="2"/>
      <c r="M474" s="187"/>
      <c r="N474"/>
      <c r="O474"/>
      <c r="P474"/>
      <c r="Q474"/>
      <c r="R474"/>
      <c r="S474"/>
      <c r="T474"/>
      <c r="U474"/>
      <c r="V474"/>
      <c r="W474"/>
      <c r="X474"/>
      <c r="Y474"/>
      <c r="Z474"/>
      <c r="AA474"/>
      <c r="AB474"/>
      <c r="AC474"/>
      <c r="AD474"/>
      <c r="AE474"/>
      <c r="AF474"/>
      <c r="AG474"/>
      <c r="AH474" s="2"/>
      <c r="AI474" s="2"/>
      <c r="AK474" s="2"/>
    </row>
    <row r="475" spans="2:37" s="1" customFormat="1" ht="15" hidden="1" customHeight="1">
      <c r="B475" s="2"/>
      <c r="C475" s="2"/>
      <c r="D475" s="2"/>
      <c r="E475" s="2"/>
      <c r="F475" s="2"/>
      <c r="G475" s="2"/>
      <c r="H475" s="2"/>
      <c r="I475" s="2"/>
      <c r="J475" s="3"/>
      <c r="K475" s="2"/>
      <c r="L475" s="2"/>
      <c r="M475" s="187"/>
      <c r="N475"/>
      <c r="O475"/>
      <c r="P475"/>
      <c r="Q475"/>
      <c r="R475"/>
      <c r="S475"/>
      <c r="T475"/>
      <c r="U475"/>
      <c r="V475"/>
      <c r="W475"/>
      <c r="X475"/>
      <c r="Y475"/>
      <c r="Z475"/>
      <c r="AA475"/>
      <c r="AB475"/>
      <c r="AC475"/>
      <c r="AD475"/>
      <c r="AE475"/>
      <c r="AF475"/>
      <c r="AG475"/>
      <c r="AH475" s="2"/>
      <c r="AI475" s="2"/>
      <c r="AK475" s="2"/>
    </row>
    <row r="476" spans="2:37" s="1" customFormat="1" ht="15" hidden="1" customHeight="1">
      <c r="B476" s="2"/>
      <c r="C476" s="2"/>
      <c r="D476" s="2"/>
      <c r="E476" s="2"/>
      <c r="F476" s="2"/>
      <c r="G476" s="2"/>
      <c r="H476" s="2"/>
      <c r="I476" s="2"/>
      <c r="J476" s="3"/>
      <c r="K476" s="2"/>
      <c r="L476" s="2"/>
      <c r="M476" s="187"/>
      <c r="N476"/>
      <c r="O476"/>
      <c r="P476"/>
      <c r="Q476"/>
      <c r="R476"/>
      <c r="S476"/>
      <c r="T476"/>
      <c r="U476"/>
      <c r="V476"/>
      <c r="W476"/>
      <c r="X476"/>
      <c r="Y476"/>
      <c r="Z476"/>
      <c r="AA476"/>
      <c r="AB476"/>
      <c r="AC476"/>
      <c r="AD476"/>
      <c r="AE476"/>
      <c r="AF476"/>
      <c r="AG476"/>
      <c r="AH476" s="2"/>
      <c r="AI476" s="2"/>
      <c r="AK476" s="2"/>
    </row>
    <row r="477" spans="2:37" s="1" customFormat="1" ht="15" hidden="1" customHeight="1">
      <c r="B477" s="2"/>
      <c r="C477" s="2"/>
      <c r="D477" s="2"/>
      <c r="E477" s="2"/>
      <c r="F477" s="2"/>
      <c r="G477" s="2"/>
      <c r="H477" s="2"/>
      <c r="I477" s="2"/>
      <c r="J477" s="3"/>
      <c r="K477" s="2"/>
      <c r="L477" s="2"/>
      <c r="M477" s="187"/>
      <c r="N477"/>
      <c r="O477"/>
      <c r="P477"/>
      <c r="Q477"/>
      <c r="R477"/>
      <c r="S477"/>
      <c r="T477"/>
      <c r="U477"/>
      <c r="V477"/>
      <c r="W477"/>
      <c r="X477"/>
      <c r="Y477"/>
      <c r="Z477"/>
      <c r="AA477"/>
      <c r="AB477"/>
      <c r="AC477"/>
      <c r="AD477"/>
      <c r="AE477"/>
      <c r="AF477"/>
      <c r="AG477"/>
      <c r="AH477" s="2"/>
      <c r="AI477" s="2"/>
      <c r="AK477" s="2"/>
    </row>
    <row r="478" spans="2:37" s="1" customFormat="1" ht="15" hidden="1" customHeight="1">
      <c r="B478" s="2"/>
      <c r="C478" s="2"/>
      <c r="D478" s="2"/>
      <c r="E478" s="2"/>
      <c r="F478" s="2"/>
      <c r="G478" s="2"/>
      <c r="H478" s="2"/>
      <c r="I478" s="2"/>
      <c r="J478" s="3"/>
      <c r="K478" s="2"/>
      <c r="L478" s="2"/>
      <c r="M478" s="187"/>
      <c r="N478"/>
      <c r="O478"/>
      <c r="P478"/>
      <c r="Q478"/>
      <c r="R478"/>
      <c r="S478"/>
      <c r="T478"/>
      <c r="U478"/>
      <c r="V478"/>
      <c r="W478"/>
      <c r="X478"/>
      <c r="Y478"/>
      <c r="Z478"/>
      <c r="AA478"/>
      <c r="AB478"/>
      <c r="AC478"/>
      <c r="AD478"/>
      <c r="AE478"/>
      <c r="AF478"/>
      <c r="AG478"/>
      <c r="AH478" s="2"/>
      <c r="AI478" s="2"/>
      <c r="AK478" s="2"/>
    </row>
    <row r="479" spans="2:37" ht="15" hidden="1" customHeight="1"/>
    <row r="480" spans="2:37"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sheetData>
  <sheetProtection password="E863" sheet="1" objects="1" scenarios="1"/>
  <mergeCells count="231">
    <mergeCell ref="O121:AC121"/>
    <mergeCell ref="O119:AC119"/>
    <mergeCell ref="O117:AC117"/>
    <mergeCell ref="O288:R288"/>
    <mergeCell ref="O284:R284"/>
    <mergeCell ref="O289:R289"/>
    <mergeCell ref="O292:R292"/>
    <mergeCell ref="O293:R293"/>
    <mergeCell ref="O276:R276"/>
    <mergeCell ref="O219:AC219"/>
    <mergeCell ref="O167:AC167"/>
    <mergeCell ref="O169:AC169"/>
    <mergeCell ref="O215:AC215"/>
    <mergeCell ref="O217:AC217"/>
    <mergeCell ref="O185:AC185"/>
    <mergeCell ref="O209:AC209"/>
    <mergeCell ref="O211:AC211"/>
    <mergeCell ref="O213:AC213"/>
    <mergeCell ref="O239:AC239"/>
    <mergeCell ref="O223:AC223"/>
    <mergeCell ref="O235:AA235"/>
    <mergeCell ref="O237:AC237"/>
    <mergeCell ref="O245:AA245"/>
    <mergeCell ref="O203:AC203"/>
    <mergeCell ref="O29:AC29"/>
    <mergeCell ref="O31:AC31"/>
    <mergeCell ref="O35:AC35"/>
    <mergeCell ref="O37:AC37"/>
    <mergeCell ref="O49:AC49"/>
    <mergeCell ref="O53:AC53"/>
    <mergeCell ref="O61:AC61"/>
    <mergeCell ref="O33:AA33"/>
    <mergeCell ref="O41:AC41"/>
    <mergeCell ref="O39:AC39"/>
    <mergeCell ref="O43:AA43"/>
    <mergeCell ref="O51:AA51"/>
    <mergeCell ref="O55:AA55"/>
    <mergeCell ref="O57:AA57"/>
    <mergeCell ref="O59:AA59"/>
    <mergeCell ref="O67:AA67"/>
    <mergeCell ref="O249:T249"/>
    <mergeCell ref="O71:AA71"/>
    <mergeCell ref="O73:AA73"/>
    <mergeCell ref="O75:AA75"/>
    <mergeCell ref="O93:AC93"/>
    <mergeCell ref="O95:AC95"/>
    <mergeCell ref="O243:AA243"/>
    <mergeCell ref="O97:AC97"/>
    <mergeCell ref="O135:AA135"/>
    <mergeCell ref="O193:AC193"/>
    <mergeCell ref="O195:AC195"/>
    <mergeCell ref="O197:AC197"/>
    <mergeCell ref="O229:AA229"/>
    <mergeCell ref="O225:AA225"/>
    <mergeCell ref="O207:AA207"/>
    <mergeCell ref="O189:AA189"/>
    <mergeCell ref="O129:AA129"/>
    <mergeCell ref="O137:AA137"/>
    <mergeCell ref="O109:AA109"/>
    <mergeCell ref="O89:AA89"/>
    <mergeCell ref="O127:AC127"/>
    <mergeCell ref="O125:AC125"/>
    <mergeCell ref="O123:AC123"/>
    <mergeCell ref="O77:AA77"/>
    <mergeCell ref="O79:AC79"/>
    <mergeCell ref="O273:AG273"/>
    <mergeCell ref="O147:AC147"/>
    <mergeCell ref="O159:AC159"/>
    <mergeCell ref="O163:AC163"/>
    <mergeCell ref="O157:AA157"/>
    <mergeCell ref="O149:AA149"/>
    <mergeCell ref="O151:AA151"/>
    <mergeCell ref="O173:AA173"/>
    <mergeCell ref="O153:AA153"/>
    <mergeCell ref="O155:AA155"/>
    <mergeCell ref="O221:AA221"/>
    <mergeCell ref="O227:AA227"/>
    <mergeCell ref="O179:AA179"/>
    <mergeCell ref="O181:AA181"/>
    <mergeCell ref="O183:AA183"/>
    <mergeCell ref="O178:AA178"/>
    <mergeCell ref="O165:AA165"/>
    <mergeCell ref="O201:AC201"/>
    <mergeCell ref="O115:AC115"/>
    <mergeCell ref="O113:AC113"/>
    <mergeCell ref="O111:AC111"/>
    <mergeCell ref="O133:AC133"/>
    <mergeCell ref="O294:R294"/>
    <mergeCell ref="O291:R291"/>
    <mergeCell ref="O287:R287"/>
    <mergeCell ref="V249:Y249"/>
    <mergeCell ref="O45:AA45"/>
    <mergeCell ref="O91:AA91"/>
    <mergeCell ref="O101:AA101"/>
    <mergeCell ref="O47:AA47"/>
    <mergeCell ref="O63:AA63"/>
    <mergeCell ref="O65:AA65"/>
    <mergeCell ref="O247:AA247"/>
    <mergeCell ref="O241:AA241"/>
    <mergeCell ref="O285:R285"/>
    <mergeCell ref="O286:R286"/>
    <mergeCell ref="O290:R290"/>
    <mergeCell ref="O231:AA231"/>
    <mergeCell ref="O199:AC199"/>
    <mergeCell ref="O161:AA161"/>
    <mergeCell ref="O69:AA69"/>
    <mergeCell ref="O272:AG272"/>
    <mergeCell ref="O85:AC85"/>
    <mergeCell ref="O87:AC87"/>
    <mergeCell ref="O83:AA83"/>
    <mergeCell ref="O141:AC141"/>
    <mergeCell ref="R12:V12"/>
    <mergeCell ref="X12:AG12"/>
    <mergeCell ref="AB9:AG9"/>
    <mergeCell ref="V9:Z9"/>
    <mergeCell ref="O27:AA27"/>
    <mergeCell ref="O6:AG6"/>
    <mergeCell ref="V3:AG3"/>
    <mergeCell ref="O9:T9"/>
    <mergeCell ref="O12:P12"/>
    <mergeCell ref="O15:X15"/>
    <mergeCell ref="AA15:AG15"/>
    <mergeCell ref="O16:AG16"/>
    <mergeCell ref="O17:AA17"/>
    <mergeCell ref="O21:AC21"/>
    <mergeCell ref="O23:AC23"/>
    <mergeCell ref="O25:AC25"/>
    <mergeCell ref="O2:P2"/>
    <mergeCell ref="AE2:AG2"/>
    <mergeCell ref="V297:AG297"/>
    <mergeCell ref="O300:AG300"/>
    <mergeCell ref="N301:AE301"/>
    <mergeCell ref="O233:AA233"/>
    <mergeCell ref="T292:AE292"/>
    <mergeCell ref="T293:AE293"/>
    <mergeCell ref="T291:AE291"/>
    <mergeCell ref="T288:AE288"/>
    <mergeCell ref="T282:AG282"/>
    <mergeCell ref="T278:AE278"/>
    <mergeCell ref="O278:R278"/>
    <mergeCell ref="O282:R282"/>
    <mergeCell ref="O277:R277"/>
    <mergeCell ref="T276:AG276"/>
    <mergeCell ref="T277:AG277"/>
    <mergeCell ref="T287:AG287"/>
    <mergeCell ref="T289:AG289"/>
    <mergeCell ref="T290:AG290"/>
    <mergeCell ref="N7:AE7"/>
    <mergeCell ref="O19:AA19"/>
    <mergeCell ref="O81:AA81"/>
    <mergeCell ref="O99:AA99"/>
    <mergeCell ref="O314:AA314"/>
    <mergeCell ref="O316:AC316"/>
    <mergeCell ref="O318:AA318"/>
    <mergeCell ref="O320:AC320"/>
    <mergeCell ref="O322:AC322"/>
    <mergeCell ref="O311:AA311"/>
    <mergeCell ref="O303:T303"/>
    <mergeCell ref="V303:Z303"/>
    <mergeCell ref="AB303:AG303"/>
    <mergeCell ref="O306:P306"/>
    <mergeCell ref="R306:V306"/>
    <mergeCell ref="X306:AG306"/>
    <mergeCell ref="O309:X309"/>
    <mergeCell ref="AA309:AG309"/>
    <mergeCell ref="O310:AG310"/>
    <mergeCell ref="O342:AC342"/>
    <mergeCell ref="O344:AC344"/>
    <mergeCell ref="O346:AC346"/>
    <mergeCell ref="O348:AC348"/>
    <mergeCell ref="O324:AC324"/>
    <mergeCell ref="O326:AC326"/>
    <mergeCell ref="O328:AC328"/>
    <mergeCell ref="O330:AA330"/>
    <mergeCell ref="O332:AC332"/>
    <mergeCell ref="O334:AC334"/>
    <mergeCell ref="O336:AC336"/>
    <mergeCell ref="O338:AA338"/>
    <mergeCell ref="O340:AA340"/>
    <mergeCell ref="O351:AG351"/>
    <mergeCell ref="P355:R355"/>
    <mergeCell ref="T355:AG355"/>
    <mergeCell ref="O356:R356"/>
    <mergeCell ref="T356:AG356"/>
    <mergeCell ref="O357:R357"/>
    <mergeCell ref="T357:AE357"/>
    <mergeCell ref="O361:R361"/>
    <mergeCell ref="T361:AG361"/>
    <mergeCell ref="O352:AG352"/>
    <mergeCell ref="P363:R363"/>
    <mergeCell ref="O364:R364"/>
    <mergeCell ref="O365:R365"/>
    <mergeCell ref="O366:R366"/>
    <mergeCell ref="T366:AG366"/>
    <mergeCell ref="P367:R367"/>
    <mergeCell ref="T367:AE367"/>
    <mergeCell ref="P368:R368"/>
    <mergeCell ref="T368:AG368"/>
    <mergeCell ref="O369:R369"/>
    <mergeCell ref="T369:AG369"/>
    <mergeCell ref="O370:R370"/>
    <mergeCell ref="T370:AE370"/>
    <mergeCell ref="P371:R371"/>
    <mergeCell ref="T371:AE371"/>
    <mergeCell ref="P372:R372"/>
    <mergeCell ref="T372:AE372"/>
    <mergeCell ref="O373:R373"/>
    <mergeCell ref="O143:AC143"/>
    <mergeCell ref="O145:AC145"/>
    <mergeCell ref="O103:AC103"/>
    <mergeCell ref="O205:AC205"/>
    <mergeCell ref="O171:AC171"/>
    <mergeCell ref="O175:AC175"/>
    <mergeCell ref="O177:AC177"/>
    <mergeCell ref="A251:A270"/>
    <mergeCell ref="O251:AC251"/>
    <mergeCell ref="O253:AC253"/>
    <mergeCell ref="O255:AA255"/>
    <mergeCell ref="O257:AC257"/>
    <mergeCell ref="O259:AA259"/>
    <mergeCell ref="O261:AA261"/>
    <mergeCell ref="O263:AA263"/>
    <mergeCell ref="O265:AA265"/>
    <mergeCell ref="O267:AA267"/>
    <mergeCell ref="O269:AA269"/>
    <mergeCell ref="O131:AA131"/>
    <mergeCell ref="O105:AC105"/>
    <mergeCell ref="O139:AC139"/>
    <mergeCell ref="O107:AA107"/>
    <mergeCell ref="O187:AC187"/>
    <mergeCell ref="O191:AC191"/>
  </mergeCells>
  <conditionalFormatting sqref="O351 O272">
    <cfRule type="expression" dxfId="227" priority="2840" stopIfTrue="1">
      <formula>$O$272&lt;&gt;""</formula>
    </cfRule>
  </conditionalFormatting>
  <conditionalFormatting sqref="O352 O273">
    <cfRule type="expression" dxfId="226" priority="2839" stopIfTrue="1">
      <formula>$O$273&lt;&gt;""</formula>
    </cfRule>
  </conditionalFormatting>
  <conditionalFormatting sqref="AE229">
    <cfRule type="expression" dxfId="225" priority="1297">
      <formula>AND($AL229=1,$AE229="")</formula>
    </cfRule>
    <cfRule type="expression" dxfId="224" priority="1298">
      <formula>$AL229=4</formula>
    </cfRule>
    <cfRule type="expression" dxfId="223" priority="1299">
      <formula>$AL229=3</formula>
    </cfRule>
    <cfRule type="expression" dxfId="222" priority="1304">
      <formula>$AL229=0</formula>
    </cfRule>
  </conditionalFormatting>
  <conditionalFormatting sqref="J228">
    <cfRule type="expression" dxfId="221" priority="1302">
      <formula>OR($AL228=4,$AM228=4)</formula>
    </cfRule>
  </conditionalFormatting>
  <conditionalFormatting sqref="J229">
    <cfRule type="expression" dxfId="220" priority="1296">
      <formula>OR($AL229=4,$AM229=4)</formula>
    </cfRule>
  </conditionalFormatting>
  <conditionalFormatting sqref="AC27 AC43 AC45 AC47 AC51 AC55 AC57 AC59 AC63 AC65 AC67 AC69 AC71 AC73 AC75 AC77 AC83 AC91 AC99 AC101 AC107 AC109 AC129 AC131 AC135 AC137 AC149 AC151 AC153 AC155 AC157 AC161 AC165 AC173 AC179 AC181 AC183 AC189 AC207 AC221 AC225 AC227 AC229 AC231 AC233 AC235 AC241 AC243 AC245 AC247 AC340 AC318 AC330 AC338">
    <cfRule type="expression" dxfId="219" priority="891">
      <formula>$AL27=2</formula>
    </cfRule>
    <cfRule type="expression" dxfId="218" priority="892">
      <formula>AND($AL27=0,$AC27="")</formula>
    </cfRule>
    <cfRule type="expression" dxfId="217" priority="893">
      <formula>$AL27=3</formula>
    </cfRule>
  </conditionalFormatting>
  <conditionalFormatting sqref="AE27">
    <cfRule type="expression" dxfId="216" priority="408">
      <formula>$AL27=4</formula>
    </cfRule>
  </conditionalFormatting>
  <conditionalFormatting sqref="J149">
    <cfRule type="expression" dxfId="215" priority="282">
      <formula>OR($AL149=4,$AM149=4)</formula>
    </cfRule>
  </conditionalFormatting>
  <conditionalFormatting sqref="J21 J23 J25 J27 J29 J31">
    <cfRule type="expression" dxfId="214" priority="281">
      <formula>OR($AL21=4,$AM21=4)</formula>
    </cfRule>
  </conditionalFormatting>
  <conditionalFormatting sqref="J37 J39 J41 J43 J45 J47 J49 J51 J53 J55 J57 J59 J61 J63 J65 J67 J69 J71 J73 J75 J77 J79:J81">
    <cfRule type="expression" dxfId="213" priority="279">
      <formula>OR($AL37=4,$AM37=4)</formula>
    </cfRule>
  </conditionalFormatting>
  <conditionalFormatting sqref="J35">
    <cfRule type="expression" dxfId="212" priority="278">
      <formula>OR($AL35=4,$AM35=4)</formula>
    </cfRule>
  </conditionalFormatting>
  <conditionalFormatting sqref="J85 J87">
    <cfRule type="expression" dxfId="211" priority="271">
      <formula>OR($AL85=4,$AM85=4)</formula>
    </cfRule>
  </conditionalFormatting>
  <conditionalFormatting sqref="J91 J93 J95 J97 J99">
    <cfRule type="expression" dxfId="210" priority="270">
      <formula>OR($AL91=4,$AM91=4)</formula>
    </cfRule>
  </conditionalFormatting>
  <conditionalFormatting sqref="J103 J105 J107">
    <cfRule type="expression" dxfId="209" priority="265">
      <formula>OR($AL103=4,$AM103=4)</formula>
    </cfRule>
  </conditionalFormatting>
  <conditionalFormatting sqref="J111 J113 J115 J117 J119 J121 J123 J125 J127">
    <cfRule type="expression" dxfId="208" priority="263">
      <formula>OR($AL111=4,$AM111=4)</formula>
    </cfRule>
  </conditionalFormatting>
  <conditionalFormatting sqref="J131 J133 J135">
    <cfRule type="expression" dxfId="207" priority="261">
      <formula>OR($AL131=4,$AM131=4)</formula>
    </cfRule>
  </conditionalFormatting>
  <conditionalFormatting sqref="J139 J141 J143 J145 J147">
    <cfRule type="expression" dxfId="206" priority="260">
      <formula>OR($AL139=4,$AM139=4)</formula>
    </cfRule>
  </conditionalFormatting>
  <conditionalFormatting sqref="J151 J153 J155">
    <cfRule type="expression" dxfId="205" priority="259">
      <formula>OR($AL151=4,$AM151=4)</formula>
    </cfRule>
  </conditionalFormatting>
  <conditionalFormatting sqref="J159 J161 J163">
    <cfRule type="expression" dxfId="204" priority="258">
      <formula>OR($AL159=4,$AM159=4)</formula>
    </cfRule>
  </conditionalFormatting>
  <conditionalFormatting sqref="J167 J169 J171 J173 J175 J177 J179 J181 J183 J185 J187">
    <cfRule type="expression" dxfId="203" priority="257">
      <formula>OR($AL167=4,$AM167=4)</formula>
    </cfRule>
  </conditionalFormatting>
  <conditionalFormatting sqref="J191 J193 J195 J197 J199 J201 J203 J205">
    <cfRule type="expression" dxfId="202" priority="256">
      <formula>OR($AL191=4,$AM191=4)</formula>
    </cfRule>
  </conditionalFormatting>
  <conditionalFormatting sqref="J209 J211 J213 J215 J217 J219">
    <cfRule type="expression" dxfId="201" priority="255">
      <formula>OR($AL209=4,$AM209=4)</formula>
    </cfRule>
  </conditionalFormatting>
  <conditionalFormatting sqref="J223 J225">
    <cfRule type="expression" dxfId="200" priority="254">
      <formula>OR($AL223=4,$AM223=4)</formula>
    </cfRule>
  </conditionalFormatting>
  <conditionalFormatting sqref="O316:AA348">
    <cfRule type="expression" dxfId="199" priority="249">
      <formula>OR($AE316&lt;&gt;"",$AC316&lt;&gt;"",$AL316=3)</formula>
    </cfRule>
  </conditionalFormatting>
  <conditionalFormatting sqref="O348:AA348 O346:AA346 O344:AA344 O342:AA342 O340:AA340 O338:AA338 O336:AA336 O334:AA334 O332:AA332 O330:AA330 O328:AA328 O326:AA326 O324:AA324 O322:AA322 O320:AA320 O318:AA318 O316:AA316">
    <cfRule type="expression" dxfId="198" priority="248">
      <formula>OR($AL316=4,$AM316=4)</formula>
    </cfRule>
  </conditionalFormatting>
  <conditionalFormatting sqref="AC340 AC338 AC330 AC318">
    <cfRule type="expression" dxfId="197" priority="228">
      <formula>$AL318=2</formula>
    </cfRule>
  </conditionalFormatting>
  <conditionalFormatting sqref="AC340 AC338 AC330 AC318">
    <cfRule type="expression" dxfId="196" priority="227">
      <formula>$AL318=3</formula>
    </cfRule>
  </conditionalFormatting>
  <conditionalFormatting sqref="AC340 AC338 AC330 AC318">
    <cfRule type="expression" dxfId="195" priority="225">
      <formula>AND($AL318=0,$AC318="")</formula>
    </cfRule>
  </conditionalFormatting>
  <conditionalFormatting sqref="O314:AA314">
    <cfRule type="expression" dxfId="194" priority="222">
      <formula>OR($AL314=4,#REF!=4)</formula>
    </cfRule>
  </conditionalFormatting>
  <conditionalFormatting sqref="J314">
    <cfRule type="expression" dxfId="193" priority="55">
      <formula>OR($AL314=4,$AM314=4)</formula>
    </cfRule>
  </conditionalFormatting>
  <conditionalFormatting sqref="J316 J318 J320 J322 J324 J326 J328 J330 J332 J334 J336 J338 J340 J342 J344 J346 J348">
    <cfRule type="expression" dxfId="192" priority="38">
      <formula>OR($AL316=4,$AM316=4)</formula>
    </cfRule>
  </conditionalFormatting>
  <conditionalFormatting sqref="J237 J239">
    <cfRule type="expression" dxfId="191" priority="23">
      <formula>OR($AL237=4,$AM237=4)</formula>
    </cfRule>
  </conditionalFormatting>
  <conditionalFormatting sqref="Q297:U297 Q3:U3">
    <cfRule type="expression" dxfId="190" priority="2847">
      <formula>#REF!&lt;&gt;""</formula>
    </cfRule>
    <cfRule type="expression" dxfId="189" priority="2848">
      <formula>$O$272&lt;&gt;""</formula>
    </cfRule>
  </conditionalFormatting>
  <conditionalFormatting sqref="O278:R278">
    <cfRule type="expression" dxfId="188" priority="22">
      <formula>$O$278=""</formula>
    </cfRule>
  </conditionalFormatting>
  <conditionalFormatting sqref="O251:AA269">
    <cfRule type="expression" dxfId="187" priority="21">
      <formula>OR($AE251&lt;&gt;"",$AC251&lt;&gt;"",$AL251=3)</formula>
    </cfRule>
  </conditionalFormatting>
  <conditionalFormatting sqref="O269:AA269 O267:AA267 O265:AA265 O263:AA263 O261:AA261 O259:AA259 O257:AA257 O255:AA255 O253:AA253 O251:AA251 J251 J253 J255 J257 J259 J261 J263 J265 J267 J269">
    <cfRule type="expression" dxfId="186" priority="20">
      <formula>OR($AL251=4,$AM251=4)</formula>
    </cfRule>
  </conditionalFormatting>
  <conditionalFormatting sqref="AE269 AE267 AE259">
    <cfRule type="expression" dxfId="185" priority="16">
      <formula>AND($AL259=1,$AE259="")</formula>
    </cfRule>
    <cfRule type="expression" dxfId="184" priority="17">
      <formula>$AL259=4</formula>
    </cfRule>
    <cfRule type="expression" dxfId="183" priority="18">
      <formula>$AL259=3</formula>
    </cfRule>
    <cfRule type="expression" dxfId="182" priority="19">
      <formula>$AL259=0</formula>
    </cfRule>
  </conditionalFormatting>
  <conditionalFormatting sqref="AC255 AC259 AC261 AC263 AC265 AC267 AC269">
    <cfRule type="expression" dxfId="181" priority="13">
      <formula>$AL255=2</formula>
    </cfRule>
    <cfRule type="expression" dxfId="180" priority="14">
      <formula>AND($AL255=0,$AC255="")</formula>
    </cfRule>
    <cfRule type="expression" dxfId="179" priority="15">
      <formula>$AL255=3</formula>
    </cfRule>
  </conditionalFormatting>
  <conditionalFormatting sqref="AE269 AE267 AE265 AE263 AE261 AE259 AE257 AE255 AE253 AE251">
    <cfRule type="duplicateValues" dxfId="178" priority="7"/>
    <cfRule type="expression" dxfId="177" priority="8">
      <formula>AND($AL251=2,$AE251="")</formula>
    </cfRule>
    <cfRule type="expression" dxfId="176" priority="9">
      <formula>AND($AL251=1,$AE251="")</formula>
    </cfRule>
    <cfRule type="expression" dxfId="175" priority="10">
      <formula>$AL251=4</formula>
    </cfRule>
    <cfRule type="expression" dxfId="174" priority="11">
      <formula>$AL251=3</formula>
    </cfRule>
    <cfRule type="expression" dxfId="173" priority="12">
      <formula>$AL251=0</formula>
    </cfRule>
  </conditionalFormatting>
  <conditionalFormatting sqref="AE187 AE231 AE229 AE227 AE225 AE223 AE219 AE217 AE215 AE213 AE211 AE209 AE205 AE203 AE201 AE199 AE197 AE195 AE193 AE191 AE183 AE181 AE179 AE177 AE175 AE173 AE171 AE169 AE167 AE159 AE155 AE153 AE151 AE147 AE145 AE143 AE141 AE139 AE135 AE133 AE131 AE107 AE105 AE103 AE247 AE243 AE99 AE95 AE93 AE91 AE87 AE85 AE77 AE75 AE73 AE71 AE69 AE67 AE65 AE63 AE61 AE59 AE57 AE55 AE53 AE51 AE49 AE47 AE45 AE37 AE35 AE31 AE23 AE21 AE245 AE161 AE163 AE185 AE233 AE237 AE239 AE25 AE27 AE29 AE39 AE41 AE43 AE97 AE111 AE113 AE115 AE117 AE119 AE121 AE123 AE125 AE127 AE316 AE318 AE320 AE322 AE324 AE326 AE328 AE330 AE332 AE334 AE336 AE338 AE340 AE342 AE344 AE346 AE348 AE79 AE81">
    <cfRule type="duplicateValues" dxfId="172" priority="2862"/>
    <cfRule type="expression" dxfId="171" priority="2863">
      <formula>AND($AL21=2,$AE21="")</formula>
    </cfRule>
    <cfRule type="expression" dxfId="170" priority="2864">
      <formula>AND($AL21=1,$AE21="")</formula>
    </cfRule>
    <cfRule type="expression" dxfId="169" priority="2865">
      <formula>$AL21=4</formula>
    </cfRule>
    <cfRule type="expression" dxfId="168" priority="2866">
      <formula>$AL21=3</formula>
    </cfRule>
    <cfRule type="expression" dxfId="167" priority="2867">
      <formula>$AL21=0</formula>
    </cfRule>
  </conditionalFormatting>
  <conditionalFormatting sqref="AC249">
    <cfRule type="expression" dxfId="166" priority="6">
      <formula>AND($AA$249="-",$AC$249="")</formula>
    </cfRule>
    <cfRule type="expression" dxfId="165" priority="1">
      <formula>$AA249&lt;&gt;"-"</formula>
    </cfRule>
    <cfRule type="expression" dxfId="164" priority="5">
      <formula>$AL249=3</formula>
    </cfRule>
  </conditionalFormatting>
  <conditionalFormatting sqref="AC81">
    <cfRule type="expression" dxfId="163" priority="2">
      <formula>$AL81=2</formula>
    </cfRule>
    <cfRule type="expression" dxfId="162" priority="3">
      <formula>AND($AL81=0,$AC81="")</formula>
    </cfRule>
    <cfRule type="expression" dxfId="161" priority="4">
      <formula>$AL81=3</formula>
    </cfRule>
  </conditionalFormatting>
  <conditionalFormatting sqref="O21 O23 O25 O27 O29 O31 O37 O39 O41 O43 O45 O47 O49 O51 O53 O55 O57 O59 O61 O63 O65 O67 O69 O71 O73 O75 O77 O79 O81 O85 O87 O91 O93 O95 O97 O99 O103 O105 O107 O111 O113 O115 O117 O119 O121 O123 O125 O127 O131 O133 O135 O139 O141 O143 O145 O147 O151 O153 O155 O159 O161 O163 O167 O169 O171 O173 O175 O177 O179 O181 O183 O185 O187 O191 O193 O195 O197 O199 O201 O203 O205 O209 O211 O213 O215 O217 O219 O223 O225 O227 O229 O231 O233 O243 O245 O247 O251 O253 O255 O257 O259 O261 O263 O265 O267 O269 O35">
    <cfRule type="expression" dxfId="160" priority="1639">
      <formula>OR($AL21=4,$AM21=4)</formula>
    </cfRule>
    <cfRule type="expression" dxfId="159" priority="1662">
      <formula>OR($AE21&lt;&gt;"",$AC21&lt;&gt;"",$AL21=3)</formula>
    </cfRule>
  </conditionalFormatting>
  <dataValidations count="62">
    <dataValidation type="whole" allowBlank="1" showInputMessage="1" showErrorMessage="1" sqref="AE132 AE232 AE230 AE228 AE226 AE224 AE208 AE218 AE216 AE214 AE212 AE210 AE190 AE204 AE202 AE200 AE198 AE196 AE194 AE192 AE166 AE184 AE182 AE180 AE178 AE176 AE174 AE172 AE170 AE168 AE158 AE160 AE150 AE154 AE152 AE138 AE146 AE144 AE142 AE140 AE130 AE134 AE102 AE106 AE104 AE90 AE98 AE94 AE92 AE84 AE86 AE34 AE78 AE76 AE74 AE72 AE70 AE68 AE66 AE64 AE62 AE60 AE58 AE56 AE54 AE52 AE50 AE48 AE46 AE44 AE36 AE186 AE30 AE162 AE32 AE82 AE88 AE100 AE128 AE136 AE148 AE156 AE164 AE188 AE206 AE220 AE222 AE112 AE114 AE116 AE118 AE120 AE122 AE124 AE126 AE108 AE110 AE24 AE38 AE40 AE42 AE96 AE315 AE347 AE345 AE343 AE341 AE339 AE337 AE335 AE333 AE331 AE329 AE327 AE325 AE323 AE321 AE319 AE317 AE313 AE248 AE240 AE246 AE242 AE250 AE252 AE254 AE256 AE258 AE260 AE262 AE264 AE266 AE268">
      <formula1>$AV24</formula1>
      <formula2>$AW24</formula2>
    </dataValidation>
    <dataValidation type="whole" allowBlank="1" showInputMessage="1" showErrorMessage="1" error="Para numerar este item, todos os itens anteriores devem estar numerados._x000a__x000a_Número atribuído deve ser maior que o do item anterior e menor que dos itens posteriores." sqref="AE348 AE231 AE229 AE227 AE225 AE223 AE219 AE217 AE215 AE213 AE211 AE209 AE205 AE203 AE201 AE199 AE197 AE195 AE193 AE191 AE163 AE183 AE181 AE179 AE177 AE175 AE173 AE171 AE169 AE167 AE31 AE159 AE155 AE153 AE151 AE147 AE145 AE143 AE141 AE139 AE135 AE133 AE131 AE29 AE107 AE105 AE103 AE187 AE99 AE39 AE93 AE91 AE87 AE85 AE267 AE77 AE75 AE73 AE71 AE69 AE67 AE65 AE63 AE61 AE59 AE57 AE55 AE53 AE51 AE49 AE47 AE45 AE25 AE35 AE161 AE185 AE111 AE27 AE127 AE125 AE123 AE121 AE119 AE117 AE115 AE113 AE23 AE37 AE43 AE41 AE95 AE97 AE346 AE344 AE342 AE340 AE338 AE336 AE334 AE332 AE330 AE328 AE326 AE324 AE322 AE320 AE318 AE316 AE243 AE245 AE247 AE233 AE239 AE237 AE269 AE251 AE253 AE255 AE257 AE259 AE261 AE263 AE265 AE79 AE81">
      <formula1>$AV23</formula1>
      <formula2>$AW23</formula2>
    </dataValidation>
    <dataValidation type="whole" operator="equal" allowBlank="1" showInputMessage="1" showErrorMessage="1" error="Para numerar este item, todos os itens anteriores devem estar numerados._x000a__x000a_Número atribuído deve ser maior que o do item anterior e menor que dos itens posteriores." sqref="AE21">
      <formula1>AP15</formula1>
    </dataValidation>
    <dataValidation type="list" allowBlank="1" showInputMessage="1" showErrorMessage="1" sqref="AC27 AC109 AC235 AC255 AC259 AC261 AC263 AC265 AC267 AC269 AC43 AC47 AC45 AC81 AC338 AC340 AC318">
      <formula1>$AK27</formula1>
    </dataValidation>
    <dataValidation type="custom" allowBlank="1" showInputMessage="1" showErrorMessage="1" error="Campo para uso exclusivo do Banco." prompt="Campo para uso exclusivo do Banco." sqref="AG348 AG346 AG344 AG342 AG340 AG338 AG336 AG334 AG332 AG318 AG316 AG330 AG328 AG326 AG324 AG322 AG320 AG259 AG257 AG263 AG255 AG253 AG251 AG265 AG269 AG267 AG261 AG21 AG41 AG43 AG37 AG23 AG27 AG49 AG51 AG29 AG39 AG53 AG47 AG45 AG25 AG35 AG31 AG239 AG237 AG233 AG247 AG245 AG243 AG185 AG161 AG227 AG201 AG199 AG197 AG195 AG193 AG191 AG209 AG163 AG183 AG181 AG179 AG177 AG175 AG173 AG171 AG169 AG167 AG211 AG159 AG213 AG155 AG153 AG151 AG215 AG147 AG145 AG143 AG141 AG139 AG217 AG135 AG133 AG131 AG219 AG205 AG223 AG225 AG203 AG231 AG229 AG187 AG61 AG57 AG63 AG69 AG71 AG77 AG73 AG67 AG103 AG85 AG87 AG91 AG93 AG99 AG55 AG75 AG65 AG59 AG95 AG97 AG123 AG117 AG111 AG119 AG121 AG127 AG113 AG115 AG125 AG107 AG105 AG79 AG81">
      <formula1>""</formula1>
    </dataValidation>
    <dataValidation allowBlank="1" showInputMessage="1" showErrorMessage="1" prompt="Indicar o nome do projetista." sqref="O278:R278"/>
    <dataValidation type="list" allowBlank="1" showInputMessage="1" showErrorMessage="1" sqref="AC330">
      <formula1>$AK330</formula1>
    </dataValidation>
    <dataValidation allowBlank="1" showInputMessage="1" showErrorMessage="1" error="Nº inserido não é válido!" sqref="V303:Z303 V9:Z9"/>
    <dataValidation type="custom" allowBlank="1" showInputMessage="1" showErrorMessage="1" promptTitle="V.B." prompt="Campo para Validação do documento pelo Banco. (confirmação se documento está legível, se contém assinatura, etc.)_x000a_" sqref="AG311 AG17">
      <formula1>"V.B."</formula1>
    </dataValidation>
    <dataValidation type="custom" allowBlank="1" showInputMessage="1" showErrorMessage="1" promptTitle="Prejudicado" prompt="Campo para a indicação de que o documento relacionado ao item não se aplica a condição do proponente/proposta." sqref="AC311 AC17">
      <formula1>"Prej"</formula1>
    </dataValidation>
    <dataValidation allowBlank="1" showInputMessage="1" showErrorMessage="1" promptTitle="Página" prompt="Documentação deve ser organizada e numerada na sequência conforme abaixo, indicando no respectivo campo o número de página atribuído a cada documento." sqref="AE311 AE17"/>
    <dataValidation type="list" allowBlank="1" showInputMessage="1" showErrorMessage="1" sqref="AC249">
      <formula1>$AK$249</formula1>
    </dataValidation>
    <dataValidation type="list" allowBlank="1" showInputMessage="1" showErrorMessage="1" sqref="AC241">
      <formula1>$AK$241</formula1>
    </dataValidation>
    <dataValidation type="list" allowBlank="1" showInputMessage="1" showErrorMessage="1" sqref="AC243">
      <formula1>$AK$243</formula1>
    </dataValidation>
    <dataValidation type="list" allowBlank="1" showInputMessage="1" showErrorMessage="1" sqref="AC245">
      <formula1>$AK$245</formula1>
    </dataValidation>
    <dataValidation type="list" allowBlank="1" showInputMessage="1" showErrorMessage="1" sqref="AC247">
      <formula1>$AK$247</formula1>
    </dataValidation>
    <dataValidation allowBlank="1" showInputMessage="1" showErrorMessage="1" prompt="Para inserir imóvel, executar clique duplo com o botão esquerdo (do mouse) na área compreendida entre os itens 20.1 e 20.10._x000a__x000a_Para excluir imóvel, executar clique com o botão direito (do mouse) na área dos itens relacionados ao imóvel." sqref="AA249"/>
    <dataValidation type="list" allowBlank="1" showInputMessage="1" showErrorMessage="1" sqref="AC129">
      <formula1>$AK$129</formula1>
    </dataValidation>
    <dataValidation type="list" allowBlank="1" showInputMessage="1" showErrorMessage="1" sqref="AC135">
      <formula1>$AK$135</formula1>
    </dataValidation>
    <dataValidation type="list" allowBlank="1" showInputMessage="1" showErrorMessage="1" sqref="AC137">
      <formula1>$AK$137</formula1>
    </dataValidation>
    <dataValidation type="list" allowBlank="1" showInputMessage="1" showErrorMessage="1" sqref="AC149">
      <formula1>$AK$149</formula1>
    </dataValidation>
    <dataValidation type="list" allowBlank="1" showInputMessage="1" showErrorMessage="1" sqref="AC151">
      <formula1>$AK$151</formula1>
    </dataValidation>
    <dataValidation type="list" allowBlank="1" showInputMessage="1" showErrorMessage="1" sqref="AC153">
      <formula1>$AK$153</formula1>
    </dataValidation>
    <dataValidation type="list" allowBlank="1" showInputMessage="1" showErrorMessage="1" sqref="AC155">
      <formula1>$AK$155</formula1>
    </dataValidation>
    <dataValidation type="list" allowBlank="1" showInputMessage="1" showErrorMessage="1" sqref="AC157">
      <formula1>$AK$157</formula1>
    </dataValidation>
    <dataValidation type="list" allowBlank="1" showInputMessage="1" showErrorMessage="1" sqref="AC161">
      <formula1>$AK$161</formula1>
    </dataValidation>
    <dataValidation type="list" allowBlank="1" showInputMessage="1" showErrorMessage="1" sqref="AC131">
      <formula1>$AK$131</formula1>
    </dataValidation>
    <dataValidation type="list" allowBlank="1" showInputMessage="1" showErrorMessage="1" sqref="AC165">
      <formula1>$AK$165</formula1>
    </dataValidation>
    <dataValidation type="list" allowBlank="1" showInputMessage="1" showErrorMessage="1" sqref="AC173">
      <formula1>$AK$173</formula1>
    </dataValidation>
    <dataValidation type="list" allowBlank="1" showInputMessage="1" showErrorMessage="1" sqref="AC179">
      <formula1>$AK$179</formula1>
    </dataValidation>
    <dataValidation type="list" allowBlank="1" showInputMessage="1" showErrorMessage="1" sqref="AC181">
      <formula1>$AK$181</formula1>
    </dataValidation>
    <dataValidation type="list" allowBlank="1" showInputMessage="1" showErrorMessage="1" sqref="AC183">
      <formula1>$AK$183</formula1>
    </dataValidation>
    <dataValidation type="list" allowBlank="1" showInputMessage="1" showErrorMessage="1" sqref="AC189">
      <formula1>$AK$189</formula1>
    </dataValidation>
    <dataValidation type="list" allowBlank="1" showInputMessage="1" showErrorMessage="1" sqref="AC207">
      <formula1>$AK$207</formula1>
    </dataValidation>
    <dataValidation type="list" allowBlank="1" showInputMessage="1" showErrorMessage="1" sqref="AC221">
      <formula1>$AK$221</formula1>
    </dataValidation>
    <dataValidation type="list" allowBlank="1" showInputMessage="1" showErrorMessage="1" sqref="AC225">
      <formula1>$AK$225</formula1>
    </dataValidation>
    <dataValidation type="list" allowBlank="1" showInputMessage="1" showErrorMessage="1" sqref="AC227">
      <formula1>$AK$227</formula1>
    </dataValidation>
    <dataValidation type="list" allowBlank="1" showInputMessage="1" showErrorMessage="1" sqref="AC231">
      <formula1>$AK$231</formula1>
    </dataValidation>
    <dataValidation type="list" allowBlank="1" showInputMessage="1" showErrorMessage="1" sqref="AC233">
      <formula1>$AK$233</formula1>
    </dataValidation>
    <dataValidation type="list" allowBlank="1" showInputMessage="1" showErrorMessage="1" sqref="AC229">
      <formula1>$AK$229</formula1>
    </dataValidation>
    <dataValidation type="list" allowBlank="1" showInputMessage="1" showErrorMessage="1" sqref="AC101">
      <formula1>$AK$101</formula1>
    </dataValidation>
    <dataValidation type="list" allowBlank="1" showInputMessage="1" showErrorMessage="1" sqref="AC107">
      <formula1>$AK$107</formula1>
    </dataValidation>
    <dataValidation type="list" allowBlank="1" showInputMessage="1" showErrorMessage="1" sqref="AC59">
      <formula1>$AK$59</formula1>
    </dataValidation>
    <dataValidation type="list" allowBlank="1" showInputMessage="1" showErrorMessage="1" sqref="AC63">
      <formula1>$AK$63</formula1>
    </dataValidation>
    <dataValidation type="list" allowBlank="1" showInputMessage="1" showErrorMessage="1" sqref="AC65">
      <formula1>$AK$65</formula1>
    </dataValidation>
    <dataValidation type="list" allowBlank="1" showInputMessage="1" showErrorMessage="1" sqref="AC69">
      <formula1>$AK$69</formula1>
    </dataValidation>
    <dataValidation type="list" allowBlank="1" showInputMessage="1" showErrorMessage="1" sqref="AC71">
      <formula1>$AK$71</formula1>
    </dataValidation>
    <dataValidation type="list" allowBlank="1" showInputMessage="1" showErrorMessage="1" sqref="AC77">
      <formula1>$AK$77</formula1>
    </dataValidation>
    <dataValidation type="list" allowBlank="1" showInputMessage="1" showErrorMessage="1" sqref="AC73">
      <formula1>$AK$73</formula1>
    </dataValidation>
    <dataValidation type="list" allowBlank="1" showInputMessage="1" showErrorMessage="1" sqref="AC75">
      <formula1>$AK$75</formula1>
    </dataValidation>
    <dataValidation type="list" allowBlank="1" showInputMessage="1" showErrorMessage="1" sqref="AC91">
      <formula1>$AK$91</formula1>
    </dataValidation>
    <dataValidation type="list" allowBlank="1" showInputMessage="1" showErrorMessage="1" sqref="AC83">
      <formula1>$AK$83</formula1>
    </dataValidation>
    <dataValidation type="list" allowBlank="1" showInputMessage="1" showErrorMessage="1" sqref="AC55">
      <formula1>$AK$55</formula1>
    </dataValidation>
    <dataValidation type="list" allowBlank="1" showInputMessage="1" showErrorMessage="1" sqref="AC67">
      <formula1>$AK$67</formula1>
    </dataValidation>
    <dataValidation type="list" allowBlank="1" showInputMessage="1" showErrorMessage="1" sqref="AC57">
      <formula1>$AK$57</formula1>
    </dataValidation>
    <dataValidation type="list" allowBlank="1" showInputMessage="1" showErrorMessage="1" sqref="AC99">
      <formula1>$AK$99</formula1>
    </dataValidation>
    <dataValidation type="decimal" operator="greaterThan" allowBlank="1" showInputMessage="1" showErrorMessage="1" sqref="AA15:AG15">
      <formula1>0</formula1>
    </dataValidation>
    <dataValidation type="list" allowBlank="1" showInputMessage="1" showErrorMessage="1" sqref="AC22 AC28">
      <formula1>"X"</formula1>
    </dataValidation>
    <dataValidation type="whole" operator="greaterThan" allowBlank="1" showInputMessage="1" showErrorMessage="1" error="Preencher com o número referente a página do documento." sqref="AE22 AE26">
      <formula1>0</formula1>
    </dataValidation>
    <dataValidation type="list" allowBlank="1" showInputMessage="1" showErrorMessage="1" sqref="AC51">
      <formula1>$AK$51</formula1>
    </dataValidation>
    <dataValidation type="list" allowBlank="1" showInputMessage="1" showErrorMessage="1" sqref="O6:AG6">
      <formula1>$AY$8:$AY$9</formula1>
    </dataValidation>
    <dataValidation type="list" allowBlank="1" showInputMessage="1" showErrorMessage="1" sqref="O15:X15">
      <formula1>$AZ$8:$AZ$23</formula1>
    </dataValidation>
  </dataValidations>
  <hyperlinks>
    <hyperlink ref="O35:AA35" location="'Orientações Não Rural PJ Proj'!D42:D47" tooltip="Ver orientação relacionada ao ítem" display="Levantamentos extra-contábeis ou Balanço do último exercício e Balancete com DRE;"/>
    <hyperlink ref="O85:AA85" location="Balanço_Analítico_do_último_exercício_e_Balancete_com_DRE_das_Empresas_coligadas" tooltip="Ver orientação relacionada ao item" display="Levantamentos extra-contábeis ou Balanço do último exercício e Balancete com DRE;"/>
    <hyperlink ref="O101:AA101" location="Se_proposta_de_financiamento_contemplar_aquisição_de_máquinas_equipamentos_móveis_veículos" tooltip="Ver orientação relacionada ao item" display="Se proposta de financiamento contemplar aquisição de máquinas, equipamentos, móveis e/ou veículos:"/>
    <hyperlink ref="O103:AA103" location="'Orientações Não Rural PJ Proj'!D240:D245" tooltip="Ver orientação relacionada ao ítem" display="Propostas de fornecimento;"/>
    <hyperlink ref="O105:AA105" location="'Orientações Não Rural PJ Proj'!D246:D251" tooltip="Ver orientação relacionada ao ítem" display="Catálogos/Folder's; (do fabricante)"/>
    <hyperlink ref="O107:AA107" location="Layout_das_máquinas_e_equipamentos" tooltip="Ver orientação relacionada ao item" display="Layout das máquinas e equipamentos. (somente para Indústria e Agroindústrias)"/>
    <hyperlink ref="O23:AA23" location="'Orientações Não Rural PJ Proj'!D18:D23" tooltip="Ver orientação relacionada ao ítem" display="Cronograma físico-financeiro do empreendimento;"/>
    <hyperlink ref="O47:AA47" location="Comprovação_da_capacidade_de_aporte_de_recursos_próprios" tooltip="Ver orientação relacionada ao item" display="Comprovação da capacidade de aporte de recursos próprios; "/>
    <hyperlink ref="O45:AA45" location="Alvará_de_Funcionamento" tooltip="Ver orientação relacionada ao item" display="Alvará de Funcionamento; (se empresa em atividade)"/>
    <hyperlink ref="O59:AA59" location="Justificativa_das_Ações_Trabalhistas_em_julgamento_e_indicação_da_fase_e_valores_atualizados" tooltip="Ver orientação relacionada ao item" display="Justificativa_das_Ações_Trabalhistas_em_julgamento_e_indicação_da_fase_e_valores_atualizados"/>
    <hyperlink ref="O31:AA31" location="'Orientações Não Rural PJ Proj'!D24:D29" tooltip="Ver orientação relacionada ao ítem" display="Contrato de prestação de serviços entre proponente e assistência técnica/projetista;"/>
    <hyperlink ref="O241:AA241" location="Se_oferecido_Garantias_pré_existentes" tooltip="Ver orientação relacionada ao item" display="Se oferecido Garantias pré-existentes:"/>
    <hyperlink ref="O243:AA243" location="Laudo_de_Avaliação___das_garantias" tooltip="Ver orientação relacionada ao item" display="Laudo de Avaliação - garantias;"/>
    <hyperlink ref="O245:AA245" location="ART_do_Laudo_de_Avaliação" tooltip="Ver orientação relacionada ao item" display="ART do Laudo de Avaliação;"/>
    <hyperlink ref="O129:AA129" location="Se_Indústria_de_Beneficiamento_de_Madeira" tooltip="Ver orientação relacionada ao item" display="Se Indústria de Beneficiamento de Madeira:"/>
    <hyperlink ref="O137:AA137" location="Se_Indústria_Mineral" tooltip="Ver orientação relacionada ao item" display="Se Indústria Mineral:"/>
    <hyperlink ref="O139:AA139" location="'Orientações Não Rural PJ Proj'!D432:D437" tooltip="Ver orientação relacionada ao ítem" display="Portaria de Lavra, com prova de respectiva transcrição do DNPM;"/>
    <hyperlink ref="O141:AA141" location="'Orientações Não Rural PJ Proj'!D438:D443" tooltip="Ver orientação relacionada ao ítem" display="Projeto aprovado pelo DNPM;"/>
    <hyperlink ref="O143:AA143" location="'Orientações Não Rural PJ Proj'!D444:D449" tooltip="Ver orientação relacionada ao ítem" display="Licença expedida pela autoridade administrativa do município de localização da jazida - com registro no DNPM;"/>
    <hyperlink ref="O145:AA145" location="'Orientações Não Rural PJ Proj'!D456:D461" tooltip="Ver orientação relacionada ao ítem" display="Estudos geológicos sobre a jazida;"/>
    <hyperlink ref="O147:AA147" location="'Orientações Não Rural PJ Proj'!D462:D467" tooltip="Ver orientação relacionada ao ítem" display="Testes laboratoriais sobre o mineral;"/>
    <hyperlink ref="O151:AA151" location="Aprovação_do_projeto_arquitetônico_pela_ANVISA" tooltip="Ver orientação relacionada ao item" display="Aprovação_do_projeto_arquitetônico_pela_ANVISA"/>
    <hyperlink ref="O155:AA155" location="SIF_ou_SIE_ou_SIM" tooltip="Ver orientação relacionada ao item" display="SIF ou SIE ou SIM. (se em operação)"/>
    <hyperlink ref="O227:AA227" location="Autorização_da_ANP" tooltip="Ver orientação relacionada ao item" display="Autorização_da_ANP"/>
    <hyperlink ref="O157:AA157" location="Se_Empresa_de_Transportes_Aquaviário" tooltip="Ver orientação relacionada ao item" display="Se Empresa de Transporte Aquaviário:"/>
    <hyperlink ref="O167:AA167" location="'Orientações Não Rural PJ Proj'!D528:D533" tooltip="Ver orientação relacionada ao ítem" display="Licença da Embarcação;"/>
    <hyperlink ref="O159:AA159" location="'Orientações Não Rural PJ Proj'!D510:D515" tooltip="Ver orientação relacionada ao ítem" display="Autorização da ANTAQ;"/>
    <hyperlink ref="O149:AA149" location="Se_indústria_Alimentícia" tooltip="Ver orientação relacionada ao item" display="Se Indústria Alimentícia:"/>
    <hyperlink ref="O221:AA221" location="Se_Empresa_de_Transporte_Terrestre" tooltip="Ver orientação relacionada ao item" display="Se Empresa de Transporte Terrestre:"/>
    <hyperlink ref="O33:AA33" location="Orientações!C268:C272" tooltip="Ver orientação relacionada ao ítem" display="Se oferecido Garantias pré-existentes:"/>
    <hyperlink ref="O57:AA57" location="Certidão_Negativa_de_Débitos_Trabalhistas___TST" tooltip="Ver orientação relacionada ao ítem" display="Certidão_Negativa_de_Débitos_Trabalhistas___TST"/>
    <hyperlink ref="O63:AA63" location="Instrumentos_contratuais_dos_financiamentos_em_andamento_em_outras_instituições_financeiras" tooltip="Ver orientação relacionada ao item" display="Instrumentos_contratuais_dos_financiamentos_em_andamento_em_outras_instituições_financeiras"/>
    <hyperlink ref="O65:AA65" location="Extratos_dos_financiamentos_em_andamento_em_outras_instituições_financeiras" tooltip="Ver orientação relacionada ao item" display="Extratos dos financiamentos em andamento em outras instituições financeiras, ou planilha com detalhamento;"/>
    <hyperlink ref="O69:AA69" location="Certificado_de_Empreendimento_Implantado" tooltip="Ver orientação relacionada ao item" display="Certificado de Empreendimento Implantado; (se houver operação contratada pela SUDAM/SUFRAMA)"/>
    <hyperlink ref="O131:AA131" location="Contrato_firmado_com_os_fornecedores" tooltip="Ver orientação relacionada ao item" display="Contrato firmado com os fornecedores; (se utilizar madeira explorada por terceiros)"/>
    <hyperlink ref="O133:AA133" location="'Orientações Não Rural PJ Proj'!D414:D419" tooltip="Ver orientação relacionada ao ítem" display="Autorização de exploração florestal - AUTEF;"/>
    <hyperlink ref="O135:AA135" location="Declaração_de_Origem_Florestal___DOF" tooltip="Ver orientação relacionada ao item" display="Declaração de Origem Florestal - DOF; (se também realizar transporte de madeira)"/>
    <hyperlink ref="O153:AA153" location="Autorização_do_MAPA_ANVISA_ou_entidades_delegadas_conveniadas" tooltip="Ver orientação relacionada ao item" display="Autorização_do_MAPA_ANVISA_ou_entidades_delegadas_conveniadas"/>
    <hyperlink ref="O161:AA161" location="Autorização_Ambiental_de_Transporte_Interestadual_de_Produtos_Perigosos" tooltip="Ver orientação relacionada ao item" display="Autorização_Ambiental_de_Transporte_Interestadual_de_Produtos_Perigosos"/>
    <hyperlink ref="O169:AA169" location="'Orientações Não Rural PJ Proj'!D540:D545" tooltip="Ver orientação relacionada ao ítem" display="Título de propriedade registrado no TM (se AB maior que 100), ou na Capitania dos Portos (se AB maior que 100);"/>
    <hyperlink ref="O171:AA171" location="'Orientações Não Rural PJ Proj'!D546:D551" tooltip="Ver orientação relacionada ao ítem" display="Certidão negativa de ônus sobre a embarcação - fornecida pelo Tribunal Marítimo (TM);"/>
    <hyperlink ref="O173:AA173" location="Certificado_de_Segurança_da_Navegação__CSN" tooltip="Ver orientação relacionada ao item" display="Certificado de Segurança da Navegação (CSN);"/>
    <hyperlink ref="O175:AA175" location="'Orientações Não Rural PJ Proj'!D564:D569" tooltip="Ver orientação relacionada ao ítem" display="Termo de Vistoria em Seco e Termo de Vistoria Flutuando;"/>
    <hyperlink ref="O177:AA177" location="'Orientações Não Rural PJ Proj'!D570:D575" tooltip="Ver orientação relacionada ao ítem" display="Seguro Obrigatório da embarcação;"/>
    <hyperlink ref="O179:AA179" location="Certificado_de_Classificação_de_Casco_e_Estrutura" tooltip="Ver orientação relacionada ao item" display="Certificado de Classificação de Casco e Estrutura;  (se Arqueação Bruta = ou &gt; 500)"/>
    <hyperlink ref="O181:AA181" location="Certificado_de_Classificação_de_Máquinas__Equipamentos_e_Eletricidade" tooltip="Ver orientação relacionada ao item" display="Certificado de Classificação de Máquinas, Equipamentos e Eletricidade; (se Arqueação Bruta = ou &gt; 500)"/>
    <hyperlink ref="O183:AA183" location="Autorização_para_transporte_de_carga_na_navegação_interior_de_percurso_longitudinal_interestadual_internacional" tooltip="Ver orientação relacionada ao item" display="Autorização para transporte de carga na navegação interior de percurso longitudinal; interestadual/internacional; (da ANTAQ)"/>
    <hyperlink ref="O189:AA189" location="Se_embarcação_a_ser_construídas" tooltip="Ver orientação relacionada ao item" display="Se_embarcação_a_ser_construídas"/>
    <hyperlink ref="O191:AA191" location="'Orientações Não Rural PJ Proj'!D606:D611" tooltip="Ver orientação relacionada ao ítem" display="Projeto e ART para embarcação a ser construída e objeto do financiamento;"/>
    <hyperlink ref="O193:AA193" location="'Orientações Não Rural PJ Proj'!D612:D617" tooltip="Ver orientação relacionada ao ítem" display="Proposta/orçamento de construção por estaleiro;"/>
    <hyperlink ref="O195:AA195" location="'Orientações Não Rural PJ Proj'!D618:D623" tooltip="Ver orientação relacionada ao ítem" display="Contrato ou proposta de construção da embarcação entre armador e a empresa construtora/estaleiro;"/>
    <hyperlink ref="O197:AA197" location="'Orientações Não Rural PJ Proj'!D624:D629" tooltip="Ver orientação relacionada ao ítem" display="Licença de Operação vigente da empresa construtora/estaleiro;"/>
    <hyperlink ref="O199:AA199" location="'Orientações Não Rural PJ Proj'!D630:D635" tooltip="Ver orientação relacionada ao ítem" display="Registro da empresa estaleiro/construtor no CREA;"/>
    <hyperlink ref="O201:AA201" location="'Orientações Não Rural PJ Proj'!D636:D641" tooltip="Ver orientação relacionada ao ítem" display="Comprovante de quitação de anuidade junto ao CREA;"/>
    <hyperlink ref="O203:AA203" location="'Orientações Não Rural PJ Proj'!D642:D647" tooltip="Ver orientação relacionada ao ítem" display="Contrato entre estaleiro construtor e empresa Certificadora das Normas da Autoridade Marítima;"/>
    <hyperlink ref="O205:AA205" location="'Orientações Não Rural PJ Proj'!D648:D653" tooltip="Ver orientação relacionada ao ítem" display="Proposta de seguro de construção a ser contratado pelo estaleiro construtor;"/>
    <hyperlink ref="O207:AA207" location="Se_Aeronave" tooltip="Ver orientação relacionada ao item" display="Se Aeronave: "/>
    <hyperlink ref="O209:AA209" location="Proposta_de_Seguro_do_Casco_da_Aeronave" tooltip="Ver orientação relacionada ao ítem" display="Proposta de seguro do casco da Aeronave;"/>
    <hyperlink ref="O211:AA211" location="'Orientações Não Rural PJ Proj'!D666:D671" tooltip="Ver orientação relacionada ao ítem" display="Título de propriedade - inscrito no Registro Aeronáutico Brasileiro;"/>
    <hyperlink ref="O213:AA213" location="'Orientações Não Rural PJ Proj'!D672:D677" tooltip="Ver orientação relacionada ao ítem" display="Certificado de matrícula e nacionalidade -  expedido ANAC;"/>
    <hyperlink ref="O215:AA215" location="'Orientações Não Rural PJ Proj'!D678:D683" tooltip="Ver orientação relacionada ao ítem" display="Certificado de aeronavegabilidade -  expedido pela ANAC;"/>
    <hyperlink ref="O217:AA217" location="'Orientações Não Rural PJ Proj'!D684:D689" tooltip="Ver orientação relacionada ao ítem" display="Certificado de autorização de vôo -  expedido pela ANAC;"/>
    <hyperlink ref="O223:AA223" location="'Orientações Não Rural PJ Proj'!D714:D719" tooltip="Ver orientação relacionada ao ítem" display="Autorização da ANTT;"/>
    <hyperlink ref="O225:AA225" location="Autorização_Ambiental_de_Transporte_Interestadual_de_Produtos_Perigosos" tooltip="Ver orientação relacionada ao item" display="Autorização_Ambiental_de_Transporte_Interestadual_de_Produtos_Perigosos"/>
    <hyperlink ref="O231:AA231" location="Aprovação_do_projeto_arquitetônico_pela_ANVISA" tooltip="Ver orientação relacionada ao item" display="Aprovação do projeto arquitetônico pela ANVISA; (se empresa da área de saúde em implantação)"/>
    <hyperlink ref="O233:AA233" location="Certificado_de_cadastramento_do_Ministério_do_Turismo" tooltip="Ver orientação relacionada ao item" display="Certificado_de_cadastramento_do_Ministério_do_Turismo"/>
    <hyperlink ref="O165:AA165" location="Se_embarcação_existente" tooltip="Ver orientação relacionada ao item" display="Se Embarcação Existente:"/>
    <hyperlink ref="O87:AA87" location="Ato_constitutivo_da_sociedade_e_suas_modificações_das_coligadas" tooltip="Ver orientação relacionada ao item" display="Ato constitutivo da sociedade e suas modificações das coligadas;"/>
    <hyperlink ref="O79:AA79" location="Certidão_que_comprove_a_propriedade_ou_Contrato_de_arrendamento_aluguel___do_imóvel_onde_opera" tooltip="Ver orientação relacionada ao ítem" display="Certidão que comprove a propriedade ou Contrato de arrendamento/aluguel - do imóvel onde opera."/>
    <hyperlink ref="O37:AA37" location="Ato_constitutivo_da_sociedade_e_suas_modificações_ou_Requerimento_de_Empresário_Individual" tooltip="Ver orientação relacionada ao ítem" display="Ato constitutivo da sociedade e suas modificações ou Requerimento de Empresário Individual;"/>
    <hyperlink ref="O83:AA83" location="Das_Coligadas" tooltip="Ver orientação relacionada ao item" display="Das Coligadas:"/>
    <hyperlink ref="O77:AA77" location="Declaração_quanto_a_regularidade_para_com_a_CVM_e_Fundos_Constitucionais_de_Financ._Invest." tooltip="Ver orientação relacionada ao item" display="Declaração quanto a regularidade para com a CVM e Fundos Constitucionais de Financ./Invest.;"/>
    <hyperlink ref="O71:AA71" location="Declaração_de_Regularidade_da_Situação_junto_à_SUDAM" tooltip="Ver orientação relacionada ao item" display="Declaração_de_Regularidade_da_Situação_junto_à_SUDAM"/>
    <hyperlink ref="O73:AA73" location="Declaração_quanto_a_regularidade_para_com_a_CVM_e_Fundos_Constitucionais_de_Financ._Invest." tooltip="Ver orientação relacionada ao item" display="Declaração_quanto_a_regularidade_para_com_a_CVM_e_Fundos_Constitucionais_de_Financ._Invest."/>
    <hyperlink ref="O75:AA75" location="Declaração_do_BNDES" tooltip="Ver orientação relacionada ao item" display="Declaração do BNDES;"/>
    <hyperlink ref="O229:AA229" location="Autorização_da_ANVISA_ou_entidades_delegada_conveniada" tooltip="Ver orientação relacionada ao item" display="Autorização da ANVISA ou entidades delegada/conveniada; (se empresa da área de saúde já implantada)"/>
    <hyperlink ref="O67:AA67" location="Comprovante_de_benefícios_fiscais" tooltip="Ver orientação relacionada ao item" display="Comprovante de benefícios fiscais;"/>
    <hyperlink ref="O249:T249" location="Se_Imóvel_Objeto_de_Garantia" tooltip="Ver orientação relacionada ao item" display="Se Imóvel Objeto de Garantia:"/>
    <hyperlink ref="O33:AC33" location="Da_Proponente" tooltip="Ver orientação relacionada ao item" display="Da Proponente:"/>
    <hyperlink ref="O89:AC89" location="Dos_sócios_avalistas_dirigentes" tooltip="Ver orientação relacionada ao item" display="Dos Sócios/avalistas/dirigentes:"/>
    <hyperlink ref="O55:AA55" location="Comprovante_de_pagamento_da_Taxa_de_Controle_e_Fiscalização_Ambiental_TCFA___IBAMA" tooltip="Ver orientação relacionada ao item" display="Comprovante de pagamento da Taxa de Controle e Fiscalização Ambiental-TCFA - IBAMA;"/>
    <hyperlink ref="O247:AA247" location="Certidão_de_inexistência_de_ônus_sobre_o_imóvel__se_bens_fixados_oferecidos_em_garantia_e_dele_removíveis" tooltip="Ver orientação relacionada ao item" display="Certidão_de_inexistência_de_ônus_sobre_o_imóvel__se_bens_fixados_oferecidos_em_garantia_e_dele_removíveis"/>
    <hyperlink ref="O19:AC19" location="Do_Projeto" display="Do Projeto:"/>
    <hyperlink ref="O219:AA219" location="Certidão_negativa_de_ônus_sobre_a_aeronave" tooltip="Ver orientação relacionada ao ítem" display="Certidão negativa de ônus sobre a aeronave;"/>
    <hyperlink ref="O91:AA91" location="Instrumento_de_mandato_procurações" tooltip="Ver orientação relacionada ao item" display="Instrumento de mandato/procurações; (quando proponente/sócios/avalistas forem representados)"/>
    <hyperlink ref="O21:AA21" location="Projeto_Econômico_e_Plano_de_Aplicação_Orçamento_detalhado" tooltip="Ver orientação relacionada ao item" display="Projeto Econômico e Plano de Aplicação/Orçamento detalhado; (impresso e eletrônico grav. em CD ROM)"/>
    <hyperlink ref="O19:AA19" location="Do_Projeto" tooltip="Ver orientação relacionada ao item" display="Do Projeto:"/>
    <hyperlink ref="O49:AA49" location="Formulário_de_Informações_Sócio_Ambiental___FISA_ou_Questionário_Sócio_Ambiental___QSA" tooltip="Ver orientação relacionada ao item" display="Formulário de Informações Socioambiental - FISA ou Questionário Socioambiental - QSA;"/>
    <hyperlink ref="O99:AA99" location="Declaração_dos_sócios_administradores_quanto_a_não_se_encontrar_na_condição_de_Servidor_Públ._Federal" tooltip="Ver orientação relacionada ao item" display="Declaração_dos_sócios_administradores_quanto_a_não_se_encontrar_na_condição_de_Servidor_Públ._Federal"/>
    <hyperlink ref="O61:AA61" location="Cadastro_Nacional_de_Empresas_Inidôneas_e_Suspensas__CEIS" tooltip="Ver orientação relacionada ao item" display="Cadastro Nacional de Empresas Inidôneas e Suspensas (CEIS);"/>
    <hyperlink ref="O51:AA51" location="Certidão_Negativa_de_Embargo_de_área_para_uso_econômico___IBAMA" tooltip="Ver orientação relacionada ao item" display="Certidão Negativa de Embargo de área para uso econômico - IBAMA; (se Imóvel Rural)"/>
    <hyperlink ref="O163:AA163" location="Autorização_Ambiental_de_Transporte_Interestadual_de_Produtos_Perigosos3" tooltip="Ver orientação relacionada ao item" display="Autorização Ambiental de Transporte Interestadual de Produtos Perigosos  - expedida pelo IBAMA;"/>
    <hyperlink ref="O27:AA27" location="Limite_de_Participação_do_Banco_no_financiamento___Planilha_Percentual_de_Participação" tooltip="Ver orientação relacionada ao item" display="Limite de Participação do Banco no financiamento - Planilha Percentual de Participação;"/>
    <hyperlink ref="O111:AA111" location="'Orientações Não Rural PJ Proj'!D372:D377" tooltip="Ver orientação relacionada ao ítem" display="Título translativo de propriedade ou Escritura Pública;"/>
    <hyperlink ref="O113:AA113" location="'Orientações Não Rural PJ Proj'!D384:D389" tooltip="Ver orientação relacionada ao ítem" display="Instrumento de promessa de compra e venda do imóvel objeto do crédito com cláusula de irrevogabilidade;"/>
    <hyperlink ref="O109:AA109" location="Shopping_Center" tooltip="Ver orientação relacionada ao item" display="Shopping_Center"/>
    <hyperlink ref="O119:AA119" location="'Orientações Não Rural PJ Proj'!D384:D389" tooltip="Ver orientação relacionada ao ítem" display="Instrumento de promessa de compra e venda do imóvel objeto do crédito com cláusula de irrevogabilidade;"/>
    <hyperlink ref="O121:AA121" location="'Orientações Não Rural PJ Proj'!D384:D389" tooltip="Ver orientação relacionada ao ítem" display="Instrumento de promessa de compra e venda do imóvel objeto do crédito com cláusula de irrevogabilidade;"/>
    <hyperlink ref="O123:AA123" location="'Orientações Não Rural PJ Proj'!D384:D389" tooltip="Ver orientação relacionada ao ítem" display="Instrumento de promessa de compra e venda do imóvel objeto do crédito com cláusula de irrevogabilidade;"/>
    <hyperlink ref="O127:AA127" location="'Orientações Não Rural PJ Proj'!D384:D389" tooltip="Ver orientação relacionada ao ítem" display="Instrumento de promessa de compra e venda do imóvel objeto do crédito com cláusula de irrevogabilidade;"/>
    <hyperlink ref="O115:AA115" location="'Orientações Não Rural PJ Proj'!D384:D389" tooltip="Ver orientação relacionada ao ítem" display="Instrumento de promessa de compra e venda do imóvel objeto do crédito com cláusula de irrevogabilidade;"/>
    <hyperlink ref="O117:AA117" location="'Orientações Não Rural PJ Proj'!D384:D389" tooltip="Ver orientação relacionada ao ítem" display="Instrumento de promessa de compra e venda do imóvel objeto do crédito com cláusula de irrevogabilidade;"/>
    <hyperlink ref="O125:AA125" location="'Orientações Não Rural PJ Proj'!D384:D389" tooltip="Ver orientação relacionada ao ítem" display="Instrumento de promessa de compra e venda do imóvel objeto do crédito com cláusula de irrevogabilidade;"/>
    <hyperlink ref="O25:AA25" location="'Orientações Não Rural PJ Proj'!D24:D29" tooltip="Ver orientação relacionada ao ítem" display="Contrato de prestação de serviços entre proponente e assistência técnica/projetista;"/>
    <hyperlink ref="O39:AA39" location="'Orientações Não Rural PJ Proj'!D42:D47" tooltip="Ver orientação relacionada ao ítem" display="Levantamentos extra-contábeis ou Balanço do último exercício e Balancete com DRE;"/>
    <hyperlink ref="O41:AA41" location="Ato_constitutivo_da_sociedade_e_suas_modificações_ou_Requerimento_de_Empresário_Individual" tooltip="Ver orientação relacionada ao ítem" display="Ato constitutivo da sociedade e suas modificações ou Requerimento de Empresário Individual;"/>
    <hyperlink ref="O43:AA43" location="Ata_da_Assembléia_que_elegeu_a_atual_diretoria_e_conselho_de_administração___Em_caso_de_S.A." tooltip="Ver orientação relacionada ao item" display="Ata da Assembléia que elegeu a atual diretoria e conselho de administração - Em caso de S.A.; "/>
    <hyperlink ref="O314:AA314" location="Se_proposta_de_financiamento_contemplar_edificação" tooltip="Ver orientação relacionada ao item" display="Se proposta de financiamento contemplar edificação:"/>
    <hyperlink ref="O336:AA336" location="Projetos_arquitetônico_das_construções_civis_a_realizar" tooltip="Ver orientação relacionada ao item" display="Projetos Arquitetônicos;"/>
    <hyperlink ref="O334:AA334" location="'Orientações Não Rural PJ Proj'!D318:D323" tooltip="Ver orientação relacionada ao ítem" display="Planta de Localização/Situação;"/>
    <hyperlink ref="O338:AA338" location="Projeto_da_Fundação" tooltip="Ver orientação relacionada ao item" display="Projeto da Fundação;"/>
    <hyperlink ref="O340:AA340" location="Projeto_Estrutural" tooltip="Ver orientação relacionada ao item" display="Projeto Estrutural;"/>
    <hyperlink ref="O342:AA342" location="Projeto_Hidrossanitário" tooltip="Ver orientação relacionada ao item" display="Projeto Hidrossanitário;"/>
    <hyperlink ref="O344:AA344" location="Projeto_Elétrico" tooltip="Ver orientação relacionada ao item" display="Projeto Elétrico;"/>
    <hyperlink ref="O346:AA346" location="Projeto_Combate_a_Incêndio" tooltip="Ver orientação relacionada ao item" display="Projeto de Combate a Incêndio;"/>
    <hyperlink ref="O328:AA328" location="'Orientações Não Rural PJ Proj'!D288:D293" tooltip="Ver orientação relacionada ao ítem" display="ART dos projetos de edificação;"/>
    <hyperlink ref="O322:AA322" location="'Orientações Não Rural PJ Proj'!D270:D275" tooltip="Ver orientação relacionada ao ítem" display="Memorial descritivo;"/>
    <hyperlink ref="O324:AA324" location="'Orientações Não Rural PJ Proj'!D276:D281" tooltip="Ver orientação relacionada ao ítem" display="Cronograma físico-financeiro;"/>
    <hyperlink ref="O320:AA320" location="'Orientações Não Rural PJ Proj'!D264:D269" tooltip="Ver orientação relacionada ao ítem" display="Orçamento detalhado; (impresso e em formato digital editável)"/>
    <hyperlink ref="O316:AA316" location="'Orientações Não Rural PJ Proj'!D300:D305" tooltip="Ver orientação relacionada ao ítem" display="Alvará de Construção; "/>
    <hyperlink ref="O330:AA330" location="ART_RRT_da_Execução_da_Obra" tooltip="Ver orientação relacionada ao item" display="ART_RRT_da_Execução_da_Obra"/>
    <hyperlink ref="O348:AA348" location="Projeto_do_Sistema_de_Proteção_Contra_Descargas_Atmosféricas" tooltip="Ver orientação relacionada ao item" display="Projeto do Sistema de Proteção Contra Descargas Atmosféricas."/>
    <hyperlink ref="O326:AA326" location="'Orientações Não Rural PJ Proj'!D282:D287" tooltip="Ver orientação relacionada ao ítem" display="ART do Orçamento, Memorial Descritivo e Cronograma físico-financeiro;"/>
    <hyperlink ref="O332:AA332" location="'Orientações Não Rural PJ Proj'!D312:D317" tooltip="Ver orientação relacionada ao ítem" display="Layout das construções civis;"/>
    <hyperlink ref="O318:AA318" location="Cadastro_Específico_do_INSS__CEI___referente_à_matrícula_da_obra" tooltip="Ver orientação relacionada ao item" display="Cadastro Específico do INSS (CEI), referente à matrícula da obra; (se obras em andamento)"/>
    <hyperlink ref="O237:AA237" location="'Orientações Não Rural PJ Proj'!D372:D377" tooltip="Ver orientação relacionada ao ítem" display="Título translativo de propriedade ou Escritura Pública;"/>
    <hyperlink ref="O239:AA239" location="'Orientações Não Rural PJ Proj'!D384:D389" tooltip="Ver orientação relacionada ao ítem" display="Instrumento de promessa de compra e venda do imóvel objeto do crédito com cláusula de irrevogabilidade;"/>
    <hyperlink ref="O235:AA235" location="Se_financiamento_para_aquisição_de_imóvel" tooltip="Ver orientação relacionada ao item" display="Se financiamento para aquisição de imóvel:"/>
    <hyperlink ref="O29:AC29" location="Quadro_de_endividamento_com_base_no_SCR" tooltip="Ver orientação relacionada ao item" display="Quadro_de_endividamento_com_base_no_SCR"/>
    <hyperlink ref="O31:AC31" location="Contrato_de_prestação_de_serviços_entre_proponente_e_projetista" tooltip="Ver orientação relacionada ao item" display="Contrato_de_prestação_de_serviços_entre_proponente_e_projetista"/>
    <hyperlink ref="O35:AC35" location="Levantamentos_extra_contábeis_ou_Balanço_com_DRE_do_último_exercício_e_Balancete" tooltip="Ver orientação relacionada ao item" display="Levantamentos_extra_contábeis_ou_Balanço_com_DRE_do_último_exercício_e_Balancete"/>
    <hyperlink ref="O39:AC39" location="Balanço_com_DRE_do_último_exercício_e_Balancete" tooltip="Ver orientação relacionada ao item" display="Balanço_com_DRE_do_último_exercício_e_Balancete"/>
    <hyperlink ref="O41:AC41" location="Estatuto_Contrato_Social__com_respectivas_alterações" tooltip="Ver orientação relacionada ao item" display="Estatuto_Contrato_Social__com_respectivas_alterações"/>
    <hyperlink ref="O53:AC53" location="Licença_Prévia_ou_Licença_de_Instalação_ou_Licença_de_Operação_ou_dispensa_de_licenciamento" tooltip="Ver orientação relacionada ao item" display="Licença_Prévia_ou_Licença_de_Instalação_ou_Licença_de_Operação_ou_dispensa_de_licenciamento"/>
    <hyperlink ref="O61:AC61" location="Consulta_ao_Cadastro_Nacional_de_Empresas_Inidôneas_e_Suspensas__CEIS" tooltip="Ver orientação relacionada ao item" display="Consulta_ao_Cadastro_Nacional_de_Empresas_Inidôneas_e_Suspensas__CEIS"/>
    <hyperlink ref="O85:AC85" location="Levantamentos_extra_contábeis_ou_Balanço_com_DRE_do_último_exercício_e_Balancete2" tooltip="Ver orientação relacionada ao item" display="Levantamentos_extra_contábeis_ou_Balanço_com_DRE_do_último_exercício_e_Balancete2"/>
    <hyperlink ref="O93:AC93" location="Relação_Patrimonial_com_estimativa_de_valores_e_ou_IRPF" tooltip="Ver orientação relacionada ao item" display="Relação_Patrimonial_com_estimativa_de_valores_e_ou_IRPF"/>
    <hyperlink ref="O95:AC95" location="Formação_e_experiência_profissional_dos_sócios_dirigentes" tooltip="Ver orientação relacionada ao item" display="Formação_e_experiência_profissional_dos_sócios_dirigentes"/>
    <hyperlink ref="O97:AC97" location="Curriculum_Vitae___dos_dirigentes" tooltip="Ver orientação relacionada ao item" display="Curriculum_Vitae___dos_dirigentes"/>
    <hyperlink ref="O23:AC23" location="Cronograma_físico_financeiro_do_empreendimento" tooltip="Ver orientação relacionada ao ítem" display="Cronograma_físico_financeiro_do_empreendimento"/>
    <hyperlink ref="O25:AC25" location="Estudo_de_Mercado" tooltip="Ver orientação relacionada ao ítem" display="Estudo_de_Mercado"/>
    <hyperlink ref="O49:AC49" location="Formulário_de_Informações_Socioambiental___FISA_ou_Questionário_Socioambiental___QSA" tooltip="Ver orientação relacionada ao item" display="Formulário_de_Informações_Socioambiental___FISA_ou_Questionário_Socioambiental___QSA"/>
    <hyperlink ref="O87:AC87" location="Ato_constitutivo_da_sociedade_e_suas_modificações2" tooltip="Ver orientação relacionada ao item" display="Ato_constitutivo_da_sociedade_e_suas_modificações2"/>
    <hyperlink ref="O316:AC316" location="Alvará_de_Construção___da_edificação_objeto_do_pleito" tooltip="Ver orientação relacionada ao ítem" display="Alvará_de_Construção___da_edificação_objeto_do_pleito"/>
    <hyperlink ref="O320:AC320" location="Orçamento_detalhado___das_construções_civis_a_realizar" tooltip="Ver orientação relacionada ao ítem" display="Orçamento_detalhado___das_construções_civis_a_realizar"/>
    <hyperlink ref="O322:AC322" location="Memorial_descritivo___das_construções_civis_a_realizar" tooltip="Ver orientação relacionada ao ítem" display="Memorial_descritivo___das_construções_civis_a_realizar"/>
    <hyperlink ref="O324:AC324" location="Cronograma_físico_financeiro___das_construções_civis_a_realizar" tooltip="Ver orientação relacionada ao ítem" display="Cronograma_físico_financeiro___das_construções_civis_a_realizar"/>
    <hyperlink ref="O326:AC326" location="ART_RRT_do_Orçamento__Memorial_Descritivo_e_Cronograma_físico_financeiro" tooltip="Ver orientação relacionada ao ítem" display="ART_RRT_do_Orçamento__Memorial_Descritivo_e_Cronograma_físico_financeiro"/>
    <hyperlink ref="O328:AC328" location="ART_RRT_dos_projetos_de_edificação" tooltip="Ver orientação relacionada ao ítem" display="ART_RRT_dos_projetos_de_edificação"/>
    <hyperlink ref="O332:AC332" location="Layout_das_construções_civis" tooltip="Ver orientação relacionada ao ítem" display="Layout_das_construções_civis"/>
    <hyperlink ref="O334:AC334" location="Planta_de_localização_situação" tooltip="Ver orientação relacionada ao ítem" display="Planta_de_localização_situação"/>
    <hyperlink ref="O346:AC346" location="Projeto_de_Prevenção_e_Combate_a_Incêndio_ou_Comprovação_da_dispensa" tooltip="Ver orientação relacionada ao item" display="Projeto_de_Prevenção_e_Combate_a_Incêndio_ou_Comprovação_da_dispensa"/>
    <hyperlink ref="O348:AC348" location="Projeto_do_Sistema_de_Proteção_Contra_Descargas_Atmosféricas_ou_Comprovação_da_dispensa" tooltip="Ver orientação relacionada ao item" display="Projeto_do_Sistema_de_Proteção_Contra_Descargas_Atmosféricas_ou_Comprovação_da_dispensa"/>
    <hyperlink ref="O103:AC103" location="Propostas_de_fornecimento" tooltip="Ver orientação relacionada ao item" display="Propostas_de_fornecimento"/>
    <hyperlink ref="O105:AC105" location="Catálogos_Folder_s" tooltip="Ver orientação relacionada ao item" display="Catálogos_Folder_s"/>
    <hyperlink ref="O111:AC111" location="Inscrição_na_Junta_Comercial_que_comprove_a_atividade_de_Shopping_Center" tooltip="Ver orientação relacionada ao ítem" display="Inscrição_na_Junta_Comercial_que_comprove_a_atividade_de_Shopping_Center"/>
    <hyperlink ref="O113:AC113" location="Minuta_do_Regimento_Interno" tooltip="Ver orientação relacionada ao ítem" display="Minuta_do_Regimento_Interno"/>
    <hyperlink ref="O115:AC115" location="Minuta_do_Estatuto_da_Associação_de_Lojistas" tooltip="Ver orientação relacionada ao ítem" display="Minuta_do_Estatuto_da_Associação_de_Lojistas"/>
    <hyperlink ref="O117:AC117" location="Minuta_do_Contrato_de_Locação_e_Normas_Complementares" tooltip="Ver orientação relacionada ao ítem" display="Minuta_do_Contrato_de_Locação_e_Normas_Complementares"/>
    <hyperlink ref="O119:AC119" location="Estudo_de_Impacto_de_Vizinhança" tooltip="Ver orientação relacionada ao ítem" display="Estudo_de_Impacto_de_Vizinhança"/>
    <hyperlink ref="O121:AC121" location="Estudo_de_Impacto_de_Trânsito" tooltip="Ver orientação relacionada ao ítem" display="Estudo_de_Impacto_de_Trânsito"/>
    <hyperlink ref="O123:AC123" location="Estação_de_Tratamento_de_Esgoto" tooltip="Ver orientação relacionada ao ítem" display="Estação_de_Tratamento_de_Esgoto"/>
    <hyperlink ref="O125:AC125" location="Especificações_quanto_a_administração_do_Shopping__própria__ou_Contrato_com_empresa_administradora" tooltip="Ver orientação relacionada ao ítem" display="Especificações_quanto_a_administração_do_Shopping__própria__ou_Contrato_com_empresa_administradora"/>
    <hyperlink ref="O127:AC127" location="Minuta_dos_Contratos_de_Lojas_Âncoras_com_o_Shopping" tooltip="Ver orientação relacionada ao ítem" display="Minuta_dos_Contratos_de_Lojas_Âncoras_com_o_Shopping"/>
    <hyperlink ref="O133:AC133" location="Autorização_de_exploração_florestal___AUTEF" tooltip="Ver orientação relacionada ao ítem" display="Autorização_de_exploração_florestal___AUTEF"/>
    <hyperlink ref="O139:AC139" location="Portaria_de_Lavra__com_prova_de_respectiva_transcrição_do_DNPM" tooltip="Ver orientação relacionada ao ítem" display="Portaria_de_Lavra__com_prova_de_respectiva_transcrição_do_DNPM"/>
    <hyperlink ref="O141:AC141" location="Projeto_aprovado_pelo_DNPM" tooltip="Ver orientação relacionada ao ítem" display="Projeto_aprovado_pelo_DNPM"/>
    <hyperlink ref="O143:AC143" location="Licença_expedida_pela_autoridade_administrativa_do_município_de_localização_da_jazida" tooltip="Ver orientação relacionada ao ítem" display="Licença_expedida_pela_autoridade_administrativa_do_município_de_localização_da_jazida"/>
    <hyperlink ref="O145:AC145" location="Estudos_geológicos_sobre_a_jazida" tooltip="Ver orientação relacionada ao ítem" display="Estudos_geológicos_sobre_a_jazida"/>
    <hyperlink ref="O147:AC147" location="Testes_laboratoriais_sobre_o_mineral" tooltip="Ver orientação relacionada ao ítem" display="Testes_laboratoriais_sobre_o_mineral"/>
    <hyperlink ref="O159:AC159" location="Autorização_da_ANTAQ_ou_órgão_regulador_estadual" tooltip="Ver orientação relacionada ao ítem" display="Autorização_da_ANTAQ_ou_órgão_regulador_estadual"/>
    <hyperlink ref="O163:AC163" location="Certificado_de_Armador_emitido_pelo_Tribunal_Marítimo" tooltip="Ver orientação relacionada ao item" display="Certificado_de_Armador_emitido_pelo_Tribunal_Marítimo"/>
    <hyperlink ref="O167:AC167" location="Licença_da_Embarcação" tooltip="Ver orientação relacionada ao ítem" display="Licença_da_Embarcação"/>
    <hyperlink ref="O171:AC171" location="Certidão_negativa_de_ônus_sobre_a_embarcação" tooltip="Ver orientação relacionada ao ítem" display="Certidão_negativa_de_ônus_sobre_a_embarcação"/>
    <hyperlink ref="O169:AC169" location="Título_de_propriedade_registrado_no_TM__se_AB_maior_que_100___ou_na_Capitania_dos_Portos" tooltip="Ver orientação relacionada ao ítem" display="Título_de_propriedade_registrado_no_TM__se_AB_maior_que_100___ou_na_Capitania_dos_Portos"/>
    <hyperlink ref="O175:AC175" location="Termo_de_Vistoria_em_Seco_e_Termo_de_Vistoria_Flutuando" tooltip="Ver orientação relacionada ao ítem" display="Termo_de_Vistoria_em_Seco_e_Termo_de_Vistoria_Flutuando"/>
    <hyperlink ref="O177:AC177" location="Proposta_de_seguro_do_casco___patrimonial" tooltip="Ver orientação relacionada ao ítem" display="Proposta_de_seguro_do_casco___patrimonial"/>
    <hyperlink ref="O185:AC185" location="Promessa_de_Compra_e_Venda_da_Embarcação" tooltip="Ver orientação relacionada ao item" display="Promessa_de_Compra_e_Venda_da_Embarcação"/>
    <hyperlink ref="O187:AC187" location="Seguro_obrigatório_da_embarcação" tooltip="Ver orientação relacionada ao item" display="Seguro_obrigatório_da_embarcação"/>
    <hyperlink ref="O191:AC191" location="Projeto__Cronograma_físico_financeiro_e_ART_para_embarcação_a_ser_construída_e_objeto_do_financiamento" tooltip="Ver orientação relacionada ao item" display="Projeto__Cronograma_físico_financeiro_e_ART_para_embarcação_a_ser_construída_e_objeto_do_financiamento"/>
    <hyperlink ref="O193:AC193" location="Proposta_orçamento_de_construção_por_estaleiro" tooltip="Ver orientação relacionada ao item" display="Proposta_orçamento_de_construção_por_estaleiro"/>
    <hyperlink ref="O195:AC195" location="Contrato_ou_proposta_de_construção_da_embarcação_entre_armador_e_a_empresa_construtora_estaleiro" tooltip="Ver orientação relacionada ao item" display="Contrato_ou_proposta_de_construção_da_embarcação_entre_armador_e_a_empresa_construtora_estaleiro"/>
    <hyperlink ref="O197:AC197" location="Licença_de_Operação_vigente_da_empresa_construtora_estaleiro" tooltip="Ver orientação relacionada ao item" display="Licença_de_Operação_vigente_da_empresa_construtora_estaleiro"/>
    <hyperlink ref="O199:AC199" location="Registro_da_empresa_estaleiro_construtor_no_CREA" tooltip="Ver orientação relacionada ao item" display="Registro_da_empresa_estaleiro_construtor_no_CREA"/>
    <hyperlink ref="O201:AC201" location="Certidão_de_regularidade_junto_ao_CREA___da_empresa_estaleiro_construtor" tooltip="Ver orientação relacionada ao item" display="Certidão_de_regularidade_junto_ao_CREA___da_empresa_estaleiro_construtor"/>
    <hyperlink ref="O203:AC203" location="Licença_Provisória_de_Construção_de_Embarcação_emitida_pela_empresa_Certificadora" tooltip="Ver orientação relacionada ao item" display="Licença_Provisória_de_Construção_de_Embarcação_emitida_pela_empresa_Certificadora"/>
    <hyperlink ref="O205:AC205" location="Proposta_de_seguro_de_construção_a_ser_contratado_pelo_estaleiro_construtor" tooltip="Ver orientação relacionada ao ítem" display="Proposta_de_seguro_de_construção_a_ser_contratado_pelo_estaleiro_construtor"/>
    <hyperlink ref="O211:AC211" location="Título_de_propriedade___inscrito_no_Registro_Aeronáutico_Brasileiro" tooltip="Ver orientação relacionada ao item" display="Título_de_propriedade___inscrito_no_Registro_Aeronáutico_Brasileiro"/>
    <hyperlink ref="O213:AC213" location="Certificado_de_matrícula_e_nacionalidade" tooltip="Ver orientação relacionada ao item" display="Certificado_de_matrícula_e_nacionalidade"/>
    <hyperlink ref="O215:AC215" location="Certificado_de_aeronavegabilidade___expedido_pela_ANAC" tooltip="Ver orientação relacionada ao item" display="Certificado_de_aeronavegabilidade___expedido_pela_ANAC"/>
    <hyperlink ref="O217:AC217" location="Certificado_de_autorização_de_voo___expedido_pela_ANAC" tooltip="Ver orientação relacionada ao item" display="Certificado_de_autorização_de_voo___expedido_pela_ANAC"/>
    <hyperlink ref="O219:AC219" location="Certidão_negativa_de_ônus_sobre_a_aeronave" tooltip="Ver orientação relacionada ao item" display="Certidão_negativa_de_ônus_sobre_a_aeronave"/>
    <hyperlink ref="O239:AC239" location="Instrumento_de_promessa_de_compra_e_venda_do_imóvel_objeto_do_crédito" tooltip="Ver orientação relacionada ao item" display="Instrumento_de_promessa_de_compra_e_venda_do_imóvel_objeto_do_crédito"/>
    <hyperlink ref="O237:AC237" location="Título_translativo_de_propriedade_ou_Escritura_Pública" tooltip="Ver orientação relacionada ao item" display="Título_translativo_de_propriedade_ou_Escritura_Pública"/>
    <hyperlink ref="O223:AC223" location="Autorização_da_ANTT" tooltip="Ver orientação relacionada ao item" display="Autorização_da_ANTT"/>
    <hyperlink ref="O37:AC37" location="Ato_constitutivo_da_sociedade_e_suas_modificações_ou_Requerimento_de_Empresário_Individual" tooltip="Ver orientação relacionada ao item" display="Ato_constitutivo_da_sociedade_e_suas_modificações_ou_Requerimento_de_Empresário_Individual"/>
    <hyperlink ref="O2" location="Instruções!A1" tooltip="Ir às Instruções" display="Instruções"/>
    <hyperlink ref="AE2:AG2" location="Menu!A1" tooltip="Ir ao Menu" display="Menu"/>
    <hyperlink ref="O251:AA251" location="'Orientações Não Rural PJ Proj'!D192:D197" tooltip="Ver orientação relacionada ao ítem" display="Título translativo de propriedade;"/>
    <hyperlink ref="O253:AA253" location="'Orientações Não Rural PJ Proj'!D198:D203" tooltip="Ver orientação relacionada ao ítem" display="Certidão de Cadeia Dominial ou Vintenária;"/>
    <hyperlink ref="O255:AA255" location="Certidão_de_averbação_das_benfeitorias_existentes" tooltip="Ver orientação relacionada ao item" display="Certidão de averbação das benfeitorias existentes; (se Imóvel Urbano)"/>
    <hyperlink ref="O257:AA257" location="'Orientações Não Rural PJ Proj'!D210:D215" tooltip="Ver orientação relacionada ao ítem" display="Certidão de inexistência de ônus ou certidão de inteiro teor; (se imóvel acima de R$ 400 mil)"/>
    <hyperlink ref="O261:AA261" location="Certidão_de_inexistência_de_ônus_de_Imposto_Predial_e_Territorial_Urbano___IPTU" tooltip="Ver orientação relacionada ao item" display="Certidão de inexistência de ônus de Imposto Predial e Territorial Urbano - IPTU; (se Imóvel Urbano)"/>
    <hyperlink ref="O263:AA263" location="Certificado_de_Cadastro_do_Imóvel_Rural___CCIR" tooltip="Ver orientação relacionada ao item" display="Certificado de Cadastro de Imóvel Rural - CCIR; (se Imóvel Rural)"/>
    <hyperlink ref="O265:AA265" location="Certidão_Negativa_de_Débito_de_ITR" tooltip="Ver orientação relacionada ao item" display="Certidão Negativa de Débito de ITR. (se Imóvel Rural)"/>
    <hyperlink ref="O269:AA269" location="Certidão_Negativa_de_Terra_Indígena___expedida_pela_FUNAI" tooltip="Ver orientação relacionada ao item" display="Certidão Negativa de Terra Indígena - expedida pela FUNAI; (se áreas próximas a reservas indígenas)"/>
    <hyperlink ref="O267:AA267" location="Declaração_de_inexistência_de_embargo_vigentes___se_Imóvel_Rural" tooltip="Ver orientação relacionada ao item" display="Declaração de inexistência de embargo vigentes; (se Imóvel Rural)"/>
    <hyperlink ref="O259:AA259" location="Certidão_de_inexistência_de_ônus_sobre_máquinas__instalações__etc.___expedida_pelo_CRTD" tooltip="Ver orientação relacionada ao item" display="Certidão de inexistência de ônus - Cartório de Títulos e Documentos; "/>
    <hyperlink ref="O251:AC251" location="Título_Translativo_de_Propriedade" tooltip="Ver orientação relacionada ao item" display="Título_Translativo_de_Propriedade"/>
    <hyperlink ref="O253:AC253" location="Certidão_de_Cadeia_Dominial_ou_Vintenária" tooltip="Ver orientação relacionada ao item" display="Certidão_de_Cadeia_Dominial_ou_Vintenária"/>
    <hyperlink ref="O257:AC257" location="Certidão_de_Inexistência_de_Ônus_ou_Certidão_de_Inteiro_Teor" tooltip="Ver orientação relacionada ao item" display="Certidão_de_Inexistência_de_Ônus_ou_Certidão_de_Inteiro_Teor"/>
    <hyperlink ref="O81:AA81" location="Relação_Anual_de_Informações_Sociais___RAIS" tooltip="Ver orientação relacionada ao item" display="Relação_Anual_de_Informações_Sociais___RAIS"/>
  </hyperlinks>
  <printOptions horizontalCentered="1"/>
  <pageMargins left="0.51181102362204722" right="0.31496062992125984" top="0.19685039370078741" bottom="0.39370078740157483" header="0" footer="0"/>
  <pageSetup paperSize="9" scale="82" orientation="portrait" horizontalDpi="360" verticalDpi="360" r:id="rId1"/>
  <headerFooter>
    <oddFooter>&amp;L&amp;D - &amp;T&amp;C________________________________________________________________________________________________________________________&amp;K00+000_&amp;RVersão 2.0.9 - 13/02/2017</oddFooter>
  </headerFooter>
  <rowBreaks count="1" manualBreakCount="1">
    <brk id="296" min="13" max="3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B1:K1182"/>
  <sheetViews>
    <sheetView showGridLines="0" showRowColHeaders="0" topLeftCell="D65" zoomScaleNormal="100" workbookViewId="0">
      <selection activeCell="H69" sqref="H69"/>
    </sheetView>
  </sheetViews>
  <sheetFormatPr defaultColWidth="0" defaultRowHeight="15" zeroHeight="1"/>
  <cols>
    <col min="1" max="3" width="9.140625" style="120" hidden="1" customWidth="1"/>
    <col min="4" max="4" width="9.140625" style="120" customWidth="1"/>
    <col min="5" max="5" width="0.28515625" style="120" customWidth="1"/>
    <col min="6" max="6" width="0.42578125" style="120" customWidth="1"/>
    <col min="7" max="7" width="4.7109375" style="119" customWidth="1"/>
    <col min="8" max="8" width="71.140625" style="195" customWidth="1"/>
    <col min="9" max="9" width="4.7109375" style="120" customWidth="1"/>
    <col min="10" max="10" width="0.28515625" style="120" customWidth="1"/>
    <col min="11" max="11" width="9.140625" style="120" customWidth="1"/>
    <col min="12" max="16384" width="9.140625" style="120" hidden="1"/>
  </cols>
  <sheetData>
    <row r="1" spans="2:11" ht="150">
      <c r="B1" s="193" t="s">
        <v>427</v>
      </c>
      <c r="D1" s="197"/>
      <c r="E1" s="212"/>
      <c r="F1" s="212"/>
      <c r="G1" s="216"/>
      <c r="H1" s="199"/>
      <c r="I1" s="212"/>
      <c r="J1" s="212"/>
      <c r="K1" s="197"/>
    </row>
    <row r="2" spans="2:11" ht="1.5" customHeight="1">
      <c r="D2" s="197"/>
      <c r="E2" s="203"/>
      <c r="F2" s="204"/>
      <c r="G2" s="205"/>
      <c r="H2" s="206"/>
      <c r="I2" s="204"/>
      <c r="J2" s="207"/>
      <c r="K2" s="197"/>
    </row>
    <row r="3" spans="2:11" ht="30">
      <c r="B3" s="193" t="s">
        <v>429</v>
      </c>
      <c r="D3" s="197"/>
      <c r="E3" s="208"/>
      <c r="F3" s="200"/>
      <c r="G3" s="202" t="s">
        <v>102</v>
      </c>
      <c r="H3" s="198"/>
      <c r="I3" s="128"/>
      <c r="J3" s="209"/>
      <c r="K3" s="197"/>
    </row>
    <row r="4" spans="2:11">
      <c r="D4" s="197"/>
      <c r="E4" s="208"/>
      <c r="F4" s="200"/>
      <c r="G4" s="196"/>
      <c r="H4" s="194"/>
      <c r="I4" s="128"/>
      <c r="J4" s="209"/>
      <c r="K4" s="197"/>
    </row>
    <row r="5" spans="2:11" ht="90">
      <c r="D5" s="197"/>
      <c r="E5" s="208"/>
      <c r="F5" s="200"/>
      <c r="G5" s="196"/>
      <c r="H5" s="201" t="s">
        <v>332</v>
      </c>
      <c r="I5" s="128"/>
      <c r="J5" s="209"/>
      <c r="K5" s="197"/>
    </row>
    <row r="6" spans="2:11">
      <c r="D6" s="197"/>
      <c r="E6" s="208"/>
      <c r="F6" s="200"/>
      <c r="G6" s="196"/>
      <c r="H6" s="194"/>
      <c r="I6" s="128"/>
      <c r="J6" s="209"/>
      <c r="K6" s="197"/>
    </row>
    <row r="7" spans="2:11" ht="1.5" customHeight="1">
      <c r="D7" s="197"/>
      <c r="E7" s="210"/>
      <c r="F7" s="213"/>
      <c r="G7" s="214"/>
      <c r="H7" s="215"/>
      <c r="I7" s="213"/>
      <c r="J7" s="211"/>
      <c r="K7" s="197"/>
    </row>
    <row r="8" spans="2:11" ht="345">
      <c r="B8" s="193" t="s">
        <v>428</v>
      </c>
      <c r="D8" s="197"/>
      <c r="E8" s="197"/>
      <c r="F8" s="212"/>
      <c r="G8" s="216"/>
      <c r="H8" s="199"/>
      <c r="I8" s="212"/>
      <c r="J8" s="197"/>
      <c r="K8" s="197"/>
    </row>
    <row r="9" spans="2:11" ht="150">
      <c r="B9" s="193" t="s">
        <v>427</v>
      </c>
      <c r="D9" s="197"/>
      <c r="E9" s="212"/>
      <c r="F9" s="212"/>
      <c r="G9" s="216"/>
      <c r="H9" s="199"/>
      <c r="I9" s="212"/>
      <c r="J9" s="212"/>
      <c r="K9" s="197"/>
    </row>
    <row r="10" spans="2:11" ht="1.5" customHeight="1">
      <c r="D10" s="197"/>
      <c r="E10" s="203"/>
      <c r="F10" s="204"/>
      <c r="G10" s="205"/>
      <c r="H10" s="206"/>
      <c r="I10" s="204"/>
      <c r="J10" s="207"/>
      <c r="K10" s="197"/>
    </row>
    <row r="11" spans="2:11" ht="30">
      <c r="B11" s="193" t="s">
        <v>429</v>
      </c>
      <c r="D11" s="197"/>
      <c r="E11" s="208"/>
      <c r="F11" s="200"/>
      <c r="G11" s="202" t="s">
        <v>193</v>
      </c>
      <c r="H11" s="198"/>
      <c r="I11" s="128"/>
      <c r="J11" s="209"/>
      <c r="K11" s="197"/>
    </row>
    <row r="12" spans="2:11">
      <c r="D12" s="197"/>
      <c r="E12" s="208"/>
      <c r="F12" s="200"/>
      <c r="G12" s="196"/>
      <c r="H12" s="194"/>
      <c r="I12" s="128"/>
      <c r="J12" s="209"/>
      <c r="K12" s="197"/>
    </row>
    <row r="13" spans="2:11" ht="90">
      <c r="D13" s="197"/>
      <c r="E13" s="208"/>
      <c r="F13" s="200"/>
      <c r="G13" s="196"/>
      <c r="H13" s="201" t="s">
        <v>234</v>
      </c>
      <c r="I13" s="128"/>
      <c r="J13" s="209"/>
      <c r="K13" s="197"/>
    </row>
    <row r="14" spans="2:11">
      <c r="D14" s="197"/>
      <c r="E14" s="208"/>
      <c r="F14" s="200"/>
      <c r="G14" s="196"/>
      <c r="H14" s="194"/>
      <c r="I14" s="128"/>
      <c r="J14" s="209"/>
      <c r="K14" s="197"/>
    </row>
    <row r="15" spans="2:11" ht="1.5" customHeight="1">
      <c r="D15" s="197"/>
      <c r="E15" s="210"/>
      <c r="F15" s="213"/>
      <c r="G15" s="214"/>
      <c r="H15" s="215"/>
      <c r="I15" s="213"/>
      <c r="J15" s="211"/>
      <c r="K15" s="197"/>
    </row>
    <row r="16" spans="2:11" ht="345">
      <c r="B16" s="193" t="s">
        <v>428</v>
      </c>
      <c r="D16" s="197"/>
      <c r="E16" s="197"/>
      <c r="F16" s="212"/>
      <c r="G16" s="216"/>
      <c r="H16" s="199"/>
      <c r="I16" s="212"/>
      <c r="J16" s="197"/>
      <c r="K16" s="197"/>
    </row>
    <row r="17" spans="2:11" ht="150">
      <c r="B17" s="193" t="s">
        <v>427</v>
      </c>
      <c r="D17" s="197"/>
      <c r="E17" s="212"/>
      <c r="F17" s="212"/>
      <c r="G17" s="216"/>
      <c r="H17" s="199"/>
      <c r="I17" s="212"/>
      <c r="J17" s="212"/>
      <c r="K17" s="197"/>
    </row>
    <row r="18" spans="2:11" ht="1.5" customHeight="1">
      <c r="D18" s="197"/>
      <c r="E18" s="203"/>
      <c r="F18" s="204"/>
      <c r="G18" s="205"/>
      <c r="H18" s="206"/>
      <c r="I18" s="204"/>
      <c r="J18" s="207"/>
      <c r="K18" s="197"/>
    </row>
    <row r="19" spans="2:11" ht="30">
      <c r="B19" s="193" t="s">
        <v>429</v>
      </c>
      <c r="D19" s="197"/>
      <c r="E19" s="208"/>
      <c r="F19" s="200"/>
      <c r="G19" s="202" t="s">
        <v>60</v>
      </c>
      <c r="H19" s="198"/>
      <c r="I19" s="128"/>
      <c r="J19" s="209"/>
      <c r="K19" s="197"/>
    </row>
    <row r="20" spans="2:11">
      <c r="D20" s="197"/>
      <c r="E20" s="208"/>
      <c r="F20" s="200"/>
      <c r="G20" s="196"/>
      <c r="H20" s="194"/>
      <c r="I20" s="128"/>
      <c r="J20" s="209"/>
      <c r="K20" s="197"/>
    </row>
    <row r="21" spans="2:11" ht="165">
      <c r="D21" s="197"/>
      <c r="E21" s="208"/>
      <c r="F21" s="200"/>
      <c r="G21" s="196"/>
      <c r="H21" s="201" t="s">
        <v>287</v>
      </c>
      <c r="I21" s="128"/>
      <c r="J21" s="209"/>
      <c r="K21" s="197"/>
    </row>
    <row r="22" spans="2:11">
      <c r="D22" s="197"/>
      <c r="E22" s="208"/>
      <c r="F22" s="200"/>
      <c r="G22" s="196"/>
      <c r="H22" s="194"/>
      <c r="I22" s="128"/>
      <c r="J22" s="209"/>
      <c r="K22" s="197"/>
    </row>
    <row r="23" spans="2:11" ht="1.5" customHeight="1">
      <c r="D23" s="197"/>
      <c r="E23" s="210"/>
      <c r="F23" s="213"/>
      <c r="G23" s="214"/>
      <c r="H23" s="215"/>
      <c r="I23" s="213"/>
      <c r="J23" s="211"/>
      <c r="K23" s="197"/>
    </row>
    <row r="24" spans="2:11" ht="345">
      <c r="B24" s="193" t="s">
        <v>428</v>
      </c>
      <c r="D24" s="197"/>
      <c r="E24" s="197"/>
      <c r="F24" s="212"/>
      <c r="G24" s="216"/>
      <c r="H24" s="199"/>
      <c r="I24" s="212"/>
      <c r="J24" s="197"/>
      <c r="K24" s="197"/>
    </row>
    <row r="25" spans="2:11" ht="150">
      <c r="B25" s="193" t="s">
        <v>427</v>
      </c>
      <c r="D25" s="197"/>
      <c r="E25" s="212"/>
      <c r="F25" s="212"/>
      <c r="G25" s="216"/>
      <c r="H25" s="199"/>
      <c r="I25" s="212"/>
      <c r="J25" s="212"/>
      <c r="K25" s="197"/>
    </row>
    <row r="26" spans="2:11" ht="1.5" customHeight="1">
      <c r="D26" s="197"/>
      <c r="E26" s="203"/>
      <c r="F26" s="204"/>
      <c r="G26" s="205"/>
      <c r="H26" s="206"/>
      <c r="I26" s="204"/>
      <c r="J26" s="207"/>
      <c r="K26" s="197"/>
    </row>
    <row r="27" spans="2:11" ht="30">
      <c r="B27" s="193" t="s">
        <v>429</v>
      </c>
      <c r="D27" s="197"/>
      <c r="E27" s="208"/>
      <c r="F27" s="200"/>
      <c r="G27" s="202" t="s">
        <v>408</v>
      </c>
      <c r="H27" s="198"/>
      <c r="I27" s="128"/>
      <c r="J27" s="209"/>
      <c r="K27" s="197"/>
    </row>
    <row r="28" spans="2:11">
      <c r="D28" s="197"/>
      <c r="E28" s="208"/>
      <c r="F28" s="200"/>
      <c r="G28" s="196"/>
      <c r="H28" s="194"/>
      <c r="I28" s="128"/>
      <c r="J28" s="209"/>
      <c r="K28" s="197"/>
    </row>
    <row r="29" spans="2:11">
      <c r="D29" s="197"/>
      <c r="E29" s="208"/>
      <c r="F29" s="200"/>
      <c r="G29" s="196"/>
      <c r="H29" s="201" t="s">
        <v>297</v>
      </c>
      <c r="I29" s="128"/>
      <c r="J29" s="209"/>
      <c r="K29" s="197"/>
    </row>
    <row r="30" spans="2:11">
      <c r="D30" s="197"/>
      <c r="E30" s="208"/>
      <c r="F30" s="200"/>
      <c r="G30" s="196"/>
      <c r="H30" s="194"/>
      <c r="I30" s="128"/>
      <c r="J30" s="209"/>
      <c r="K30" s="197"/>
    </row>
    <row r="31" spans="2:11" ht="1.5" customHeight="1">
      <c r="D31" s="197"/>
      <c r="E31" s="210"/>
      <c r="F31" s="213"/>
      <c r="G31" s="214"/>
      <c r="H31" s="215"/>
      <c r="I31" s="213"/>
      <c r="J31" s="211"/>
      <c r="K31" s="197"/>
    </row>
    <row r="32" spans="2:11" ht="345">
      <c r="B32" s="193" t="s">
        <v>428</v>
      </c>
      <c r="D32" s="197"/>
      <c r="E32" s="197"/>
      <c r="F32" s="212"/>
      <c r="G32" s="216"/>
      <c r="H32" s="199"/>
      <c r="I32" s="212"/>
      <c r="J32" s="197"/>
      <c r="K32" s="197"/>
    </row>
    <row r="33" spans="2:11" ht="150">
      <c r="B33" s="193" t="s">
        <v>427</v>
      </c>
      <c r="D33" s="197"/>
      <c r="E33" s="212"/>
      <c r="F33" s="212"/>
      <c r="G33" s="216"/>
      <c r="H33" s="199"/>
      <c r="I33" s="212"/>
      <c r="J33" s="212"/>
      <c r="K33" s="197"/>
    </row>
    <row r="34" spans="2:11" ht="1.5" customHeight="1">
      <c r="D34" s="197"/>
      <c r="E34" s="203"/>
      <c r="F34" s="204"/>
      <c r="G34" s="205"/>
      <c r="H34" s="206"/>
      <c r="I34" s="204"/>
      <c r="J34" s="207"/>
      <c r="K34" s="197"/>
    </row>
    <row r="35" spans="2:11" ht="30">
      <c r="B35" s="193" t="s">
        <v>429</v>
      </c>
      <c r="D35" s="197"/>
      <c r="E35" s="208"/>
      <c r="F35" s="200"/>
      <c r="G35" s="218" t="s">
        <v>384</v>
      </c>
      <c r="H35" s="198"/>
      <c r="I35" s="128"/>
      <c r="J35" s="209"/>
      <c r="K35" s="197"/>
    </row>
    <row r="36" spans="2:11">
      <c r="D36" s="197"/>
      <c r="E36" s="208"/>
      <c r="F36" s="200"/>
      <c r="G36" s="196"/>
      <c r="H36" s="194"/>
      <c r="I36" s="128"/>
      <c r="J36" s="209"/>
      <c r="K36" s="197"/>
    </row>
    <row r="37" spans="2:11" ht="45">
      <c r="D37" s="197"/>
      <c r="E37" s="208"/>
      <c r="F37" s="200"/>
      <c r="G37" s="196"/>
      <c r="H37" s="201" t="s">
        <v>388</v>
      </c>
      <c r="I37" s="128"/>
      <c r="J37" s="209"/>
      <c r="K37" s="197"/>
    </row>
    <row r="38" spans="2:11">
      <c r="D38" s="197"/>
      <c r="E38" s="208"/>
      <c r="F38" s="200"/>
      <c r="G38" s="196"/>
      <c r="H38" s="194"/>
      <c r="I38" s="128"/>
      <c r="J38" s="209"/>
      <c r="K38" s="197"/>
    </row>
    <row r="39" spans="2:11" ht="1.5" customHeight="1">
      <c r="D39" s="197"/>
      <c r="E39" s="210"/>
      <c r="F39" s="213"/>
      <c r="G39" s="214"/>
      <c r="H39" s="215"/>
      <c r="I39" s="213"/>
      <c r="J39" s="211"/>
      <c r="K39" s="197"/>
    </row>
    <row r="40" spans="2:11" ht="345">
      <c r="B40" s="193" t="s">
        <v>428</v>
      </c>
      <c r="D40" s="197"/>
      <c r="E40" s="197"/>
      <c r="F40" s="212"/>
      <c r="G40" s="216"/>
      <c r="H40" s="199"/>
      <c r="I40" s="212"/>
      <c r="J40" s="197"/>
      <c r="K40" s="197"/>
    </row>
    <row r="41" spans="2:11" ht="150">
      <c r="B41" s="193" t="s">
        <v>427</v>
      </c>
      <c r="D41" s="197"/>
      <c r="E41" s="212"/>
      <c r="F41" s="212"/>
      <c r="G41" s="216"/>
      <c r="H41" s="199"/>
      <c r="I41" s="212"/>
      <c r="J41" s="212"/>
      <c r="K41" s="197"/>
    </row>
    <row r="42" spans="2:11" ht="1.5" customHeight="1">
      <c r="D42" s="197"/>
      <c r="E42" s="203"/>
      <c r="F42" s="204"/>
      <c r="G42" s="205"/>
      <c r="H42" s="206"/>
      <c r="I42" s="204"/>
      <c r="J42" s="207"/>
      <c r="K42" s="197"/>
    </row>
    <row r="43" spans="2:11" ht="30">
      <c r="B43" s="193" t="s">
        <v>429</v>
      </c>
      <c r="D43" s="197"/>
      <c r="E43" s="208"/>
      <c r="F43" s="200"/>
      <c r="G43" s="202" t="s">
        <v>386</v>
      </c>
      <c r="H43" s="198"/>
      <c r="I43" s="128"/>
      <c r="J43" s="209"/>
      <c r="K43" s="197"/>
    </row>
    <row r="44" spans="2:11">
      <c r="D44" s="197"/>
      <c r="E44" s="208"/>
      <c r="F44" s="200"/>
      <c r="G44" s="196"/>
      <c r="H44" s="194"/>
      <c r="I44" s="128"/>
      <c r="J44" s="209"/>
      <c r="K44" s="197"/>
    </row>
    <row r="45" spans="2:11">
      <c r="D45" s="197"/>
      <c r="E45" s="208"/>
      <c r="F45" s="200"/>
      <c r="G45" s="196"/>
      <c r="H45" s="201" t="s">
        <v>297</v>
      </c>
      <c r="I45" s="128"/>
      <c r="J45" s="209"/>
      <c r="K45" s="197"/>
    </row>
    <row r="46" spans="2:11">
      <c r="D46" s="197"/>
      <c r="E46" s="208"/>
      <c r="F46" s="200"/>
      <c r="G46" s="196"/>
      <c r="H46" s="194"/>
      <c r="I46" s="128"/>
      <c r="J46" s="209"/>
      <c r="K46" s="197"/>
    </row>
    <row r="47" spans="2:11" ht="1.5" customHeight="1">
      <c r="D47" s="197"/>
      <c r="E47" s="210"/>
      <c r="F47" s="213"/>
      <c r="G47" s="214"/>
      <c r="H47" s="215"/>
      <c r="I47" s="213"/>
      <c r="J47" s="211"/>
      <c r="K47" s="197"/>
    </row>
    <row r="48" spans="2:11" ht="345">
      <c r="B48" s="193" t="s">
        <v>428</v>
      </c>
      <c r="D48" s="197"/>
      <c r="E48" s="197"/>
      <c r="F48" s="212"/>
      <c r="G48" s="216"/>
      <c r="H48" s="199"/>
      <c r="I48" s="212"/>
      <c r="J48" s="197"/>
      <c r="K48" s="197"/>
    </row>
    <row r="49" spans="2:11" ht="150">
      <c r="B49" s="193" t="s">
        <v>427</v>
      </c>
      <c r="D49" s="197"/>
      <c r="E49" s="212"/>
      <c r="F49" s="212"/>
      <c r="G49" s="216"/>
      <c r="H49" s="199"/>
      <c r="I49" s="212"/>
      <c r="J49" s="212"/>
      <c r="K49" s="197"/>
    </row>
    <row r="50" spans="2:11" ht="1.5" customHeight="1">
      <c r="D50" s="197"/>
      <c r="E50" s="203"/>
      <c r="F50" s="204"/>
      <c r="G50" s="205"/>
      <c r="H50" s="206"/>
      <c r="I50" s="204"/>
      <c r="J50" s="207"/>
      <c r="K50" s="197"/>
    </row>
    <row r="51" spans="2:11" ht="30">
      <c r="B51" s="193" t="s">
        <v>429</v>
      </c>
      <c r="D51" s="197"/>
      <c r="E51" s="208"/>
      <c r="F51" s="200"/>
      <c r="G51" s="202" t="s">
        <v>235</v>
      </c>
      <c r="H51" s="198"/>
      <c r="I51" s="128"/>
      <c r="J51" s="209"/>
      <c r="K51" s="197"/>
    </row>
    <row r="52" spans="2:11">
      <c r="D52" s="197"/>
      <c r="E52" s="208"/>
      <c r="F52" s="200"/>
      <c r="G52" s="196"/>
      <c r="H52" s="194"/>
      <c r="I52" s="128"/>
      <c r="J52" s="209"/>
      <c r="K52" s="197"/>
    </row>
    <row r="53" spans="2:11" ht="45">
      <c r="D53" s="197"/>
      <c r="E53" s="208"/>
      <c r="F53" s="200"/>
      <c r="G53" s="196"/>
      <c r="H53" s="201" t="s">
        <v>340</v>
      </c>
      <c r="I53" s="128"/>
      <c r="J53" s="209"/>
      <c r="K53" s="197"/>
    </row>
    <row r="54" spans="2:11">
      <c r="D54" s="197"/>
      <c r="E54" s="208"/>
      <c r="F54" s="200"/>
      <c r="G54" s="196"/>
      <c r="H54" s="194"/>
      <c r="I54" s="128"/>
      <c r="J54" s="209"/>
      <c r="K54" s="197"/>
    </row>
    <row r="55" spans="2:11" ht="1.5" customHeight="1">
      <c r="D55" s="197"/>
      <c r="E55" s="210"/>
      <c r="F55" s="213"/>
      <c r="G55" s="214"/>
      <c r="H55" s="215"/>
      <c r="I55" s="213"/>
      <c r="J55" s="211"/>
      <c r="K55" s="197"/>
    </row>
    <row r="56" spans="2:11" ht="345">
      <c r="B56" s="193" t="s">
        <v>428</v>
      </c>
      <c r="D56" s="197"/>
      <c r="E56" s="197"/>
      <c r="F56" s="212"/>
      <c r="G56" s="216"/>
      <c r="H56" s="199"/>
      <c r="I56" s="212"/>
      <c r="J56" s="197"/>
      <c r="K56" s="197"/>
    </row>
    <row r="57" spans="2:11" ht="150">
      <c r="B57" s="193" t="s">
        <v>427</v>
      </c>
      <c r="D57" s="197"/>
      <c r="E57" s="212"/>
      <c r="F57" s="212"/>
      <c r="G57" s="216"/>
      <c r="H57" s="199"/>
      <c r="I57" s="212"/>
      <c r="J57" s="212"/>
      <c r="K57" s="197"/>
    </row>
    <row r="58" spans="2:11" ht="1.5" customHeight="1">
      <c r="D58" s="197"/>
      <c r="E58" s="203"/>
      <c r="F58" s="204"/>
      <c r="G58" s="205"/>
      <c r="H58" s="206"/>
      <c r="I58" s="204"/>
      <c r="J58" s="207"/>
      <c r="K58" s="197"/>
    </row>
    <row r="59" spans="2:11" ht="30">
      <c r="B59" s="193" t="s">
        <v>429</v>
      </c>
      <c r="D59" s="197"/>
      <c r="E59" s="208"/>
      <c r="F59" s="200"/>
      <c r="G59" s="202" t="s">
        <v>103</v>
      </c>
      <c r="H59" s="198"/>
      <c r="I59" s="128"/>
      <c r="J59" s="209"/>
      <c r="K59" s="197"/>
    </row>
    <row r="60" spans="2:11">
      <c r="D60" s="197"/>
      <c r="E60" s="208"/>
      <c r="F60" s="200"/>
      <c r="G60" s="196"/>
      <c r="H60" s="194"/>
      <c r="I60" s="128"/>
      <c r="J60" s="209"/>
      <c r="K60" s="197"/>
    </row>
    <row r="61" spans="2:11">
      <c r="D61" s="197"/>
      <c r="E61" s="208"/>
      <c r="F61" s="200"/>
      <c r="G61" s="196"/>
      <c r="H61" s="201"/>
      <c r="I61" s="128"/>
      <c r="J61" s="209"/>
      <c r="K61" s="197"/>
    </row>
    <row r="62" spans="2:11">
      <c r="D62" s="197"/>
      <c r="E62" s="208"/>
      <c r="F62" s="200"/>
      <c r="G62" s="196"/>
      <c r="H62" s="194"/>
      <c r="I62" s="128"/>
      <c r="J62" s="209"/>
      <c r="K62" s="197"/>
    </row>
    <row r="63" spans="2:11" ht="1.5" customHeight="1">
      <c r="D63" s="197"/>
      <c r="E63" s="210"/>
      <c r="F63" s="213"/>
      <c r="G63" s="214"/>
      <c r="H63" s="215"/>
      <c r="I63" s="213"/>
      <c r="J63" s="211"/>
      <c r="K63" s="197"/>
    </row>
    <row r="64" spans="2:11" ht="345">
      <c r="B64" s="193" t="s">
        <v>428</v>
      </c>
      <c r="D64" s="197"/>
      <c r="E64" s="197"/>
      <c r="F64" s="212"/>
      <c r="G64" s="216"/>
      <c r="H64" s="199"/>
      <c r="I64" s="212"/>
      <c r="J64" s="197"/>
      <c r="K64" s="197"/>
    </row>
    <row r="65" spans="2:11" ht="150">
      <c r="B65" s="193" t="s">
        <v>427</v>
      </c>
      <c r="D65" s="197"/>
      <c r="E65" s="212"/>
      <c r="F65" s="212"/>
      <c r="G65" s="216"/>
      <c r="H65" s="199"/>
      <c r="I65" s="212"/>
      <c r="J65" s="212"/>
      <c r="K65" s="197"/>
    </row>
    <row r="66" spans="2:11" ht="1.5" customHeight="1">
      <c r="D66" s="197"/>
      <c r="E66" s="203"/>
      <c r="F66" s="204"/>
      <c r="G66" s="205"/>
      <c r="H66" s="206"/>
      <c r="I66" s="204"/>
      <c r="J66" s="207"/>
      <c r="K66" s="197"/>
    </row>
    <row r="67" spans="2:11" ht="30">
      <c r="B67" s="193" t="s">
        <v>429</v>
      </c>
      <c r="D67" s="197"/>
      <c r="E67" s="208"/>
      <c r="F67" s="200"/>
      <c r="G67" s="218" t="s">
        <v>278</v>
      </c>
      <c r="H67" s="198"/>
      <c r="I67" s="128"/>
      <c r="J67" s="209"/>
      <c r="K67" s="197"/>
    </row>
    <row r="68" spans="2:11">
      <c r="D68" s="197"/>
      <c r="E68" s="208"/>
      <c r="F68" s="200"/>
      <c r="G68" s="196"/>
      <c r="H68" s="194"/>
      <c r="I68" s="128"/>
      <c r="J68" s="209"/>
      <c r="K68" s="197"/>
    </row>
    <row r="69" spans="2:11" ht="90">
      <c r="D69" s="197"/>
      <c r="E69" s="208"/>
      <c r="F69" s="200"/>
      <c r="G69" s="196"/>
      <c r="H69" s="201" t="s">
        <v>279</v>
      </c>
      <c r="I69" s="128"/>
      <c r="J69" s="209"/>
      <c r="K69" s="197"/>
    </row>
    <row r="70" spans="2:11">
      <c r="D70" s="197"/>
      <c r="E70" s="208"/>
      <c r="F70" s="200"/>
      <c r="G70" s="196"/>
      <c r="H70" s="194"/>
      <c r="I70" s="128"/>
      <c r="J70" s="209"/>
      <c r="K70" s="197"/>
    </row>
    <row r="71" spans="2:11" ht="1.5" customHeight="1">
      <c r="D71" s="197"/>
      <c r="E71" s="210"/>
      <c r="F71" s="213"/>
      <c r="G71" s="214"/>
      <c r="H71" s="215"/>
      <c r="I71" s="213"/>
      <c r="J71" s="211"/>
      <c r="K71" s="197"/>
    </row>
    <row r="72" spans="2:11" ht="345">
      <c r="B72" s="193" t="s">
        <v>428</v>
      </c>
      <c r="D72" s="197"/>
      <c r="E72" s="197"/>
      <c r="F72" s="212"/>
      <c r="G72" s="216"/>
      <c r="H72" s="199"/>
      <c r="I72" s="212"/>
      <c r="J72" s="197"/>
      <c r="K72" s="197"/>
    </row>
    <row r="73" spans="2:11" ht="150">
      <c r="B73" s="193" t="s">
        <v>427</v>
      </c>
      <c r="D73" s="197"/>
      <c r="E73" s="212"/>
      <c r="F73" s="212"/>
      <c r="G73" s="216"/>
      <c r="H73" s="199"/>
      <c r="I73" s="212"/>
      <c r="J73" s="212"/>
      <c r="K73" s="197"/>
    </row>
    <row r="74" spans="2:11" ht="1.5" customHeight="1">
      <c r="D74" s="197"/>
      <c r="E74" s="203"/>
      <c r="F74" s="204"/>
      <c r="G74" s="205"/>
      <c r="H74" s="206"/>
      <c r="I74" s="204"/>
      <c r="J74" s="207"/>
      <c r="K74" s="197"/>
    </row>
    <row r="75" spans="2:11" ht="30">
      <c r="B75" s="193" t="s">
        <v>429</v>
      </c>
      <c r="D75" s="197"/>
      <c r="E75" s="208"/>
      <c r="F75" s="200"/>
      <c r="G75" s="219" t="s">
        <v>61</v>
      </c>
      <c r="H75" s="198"/>
      <c r="I75" s="128"/>
      <c r="J75" s="209"/>
      <c r="K75" s="197"/>
    </row>
    <row r="76" spans="2:11">
      <c r="D76" s="197"/>
      <c r="E76" s="208"/>
      <c r="F76" s="200"/>
      <c r="G76" s="196"/>
      <c r="H76" s="194"/>
      <c r="I76" s="128"/>
      <c r="J76" s="209"/>
      <c r="K76" s="197"/>
    </row>
    <row r="77" spans="2:11" ht="105">
      <c r="D77" s="197"/>
      <c r="E77" s="208"/>
      <c r="F77" s="200"/>
      <c r="G77" s="196"/>
      <c r="H77" s="201" t="s">
        <v>304</v>
      </c>
      <c r="I77" s="128"/>
      <c r="J77" s="209"/>
      <c r="K77" s="197"/>
    </row>
    <row r="78" spans="2:11">
      <c r="D78" s="197"/>
      <c r="E78" s="208"/>
      <c r="F78" s="200"/>
      <c r="G78" s="196"/>
      <c r="H78" s="194"/>
      <c r="I78" s="128"/>
      <c r="J78" s="209"/>
      <c r="K78" s="197"/>
    </row>
    <row r="79" spans="2:11" ht="1.5" customHeight="1">
      <c r="D79" s="197"/>
      <c r="E79" s="210"/>
      <c r="F79" s="213"/>
      <c r="G79" s="214"/>
      <c r="H79" s="215"/>
      <c r="I79" s="213"/>
      <c r="J79" s="211"/>
      <c r="K79" s="197"/>
    </row>
    <row r="80" spans="2:11" ht="345">
      <c r="B80" s="193" t="s">
        <v>428</v>
      </c>
      <c r="D80" s="197"/>
      <c r="E80" s="197"/>
      <c r="F80" s="212"/>
      <c r="G80" s="216"/>
      <c r="H80" s="199"/>
      <c r="I80" s="212"/>
      <c r="J80" s="197"/>
      <c r="K80" s="197"/>
    </row>
    <row r="81" spans="2:11" ht="150">
      <c r="B81" s="193" t="s">
        <v>427</v>
      </c>
      <c r="D81" s="197"/>
      <c r="E81" s="212"/>
      <c r="F81" s="212"/>
      <c r="G81" s="216"/>
      <c r="H81" s="199"/>
      <c r="I81" s="212"/>
      <c r="J81" s="212"/>
      <c r="K81" s="197"/>
    </row>
    <row r="82" spans="2:11" ht="1.5" customHeight="1">
      <c r="D82" s="197"/>
      <c r="E82" s="203"/>
      <c r="F82" s="204"/>
      <c r="G82" s="205"/>
      <c r="H82" s="206"/>
      <c r="I82" s="204"/>
      <c r="J82" s="207"/>
      <c r="K82" s="197"/>
    </row>
    <row r="83" spans="2:11" ht="30">
      <c r="B83" s="193" t="s">
        <v>429</v>
      </c>
      <c r="D83" s="197"/>
      <c r="E83" s="208"/>
      <c r="F83" s="200"/>
      <c r="G83" s="202" t="s">
        <v>409</v>
      </c>
      <c r="H83" s="198"/>
      <c r="I83" s="128"/>
      <c r="J83" s="209"/>
      <c r="K83" s="197"/>
    </row>
    <row r="84" spans="2:11">
      <c r="D84" s="197"/>
      <c r="E84" s="208"/>
      <c r="F84" s="200"/>
      <c r="G84" s="196"/>
      <c r="H84" s="194"/>
      <c r="I84" s="128"/>
      <c r="J84" s="209"/>
      <c r="K84" s="197"/>
    </row>
    <row r="85" spans="2:11" ht="30">
      <c r="D85" s="197"/>
      <c r="E85" s="208"/>
      <c r="F85" s="200"/>
      <c r="G85" s="196"/>
      <c r="H85" s="201" t="s">
        <v>410</v>
      </c>
      <c r="I85" s="128"/>
      <c r="J85" s="209"/>
      <c r="K85" s="197"/>
    </row>
    <row r="86" spans="2:11">
      <c r="D86" s="197"/>
      <c r="E86" s="208"/>
      <c r="F86" s="200"/>
      <c r="G86" s="196"/>
      <c r="H86" s="194"/>
      <c r="I86" s="128"/>
      <c r="J86" s="209"/>
      <c r="K86" s="197"/>
    </row>
    <row r="87" spans="2:11" ht="1.5" customHeight="1">
      <c r="D87" s="197"/>
      <c r="E87" s="210"/>
      <c r="F87" s="213"/>
      <c r="G87" s="214"/>
      <c r="H87" s="215"/>
      <c r="I87" s="213"/>
      <c r="J87" s="211"/>
      <c r="K87" s="197"/>
    </row>
    <row r="88" spans="2:11" ht="345">
      <c r="B88" s="193" t="s">
        <v>428</v>
      </c>
      <c r="D88" s="197"/>
      <c r="E88" s="197"/>
      <c r="F88" s="212"/>
      <c r="G88" s="216"/>
      <c r="H88" s="199"/>
      <c r="I88" s="212"/>
      <c r="J88" s="197"/>
      <c r="K88" s="197"/>
    </row>
    <row r="89" spans="2:11" ht="150">
      <c r="B89" s="193" t="s">
        <v>427</v>
      </c>
      <c r="D89" s="197"/>
      <c r="E89" s="212"/>
      <c r="F89" s="212"/>
      <c r="G89" s="216"/>
      <c r="H89" s="199"/>
      <c r="I89" s="212"/>
      <c r="J89" s="212"/>
      <c r="K89" s="197"/>
    </row>
    <row r="90" spans="2:11" ht="1.5" customHeight="1">
      <c r="D90" s="197"/>
      <c r="E90" s="203"/>
      <c r="F90" s="204"/>
      <c r="G90" s="205"/>
      <c r="H90" s="206"/>
      <c r="I90" s="204"/>
      <c r="J90" s="207"/>
      <c r="K90" s="197"/>
    </row>
    <row r="91" spans="2:11" ht="30">
      <c r="B91" s="193" t="s">
        <v>429</v>
      </c>
      <c r="D91" s="197"/>
      <c r="E91" s="208"/>
      <c r="F91" s="200"/>
      <c r="G91" s="202" t="s">
        <v>411</v>
      </c>
      <c r="H91" s="198"/>
      <c r="I91" s="128"/>
      <c r="J91" s="209"/>
      <c r="K91" s="197"/>
    </row>
    <row r="92" spans="2:11">
      <c r="D92" s="197"/>
      <c r="E92" s="208"/>
      <c r="F92" s="200"/>
      <c r="G92" s="196"/>
      <c r="H92" s="194"/>
      <c r="I92" s="128"/>
      <c r="J92" s="209"/>
      <c r="K92" s="197"/>
    </row>
    <row r="93" spans="2:11">
      <c r="D93" s="197"/>
      <c r="E93" s="208"/>
      <c r="F93" s="200"/>
      <c r="G93" s="196"/>
      <c r="H93" s="201" t="s">
        <v>412</v>
      </c>
      <c r="I93" s="128"/>
      <c r="J93" s="209"/>
      <c r="K93" s="197"/>
    </row>
    <row r="94" spans="2:11">
      <c r="D94" s="197"/>
      <c r="E94" s="208"/>
      <c r="F94" s="200"/>
      <c r="G94" s="196"/>
      <c r="H94" s="194"/>
      <c r="I94" s="128"/>
      <c r="J94" s="209"/>
      <c r="K94" s="197"/>
    </row>
    <row r="95" spans="2:11" ht="1.5" customHeight="1">
      <c r="D95" s="197"/>
      <c r="E95" s="210"/>
      <c r="F95" s="213"/>
      <c r="G95" s="214"/>
      <c r="H95" s="215"/>
      <c r="I95" s="213"/>
      <c r="J95" s="211"/>
      <c r="K95" s="197"/>
    </row>
    <row r="96" spans="2:11" ht="345">
      <c r="B96" s="193" t="s">
        <v>428</v>
      </c>
      <c r="D96" s="197"/>
      <c r="E96" s="197"/>
      <c r="F96" s="212"/>
      <c r="G96" s="216"/>
      <c r="H96" s="199"/>
      <c r="I96" s="212"/>
      <c r="J96" s="197"/>
      <c r="K96" s="197"/>
    </row>
    <row r="97" spans="2:11" ht="150">
      <c r="B97" s="193" t="s">
        <v>427</v>
      </c>
      <c r="D97" s="197"/>
      <c r="E97" s="212"/>
      <c r="F97" s="212"/>
      <c r="G97" s="216"/>
      <c r="H97" s="199"/>
      <c r="I97" s="212"/>
      <c r="J97" s="212"/>
      <c r="K97" s="197"/>
    </row>
    <row r="98" spans="2:11" ht="1.5" customHeight="1">
      <c r="D98" s="197"/>
      <c r="E98" s="203"/>
      <c r="F98" s="204"/>
      <c r="G98" s="205"/>
      <c r="H98" s="206"/>
      <c r="I98" s="204"/>
      <c r="J98" s="207"/>
      <c r="K98" s="197"/>
    </row>
    <row r="99" spans="2:11" ht="30">
      <c r="B99" s="193" t="s">
        <v>429</v>
      </c>
      <c r="D99" s="197"/>
      <c r="E99" s="208"/>
      <c r="F99" s="200"/>
      <c r="G99" s="219" t="s">
        <v>413</v>
      </c>
      <c r="H99" s="198"/>
      <c r="I99" s="128"/>
      <c r="J99" s="209"/>
      <c r="K99" s="197"/>
    </row>
    <row r="100" spans="2:11">
      <c r="D100" s="197"/>
      <c r="E100" s="208"/>
      <c r="F100" s="200"/>
      <c r="G100" s="196"/>
      <c r="H100" s="194"/>
      <c r="I100" s="128"/>
      <c r="J100" s="209"/>
      <c r="K100" s="197"/>
    </row>
    <row r="101" spans="2:11">
      <c r="D101" s="197"/>
      <c r="E101" s="208"/>
      <c r="F101" s="200"/>
      <c r="G101" s="196"/>
      <c r="H101" s="201"/>
      <c r="I101" s="128"/>
      <c r="J101" s="209"/>
      <c r="K101" s="197"/>
    </row>
    <row r="102" spans="2:11">
      <c r="D102" s="197"/>
      <c r="E102" s="208"/>
      <c r="F102" s="200"/>
      <c r="G102" s="196"/>
      <c r="H102" s="194"/>
      <c r="I102" s="128"/>
      <c r="J102" s="209"/>
      <c r="K102" s="197"/>
    </row>
    <row r="103" spans="2:11" ht="1.5" customHeight="1">
      <c r="D103" s="197"/>
      <c r="E103" s="210"/>
      <c r="F103" s="213"/>
      <c r="G103" s="214"/>
      <c r="H103" s="215"/>
      <c r="I103" s="213"/>
      <c r="J103" s="211"/>
      <c r="K103" s="197"/>
    </row>
    <row r="104" spans="2:11" ht="345">
      <c r="B104" s="193" t="s">
        <v>428</v>
      </c>
      <c r="D104" s="197"/>
      <c r="E104" s="197"/>
      <c r="F104" s="212"/>
      <c r="G104" s="216"/>
      <c r="H104" s="199"/>
      <c r="I104" s="212"/>
      <c r="J104" s="197"/>
      <c r="K104" s="197"/>
    </row>
    <row r="105" spans="2:11" ht="150">
      <c r="B105" s="193" t="s">
        <v>427</v>
      </c>
      <c r="D105" s="197"/>
      <c r="E105" s="212"/>
      <c r="F105" s="212"/>
      <c r="G105" s="216"/>
      <c r="H105" s="199"/>
      <c r="I105" s="212"/>
      <c r="J105" s="212"/>
      <c r="K105" s="197"/>
    </row>
    <row r="106" spans="2:11" ht="1.5" customHeight="1">
      <c r="D106" s="197"/>
      <c r="E106" s="203"/>
      <c r="F106" s="204"/>
      <c r="G106" s="205"/>
      <c r="H106" s="206"/>
      <c r="I106" s="204"/>
      <c r="J106" s="207"/>
      <c r="K106" s="197"/>
    </row>
    <row r="107" spans="2:11" ht="30">
      <c r="B107" s="193" t="s">
        <v>429</v>
      </c>
      <c r="D107" s="197"/>
      <c r="E107" s="208"/>
      <c r="F107" s="200"/>
      <c r="G107" s="202" t="s">
        <v>124</v>
      </c>
      <c r="H107" s="198"/>
      <c r="I107" s="128"/>
      <c r="J107" s="209"/>
      <c r="K107" s="197"/>
    </row>
    <row r="108" spans="2:11">
      <c r="D108" s="197"/>
      <c r="E108" s="208"/>
      <c r="F108" s="200"/>
      <c r="G108" s="196"/>
      <c r="H108" s="194"/>
      <c r="I108" s="128"/>
      <c r="J108" s="209"/>
      <c r="K108" s="197"/>
    </row>
    <row r="109" spans="2:11">
      <c r="D109" s="197"/>
      <c r="E109" s="208"/>
      <c r="F109" s="200"/>
      <c r="G109" s="196"/>
      <c r="H109" s="201" t="s">
        <v>125</v>
      </c>
      <c r="I109" s="128"/>
      <c r="J109" s="209"/>
      <c r="K109" s="197"/>
    </row>
    <row r="110" spans="2:11">
      <c r="D110" s="197"/>
      <c r="E110" s="208"/>
      <c r="F110" s="200"/>
      <c r="G110" s="196"/>
      <c r="H110" s="194"/>
      <c r="I110" s="128"/>
      <c r="J110" s="209"/>
      <c r="K110" s="197"/>
    </row>
    <row r="111" spans="2:11" ht="1.5" customHeight="1">
      <c r="D111" s="197"/>
      <c r="E111" s="210"/>
      <c r="F111" s="213"/>
      <c r="G111" s="214"/>
      <c r="H111" s="215"/>
      <c r="I111" s="213"/>
      <c r="J111" s="211"/>
      <c r="K111" s="197"/>
    </row>
    <row r="112" spans="2:11" ht="345">
      <c r="B112" s="193" t="s">
        <v>428</v>
      </c>
      <c r="D112" s="197"/>
      <c r="E112" s="197"/>
      <c r="F112" s="212"/>
      <c r="G112" s="216"/>
      <c r="H112" s="199"/>
      <c r="I112" s="212"/>
      <c r="J112" s="197"/>
      <c r="K112" s="197"/>
    </row>
    <row r="113" spans="2:11" ht="150">
      <c r="B113" s="193" t="s">
        <v>427</v>
      </c>
      <c r="D113" s="197"/>
      <c r="E113" s="212"/>
      <c r="F113" s="212"/>
      <c r="G113" s="216"/>
      <c r="H113" s="199"/>
      <c r="I113" s="212"/>
      <c r="J113" s="212"/>
      <c r="K113" s="197"/>
    </row>
    <row r="114" spans="2:11" ht="1.5" customHeight="1">
      <c r="D114" s="197"/>
      <c r="E114" s="203"/>
      <c r="F114" s="204"/>
      <c r="G114" s="205"/>
      <c r="H114" s="206"/>
      <c r="I114" s="204"/>
      <c r="J114" s="207"/>
      <c r="K114" s="197"/>
    </row>
    <row r="115" spans="2:11" ht="30">
      <c r="B115" s="193" t="s">
        <v>429</v>
      </c>
      <c r="D115" s="197"/>
      <c r="E115" s="208"/>
      <c r="F115" s="200"/>
      <c r="G115" s="202" t="s">
        <v>1</v>
      </c>
      <c r="H115" s="198"/>
      <c r="I115" s="128"/>
      <c r="J115" s="209"/>
      <c r="K115" s="197"/>
    </row>
    <row r="116" spans="2:11">
      <c r="D116" s="197"/>
      <c r="E116" s="208"/>
      <c r="F116" s="200"/>
      <c r="G116" s="196"/>
      <c r="H116" s="194"/>
      <c r="I116" s="128"/>
      <c r="J116" s="209"/>
      <c r="K116" s="197"/>
    </row>
    <row r="117" spans="2:11" ht="255">
      <c r="D117" s="197"/>
      <c r="E117" s="208"/>
      <c r="F117" s="200"/>
      <c r="G117" s="196"/>
      <c r="H117" s="201" t="s">
        <v>343</v>
      </c>
      <c r="I117" s="128"/>
      <c r="J117" s="209"/>
      <c r="K117" s="197"/>
    </row>
    <row r="118" spans="2:11">
      <c r="D118" s="197"/>
      <c r="E118" s="208"/>
      <c r="F118" s="200"/>
      <c r="G118" s="196"/>
      <c r="H118" s="194"/>
      <c r="I118" s="128"/>
      <c r="J118" s="209"/>
      <c r="K118" s="197"/>
    </row>
    <row r="119" spans="2:11" ht="1.5" customHeight="1">
      <c r="D119" s="197"/>
      <c r="E119" s="210"/>
      <c r="F119" s="213"/>
      <c r="G119" s="214"/>
      <c r="H119" s="215"/>
      <c r="I119" s="213"/>
      <c r="J119" s="211"/>
      <c r="K119" s="197"/>
    </row>
    <row r="120" spans="2:11" ht="345">
      <c r="B120" s="193" t="s">
        <v>428</v>
      </c>
      <c r="D120" s="197"/>
      <c r="E120" s="197"/>
      <c r="F120" s="212"/>
      <c r="G120" s="216"/>
      <c r="H120" s="199"/>
      <c r="I120" s="212"/>
      <c r="J120" s="197"/>
      <c r="K120" s="197"/>
    </row>
    <row r="121" spans="2:11" ht="150">
      <c r="B121" s="193" t="s">
        <v>427</v>
      </c>
      <c r="D121" s="197"/>
      <c r="E121" s="212"/>
      <c r="F121" s="212"/>
      <c r="G121" s="216"/>
      <c r="H121" s="199"/>
      <c r="I121" s="212"/>
      <c r="J121" s="212"/>
      <c r="K121" s="197"/>
    </row>
    <row r="122" spans="2:11" ht="1.5" customHeight="1">
      <c r="D122" s="197"/>
      <c r="E122" s="203"/>
      <c r="F122" s="204"/>
      <c r="G122" s="205"/>
      <c r="H122" s="206"/>
      <c r="I122" s="204"/>
      <c r="J122" s="207"/>
      <c r="K122" s="197"/>
    </row>
    <row r="123" spans="2:11" ht="30">
      <c r="B123" s="193" t="s">
        <v>429</v>
      </c>
      <c r="D123" s="197"/>
      <c r="E123" s="208"/>
      <c r="F123" s="200"/>
      <c r="G123" s="219" t="s">
        <v>237</v>
      </c>
      <c r="H123" s="198"/>
      <c r="I123" s="128"/>
      <c r="J123" s="209"/>
      <c r="K123" s="197"/>
    </row>
    <row r="124" spans="2:11">
      <c r="D124" s="197"/>
      <c r="E124" s="208"/>
      <c r="F124" s="200"/>
      <c r="G124" s="196"/>
      <c r="H124" s="194"/>
      <c r="I124" s="128"/>
      <c r="J124" s="209"/>
      <c r="K124" s="197"/>
    </row>
    <row r="125" spans="2:11" ht="75">
      <c r="D125" s="197"/>
      <c r="E125" s="208"/>
      <c r="F125" s="200"/>
      <c r="G125" s="196"/>
      <c r="H125" s="201" t="s">
        <v>305</v>
      </c>
      <c r="I125" s="128"/>
      <c r="J125" s="209"/>
      <c r="K125" s="197"/>
    </row>
    <row r="126" spans="2:11">
      <c r="D126" s="197"/>
      <c r="E126" s="208"/>
      <c r="F126" s="200"/>
      <c r="G126" s="196"/>
      <c r="H126" s="194"/>
      <c r="I126" s="128"/>
      <c r="J126" s="209"/>
      <c r="K126" s="197"/>
    </row>
    <row r="127" spans="2:11" ht="1.5" customHeight="1">
      <c r="D127" s="197"/>
      <c r="E127" s="210"/>
      <c r="F127" s="213"/>
      <c r="G127" s="214"/>
      <c r="H127" s="215"/>
      <c r="I127" s="213"/>
      <c r="J127" s="211"/>
      <c r="K127" s="197"/>
    </row>
    <row r="128" spans="2:11" ht="345">
      <c r="B128" s="193" t="s">
        <v>428</v>
      </c>
      <c r="D128" s="197"/>
      <c r="E128" s="197"/>
      <c r="F128" s="212"/>
      <c r="G128" s="216"/>
      <c r="H128" s="199"/>
      <c r="I128" s="212"/>
      <c r="J128" s="197"/>
      <c r="K128" s="197"/>
    </row>
    <row r="129" spans="2:11" ht="150">
      <c r="B129" s="193" t="s">
        <v>427</v>
      </c>
      <c r="D129" s="197"/>
      <c r="E129" s="212"/>
      <c r="F129" s="212"/>
      <c r="G129" s="216"/>
      <c r="H129" s="199"/>
      <c r="I129" s="212"/>
      <c r="J129" s="212"/>
      <c r="K129" s="197"/>
    </row>
    <row r="130" spans="2:11" ht="1.5" customHeight="1">
      <c r="D130" s="197"/>
      <c r="E130" s="203"/>
      <c r="F130" s="204"/>
      <c r="G130" s="205"/>
      <c r="H130" s="206"/>
      <c r="I130" s="204"/>
      <c r="J130" s="207"/>
      <c r="K130" s="197"/>
    </row>
    <row r="131" spans="2:11" ht="30">
      <c r="B131" s="193" t="s">
        <v>429</v>
      </c>
      <c r="D131" s="197"/>
      <c r="E131" s="208"/>
      <c r="F131" s="200"/>
      <c r="G131" s="202" t="s">
        <v>62</v>
      </c>
      <c r="H131" s="198"/>
      <c r="I131" s="128"/>
      <c r="J131" s="209"/>
      <c r="K131" s="197"/>
    </row>
    <row r="132" spans="2:11">
      <c r="D132" s="197"/>
      <c r="E132" s="208"/>
      <c r="F132" s="200"/>
      <c r="G132" s="196"/>
      <c r="H132" s="194"/>
      <c r="I132" s="128"/>
      <c r="J132" s="209"/>
      <c r="K132" s="197"/>
    </row>
    <row r="133" spans="2:11">
      <c r="D133" s="197"/>
      <c r="E133" s="208"/>
      <c r="F133" s="200"/>
      <c r="G133" s="196"/>
      <c r="H133" s="201" t="s">
        <v>162</v>
      </c>
      <c r="I133" s="128"/>
      <c r="J133" s="209"/>
      <c r="K133" s="197"/>
    </row>
    <row r="134" spans="2:11" ht="31.5">
      <c r="D134" s="197"/>
      <c r="E134" s="208"/>
      <c r="F134" s="200"/>
      <c r="G134" s="196"/>
      <c r="H134" s="221" t="s">
        <v>106</v>
      </c>
      <c r="I134" s="128"/>
      <c r="J134" s="209"/>
      <c r="K134" s="197"/>
    </row>
    <row r="135" spans="2:11">
      <c r="D135" s="197"/>
      <c r="E135" s="208"/>
      <c r="F135" s="200"/>
      <c r="G135" s="196"/>
      <c r="H135" s="120"/>
      <c r="I135" s="128"/>
      <c r="J135" s="209"/>
      <c r="K135" s="197"/>
    </row>
    <row r="136" spans="2:11" ht="1.5" customHeight="1">
      <c r="D136" s="197"/>
      <c r="E136" s="210"/>
      <c r="F136" s="213"/>
      <c r="G136" s="214"/>
      <c r="H136" s="215"/>
      <c r="I136" s="213"/>
      <c r="J136" s="211"/>
      <c r="K136" s="197"/>
    </row>
    <row r="137" spans="2:11" ht="345">
      <c r="B137" s="193" t="s">
        <v>428</v>
      </c>
      <c r="D137" s="197"/>
      <c r="E137" s="197"/>
      <c r="F137" s="212"/>
      <c r="G137" s="216"/>
      <c r="H137" s="199"/>
      <c r="I137" s="212"/>
      <c r="J137" s="197"/>
      <c r="K137" s="197"/>
    </row>
    <row r="138" spans="2:11" ht="150">
      <c r="B138" s="193" t="s">
        <v>427</v>
      </c>
      <c r="D138" s="197"/>
      <c r="E138" s="212"/>
      <c r="F138" s="212"/>
      <c r="G138" s="216"/>
      <c r="H138" s="199"/>
      <c r="I138" s="212"/>
      <c r="J138" s="212"/>
      <c r="K138" s="197"/>
    </row>
    <row r="139" spans="2:11" ht="1.5" customHeight="1">
      <c r="D139" s="197"/>
      <c r="E139" s="203"/>
      <c r="F139" s="204"/>
      <c r="G139" s="205"/>
      <c r="H139" s="206"/>
      <c r="I139" s="204"/>
      <c r="J139" s="207"/>
      <c r="K139" s="197"/>
    </row>
    <row r="140" spans="2:11" ht="30">
      <c r="B140" s="193" t="s">
        <v>429</v>
      </c>
      <c r="D140" s="197"/>
      <c r="E140" s="208"/>
      <c r="F140" s="200"/>
      <c r="G140" s="218" t="s">
        <v>446</v>
      </c>
      <c r="H140" s="198"/>
      <c r="I140" s="128"/>
      <c r="J140" s="209"/>
      <c r="K140" s="197"/>
    </row>
    <row r="141" spans="2:11">
      <c r="D141" s="197"/>
      <c r="E141" s="208"/>
      <c r="F141" s="200"/>
      <c r="G141" s="196"/>
      <c r="H141" s="194"/>
      <c r="I141" s="128"/>
      <c r="J141" s="209"/>
      <c r="K141" s="197"/>
    </row>
    <row r="142" spans="2:11" ht="195">
      <c r="D142" s="197"/>
      <c r="E142" s="208"/>
      <c r="F142" s="200"/>
      <c r="G142" s="196"/>
      <c r="H142" s="201" t="s">
        <v>387</v>
      </c>
      <c r="I142" s="128"/>
      <c r="J142" s="209"/>
      <c r="K142" s="197"/>
    </row>
    <row r="143" spans="2:11" ht="150">
      <c r="D143" s="197"/>
      <c r="E143" s="208"/>
      <c r="F143" s="200"/>
      <c r="G143" s="196"/>
      <c r="H143" s="201" t="s">
        <v>223</v>
      </c>
      <c r="I143" s="128"/>
      <c r="J143" s="209"/>
      <c r="K143" s="197"/>
    </row>
    <row r="144" spans="2:11" ht="1.5" customHeight="1">
      <c r="D144" s="197"/>
      <c r="E144" s="210"/>
      <c r="F144" s="213"/>
      <c r="G144" s="214"/>
      <c r="H144" s="215"/>
      <c r="I144" s="213"/>
      <c r="J144" s="211"/>
      <c r="K144" s="197"/>
    </row>
    <row r="145" spans="2:11" ht="345">
      <c r="B145" s="193" t="s">
        <v>428</v>
      </c>
      <c r="D145" s="197"/>
      <c r="E145" s="197"/>
      <c r="F145" s="212"/>
      <c r="G145" s="216"/>
      <c r="H145" s="199"/>
      <c r="I145" s="212"/>
      <c r="J145" s="197"/>
      <c r="K145" s="197"/>
    </row>
    <row r="146" spans="2:11" ht="150">
      <c r="B146" s="193" t="s">
        <v>427</v>
      </c>
      <c r="D146" s="197"/>
      <c r="E146" s="212"/>
      <c r="F146" s="212"/>
      <c r="G146" s="216"/>
      <c r="H146" s="199"/>
      <c r="I146" s="212"/>
      <c r="J146" s="212"/>
      <c r="K146" s="197"/>
    </row>
    <row r="147" spans="2:11" ht="1.5" customHeight="1">
      <c r="D147" s="197"/>
      <c r="E147" s="203"/>
      <c r="F147" s="204"/>
      <c r="G147" s="205"/>
      <c r="H147" s="206"/>
      <c r="I147" s="204"/>
      <c r="J147" s="207"/>
      <c r="K147" s="197"/>
    </row>
    <row r="148" spans="2:11" ht="30">
      <c r="B148" s="193" t="s">
        <v>429</v>
      </c>
      <c r="D148" s="197"/>
      <c r="E148" s="208"/>
      <c r="F148" s="200"/>
      <c r="G148" s="202" t="s">
        <v>213</v>
      </c>
      <c r="H148" s="198"/>
      <c r="I148" s="128"/>
      <c r="J148" s="209"/>
      <c r="K148" s="197"/>
    </row>
    <row r="149" spans="2:11">
      <c r="D149" s="197"/>
      <c r="E149" s="208"/>
      <c r="F149" s="200"/>
      <c r="G149" s="196"/>
      <c r="H149" s="194"/>
      <c r="I149" s="128"/>
      <c r="J149" s="209"/>
      <c r="K149" s="197"/>
    </row>
    <row r="150" spans="2:11" ht="165">
      <c r="D150" s="197"/>
      <c r="E150" s="208"/>
      <c r="F150" s="200"/>
      <c r="G150" s="196"/>
      <c r="H150" s="201" t="s">
        <v>328</v>
      </c>
      <c r="I150" s="128"/>
      <c r="J150" s="209"/>
      <c r="K150" s="197"/>
    </row>
    <row r="151" spans="2:11" ht="31.5">
      <c r="D151" s="197"/>
      <c r="E151" s="208"/>
      <c r="F151" s="200"/>
      <c r="G151" s="196"/>
      <c r="H151" s="221" t="s">
        <v>233</v>
      </c>
      <c r="I151" s="128"/>
      <c r="J151" s="209"/>
      <c r="K151" s="197"/>
    </row>
    <row r="152" spans="2:11">
      <c r="D152" s="197"/>
      <c r="E152" s="208"/>
      <c r="F152" s="200"/>
      <c r="G152" s="196"/>
      <c r="H152" s="201" t="s">
        <v>327</v>
      </c>
      <c r="I152" s="128"/>
      <c r="J152" s="209"/>
      <c r="K152" s="197"/>
    </row>
    <row r="153" spans="2:11" ht="15.75">
      <c r="D153" s="197"/>
      <c r="E153" s="208"/>
      <c r="F153" s="200"/>
      <c r="G153" s="196"/>
      <c r="H153" s="222" t="s">
        <v>105</v>
      </c>
      <c r="I153" s="128"/>
      <c r="J153" s="209"/>
      <c r="K153" s="197"/>
    </row>
    <row r="154" spans="2:11">
      <c r="D154" s="197"/>
      <c r="E154" s="208"/>
      <c r="F154" s="200"/>
      <c r="G154" s="196"/>
      <c r="H154" s="120"/>
      <c r="I154" s="128"/>
      <c r="J154" s="209"/>
      <c r="K154" s="197"/>
    </row>
    <row r="155" spans="2:11" ht="1.5" customHeight="1">
      <c r="D155" s="197"/>
      <c r="E155" s="210"/>
      <c r="F155" s="213"/>
      <c r="G155" s="214"/>
      <c r="H155" s="215"/>
      <c r="I155" s="213"/>
      <c r="J155" s="211"/>
      <c r="K155" s="197"/>
    </row>
    <row r="156" spans="2:11" ht="345">
      <c r="B156" s="193" t="s">
        <v>428</v>
      </c>
      <c r="D156" s="197"/>
      <c r="E156" s="197"/>
      <c r="F156" s="212"/>
      <c r="G156" s="216"/>
      <c r="H156" s="199"/>
      <c r="I156" s="212"/>
      <c r="J156" s="197"/>
      <c r="K156" s="197"/>
    </row>
    <row r="157" spans="2:11" ht="150">
      <c r="B157" s="193" t="s">
        <v>427</v>
      </c>
      <c r="D157" s="197"/>
      <c r="E157" s="212"/>
      <c r="F157" s="212"/>
      <c r="G157" s="216"/>
      <c r="H157" s="199"/>
      <c r="I157" s="212"/>
      <c r="J157" s="212"/>
      <c r="K157" s="197"/>
    </row>
    <row r="158" spans="2:11" ht="1.5" customHeight="1">
      <c r="D158" s="197"/>
      <c r="E158" s="203"/>
      <c r="F158" s="204"/>
      <c r="G158" s="205"/>
      <c r="H158" s="206"/>
      <c r="I158" s="204"/>
      <c r="J158" s="207"/>
      <c r="K158" s="197"/>
    </row>
    <row r="159" spans="2:11" ht="30">
      <c r="B159" s="193" t="s">
        <v>429</v>
      </c>
      <c r="D159" s="197"/>
      <c r="E159" s="208"/>
      <c r="F159" s="200"/>
      <c r="G159" s="218" t="s">
        <v>208</v>
      </c>
      <c r="H159" s="198"/>
      <c r="I159" s="128"/>
      <c r="J159" s="209"/>
      <c r="K159" s="197"/>
    </row>
    <row r="160" spans="2:11">
      <c r="D160" s="197"/>
      <c r="E160" s="208"/>
      <c r="F160" s="200"/>
      <c r="G160" s="196"/>
      <c r="H160" s="194"/>
      <c r="I160" s="128"/>
      <c r="J160" s="209"/>
      <c r="K160" s="197"/>
    </row>
    <row r="161" spans="2:11" ht="150">
      <c r="D161" s="197"/>
      <c r="E161" s="208"/>
      <c r="F161" s="200"/>
      <c r="G161" s="196"/>
      <c r="H161" s="201" t="s">
        <v>306</v>
      </c>
      <c r="I161" s="128"/>
      <c r="J161" s="209"/>
      <c r="K161" s="197"/>
    </row>
    <row r="162" spans="2:11" ht="31.5">
      <c r="D162" s="197"/>
      <c r="E162" s="208"/>
      <c r="F162" s="200"/>
      <c r="G162" s="196"/>
      <c r="H162" s="221" t="s">
        <v>233</v>
      </c>
      <c r="I162" s="128"/>
      <c r="J162" s="209"/>
      <c r="K162" s="197"/>
    </row>
    <row r="163" spans="2:11">
      <c r="D163" s="197"/>
      <c r="E163" s="208"/>
      <c r="F163" s="200"/>
      <c r="G163" s="196"/>
      <c r="H163" s="120"/>
      <c r="I163" s="128"/>
      <c r="J163" s="209"/>
      <c r="K163" s="197"/>
    </row>
    <row r="164" spans="2:11" ht="1.5" customHeight="1">
      <c r="D164" s="197"/>
      <c r="E164" s="210"/>
      <c r="F164" s="213"/>
      <c r="G164" s="214"/>
      <c r="H164" s="215"/>
      <c r="I164" s="213"/>
      <c r="J164" s="211"/>
      <c r="K164" s="197"/>
    </row>
    <row r="165" spans="2:11" ht="345">
      <c r="B165" s="193" t="s">
        <v>428</v>
      </c>
      <c r="D165" s="197"/>
      <c r="E165" s="197"/>
      <c r="F165" s="212"/>
      <c r="G165" s="216"/>
      <c r="H165" s="199"/>
      <c r="I165" s="212"/>
      <c r="J165" s="197"/>
      <c r="K165" s="197"/>
    </row>
    <row r="166" spans="2:11" ht="150">
      <c r="B166" s="193" t="s">
        <v>427</v>
      </c>
      <c r="D166" s="197"/>
      <c r="E166" s="212"/>
      <c r="F166" s="212"/>
      <c r="G166" s="216"/>
      <c r="H166" s="199"/>
      <c r="I166" s="212"/>
      <c r="J166" s="212"/>
      <c r="K166" s="197"/>
    </row>
    <row r="167" spans="2:11" ht="1.5" customHeight="1">
      <c r="D167" s="197"/>
      <c r="E167" s="203"/>
      <c r="F167" s="204"/>
      <c r="G167" s="205"/>
      <c r="H167" s="206"/>
      <c r="I167" s="204"/>
      <c r="J167" s="207"/>
      <c r="K167" s="197"/>
    </row>
    <row r="168" spans="2:11" ht="30">
      <c r="B168" s="193" t="s">
        <v>429</v>
      </c>
      <c r="D168" s="197"/>
      <c r="E168" s="208"/>
      <c r="F168" s="200"/>
      <c r="G168" s="202" t="s">
        <v>63</v>
      </c>
      <c r="H168" s="198"/>
      <c r="I168" s="128"/>
      <c r="J168" s="209"/>
      <c r="K168" s="197"/>
    </row>
    <row r="169" spans="2:11">
      <c r="D169" s="197"/>
      <c r="E169" s="208"/>
      <c r="F169" s="200"/>
      <c r="G169" s="196"/>
      <c r="H169" s="194"/>
      <c r="I169" s="128"/>
      <c r="J169" s="209"/>
      <c r="K169" s="197"/>
    </row>
    <row r="170" spans="2:11" ht="60">
      <c r="D170" s="197"/>
      <c r="E170" s="208"/>
      <c r="F170" s="200"/>
      <c r="G170" s="196"/>
      <c r="H170" s="201" t="s">
        <v>341</v>
      </c>
      <c r="I170" s="128"/>
      <c r="J170" s="209"/>
      <c r="K170" s="197"/>
    </row>
    <row r="171" spans="2:11" ht="15.75">
      <c r="D171" s="197"/>
      <c r="E171" s="208"/>
      <c r="F171" s="200"/>
      <c r="G171" s="196"/>
      <c r="H171" s="221" t="s">
        <v>2</v>
      </c>
      <c r="I171" s="128"/>
      <c r="J171" s="209"/>
      <c r="K171" s="197"/>
    </row>
    <row r="172" spans="2:11">
      <c r="D172" s="197"/>
      <c r="E172" s="208"/>
      <c r="F172" s="200"/>
      <c r="G172" s="196"/>
      <c r="H172" s="120"/>
      <c r="I172" s="128"/>
      <c r="J172" s="209"/>
      <c r="K172" s="197"/>
    </row>
    <row r="173" spans="2:11" ht="1.5" customHeight="1">
      <c r="D173" s="197"/>
      <c r="E173" s="210"/>
      <c r="F173" s="213"/>
      <c r="G173" s="214"/>
      <c r="H173" s="215"/>
      <c r="I173" s="213"/>
      <c r="J173" s="211"/>
      <c r="K173" s="197"/>
    </row>
    <row r="174" spans="2:11" ht="345">
      <c r="B174" s="193" t="s">
        <v>428</v>
      </c>
      <c r="D174" s="197"/>
      <c r="E174" s="197"/>
      <c r="F174" s="212"/>
      <c r="G174" s="216"/>
      <c r="H174" s="199"/>
      <c r="I174" s="212"/>
      <c r="J174" s="197"/>
      <c r="K174" s="197"/>
    </row>
    <row r="175" spans="2:11" ht="150">
      <c r="B175" s="193" t="s">
        <v>427</v>
      </c>
      <c r="D175" s="197"/>
      <c r="E175" s="212"/>
      <c r="F175" s="212"/>
      <c r="G175" s="216"/>
      <c r="H175" s="199"/>
      <c r="I175" s="212"/>
      <c r="J175" s="212"/>
      <c r="K175" s="197"/>
    </row>
    <row r="176" spans="2:11" ht="1.5" customHeight="1">
      <c r="D176" s="197"/>
      <c r="E176" s="203"/>
      <c r="F176" s="204"/>
      <c r="G176" s="205"/>
      <c r="H176" s="206"/>
      <c r="I176" s="204"/>
      <c r="J176" s="207"/>
      <c r="K176" s="197"/>
    </row>
    <row r="177" spans="2:11" ht="30">
      <c r="B177" s="193" t="s">
        <v>429</v>
      </c>
      <c r="D177" s="197"/>
      <c r="E177" s="208"/>
      <c r="F177" s="200"/>
      <c r="G177" s="219" t="s">
        <v>292</v>
      </c>
      <c r="H177" s="198"/>
      <c r="I177" s="128"/>
      <c r="J177" s="209"/>
      <c r="K177" s="197"/>
    </row>
    <row r="178" spans="2:11">
      <c r="D178" s="197"/>
      <c r="E178" s="208"/>
      <c r="F178" s="200"/>
      <c r="G178" s="196"/>
      <c r="H178" s="194"/>
      <c r="I178" s="128"/>
      <c r="J178" s="209"/>
      <c r="K178" s="197"/>
    </row>
    <row r="179" spans="2:11" ht="30">
      <c r="D179" s="197"/>
      <c r="E179" s="208"/>
      <c r="F179" s="200"/>
      <c r="G179" s="196"/>
      <c r="H179" s="201" t="s">
        <v>293</v>
      </c>
      <c r="I179" s="128"/>
      <c r="J179" s="209"/>
      <c r="K179" s="197"/>
    </row>
    <row r="180" spans="2:11">
      <c r="D180" s="197"/>
      <c r="E180" s="208"/>
      <c r="F180" s="200"/>
      <c r="G180" s="196"/>
      <c r="H180" s="194"/>
      <c r="I180" s="128"/>
      <c r="J180" s="209"/>
      <c r="K180" s="197"/>
    </row>
    <row r="181" spans="2:11" ht="1.5" customHeight="1">
      <c r="D181" s="197"/>
      <c r="E181" s="210"/>
      <c r="F181" s="213"/>
      <c r="G181" s="214"/>
      <c r="H181" s="215"/>
      <c r="I181" s="213"/>
      <c r="J181" s="211"/>
      <c r="K181" s="197"/>
    </row>
    <row r="182" spans="2:11" ht="345">
      <c r="B182" s="193" t="s">
        <v>428</v>
      </c>
      <c r="D182" s="197"/>
      <c r="E182" s="197"/>
      <c r="F182" s="212"/>
      <c r="G182" s="216"/>
      <c r="H182" s="199"/>
      <c r="I182" s="212"/>
      <c r="J182" s="197"/>
      <c r="K182" s="197"/>
    </row>
    <row r="183" spans="2:11" ht="150">
      <c r="B183" s="193" t="s">
        <v>427</v>
      </c>
      <c r="D183" s="197"/>
      <c r="E183" s="212"/>
      <c r="F183" s="212"/>
      <c r="G183" s="216"/>
      <c r="H183" s="199"/>
      <c r="I183" s="212"/>
      <c r="J183" s="212"/>
      <c r="K183" s="197"/>
    </row>
    <row r="184" spans="2:11" ht="1.5" customHeight="1">
      <c r="D184" s="197"/>
      <c r="E184" s="203"/>
      <c r="F184" s="204"/>
      <c r="G184" s="205"/>
      <c r="H184" s="206"/>
      <c r="I184" s="204"/>
      <c r="J184" s="207"/>
      <c r="K184" s="197"/>
    </row>
    <row r="185" spans="2:11" ht="30">
      <c r="B185" s="193" t="s">
        <v>429</v>
      </c>
      <c r="D185" s="197"/>
      <c r="E185" s="208"/>
      <c r="F185" s="200"/>
      <c r="G185" s="202" t="s">
        <v>303</v>
      </c>
      <c r="H185" s="198"/>
      <c r="I185" s="128"/>
      <c r="J185" s="209"/>
      <c r="K185" s="197"/>
    </row>
    <row r="186" spans="2:11">
      <c r="D186" s="197"/>
      <c r="E186" s="208"/>
      <c r="F186" s="200"/>
      <c r="G186" s="196"/>
      <c r="H186" s="194"/>
      <c r="I186" s="128"/>
      <c r="J186" s="209"/>
      <c r="K186" s="197"/>
    </row>
    <row r="187" spans="2:11">
      <c r="D187" s="197"/>
      <c r="E187" s="208"/>
      <c r="F187" s="200"/>
      <c r="G187" s="196"/>
      <c r="H187" s="201" t="s">
        <v>286</v>
      </c>
      <c r="I187" s="128"/>
      <c r="J187" s="209"/>
      <c r="K187" s="197"/>
    </row>
    <row r="188" spans="2:11" ht="15.75">
      <c r="D188" s="197"/>
      <c r="E188" s="208"/>
      <c r="F188" s="200"/>
      <c r="G188" s="196"/>
      <c r="H188" s="221" t="s">
        <v>285</v>
      </c>
      <c r="I188" s="128"/>
      <c r="J188" s="209"/>
      <c r="K188" s="197"/>
    </row>
    <row r="189" spans="2:11">
      <c r="D189" s="197"/>
      <c r="E189" s="208"/>
      <c r="F189" s="200"/>
      <c r="G189" s="196"/>
      <c r="H189" s="120"/>
      <c r="I189" s="128"/>
      <c r="J189" s="209"/>
      <c r="K189" s="197"/>
    </row>
    <row r="190" spans="2:11" ht="1.5" customHeight="1">
      <c r="D190" s="197"/>
      <c r="E190" s="210"/>
      <c r="F190" s="213"/>
      <c r="G190" s="214"/>
      <c r="H190" s="215"/>
      <c r="I190" s="213"/>
      <c r="J190" s="211"/>
      <c r="K190" s="197"/>
    </row>
    <row r="191" spans="2:11" ht="345">
      <c r="B191" s="193" t="s">
        <v>428</v>
      </c>
      <c r="D191" s="197"/>
      <c r="E191" s="197"/>
      <c r="F191" s="212"/>
      <c r="G191" s="216"/>
      <c r="H191" s="199"/>
      <c r="I191" s="212"/>
      <c r="J191" s="197"/>
      <c r="K191" s="197"/>
    </row>
    <row r="192" spans="2:11" ht="150">
      <c r="B192" s="193" t="s">
        <v>427</v>
      </c>
      <c r="D192" s="197"/>
      <c r="E192" s="212"/>
      <c r="F192" s="212"/>
      <c r="G192" s="216"/>
      <c r="H192" s="199"/>
      <c r="I192" s="212"/>
      <c r="J192" s="212"/>
      <c r="K192" s="197"/>
    </row>
    <row r="193" spans="2:11" ht="1.5" customHeight="1">
      <c r="D193" s="197"/>
      <c r="E193" s="203"/>
      <c r="F193" s="204"/>
      <c r="G193" s="205"/>
      <c r="H193" s="206"/>
      <c r="I193" s="204"/>
      <c r="J193" s="207"/>
      <c r="K193" s="197"/>
    </row>
    <row r="194" spans="2:11" ht="30">
      <c r="B194" s="193" t="s">
        <v>429</v>
      </c>
      <c r="D194" s="197"/>
      <c r="E194" s="208"/>
      <c r="F194" s="200"/>
      <c r="G194" s="202" t="s">
        <v>445</v>
      </c>
      <c r="H194" s="198"/>
      <c r="I194" s="128"/>
      <c r="J194" s="209"/>
      <c r="K194" s="197"/>
    </row>
    <row r="195" spans="2:11">
      <c r="D195" s="197"/>
      <c r="E195" s="208"/>
      <c r="F195" s="200"/>
      <c r="G195" s="196"/>
      <c r="H195" s="194"/>
      <c r="I195" s="128"/>
      <c r="J195" s="209"/>
      <c r="K195" s="197"/>
    </row>
    <row r="196" spans="2:11" ht="30">
      <c r="D196" s="197"/>
      <c r="E196" s="208"/>
      <c r="F196" s="200"/>
      <c r="G196" s="196"/>
      <c r="H196" s="201" t="s">
        <v>151</v>
      </c>
      <c r="I196" s="128"/>
      <c r="J196" s="209"/>
      <c r="K196" s="197"/>
    </row>
    <row r="197" spans="2:11">
      <c r="D197" s="197"/>
      <c r="E197" s="208"/>
      <c r="F197" s="200"/>
      <c r="G197" s="196"/>
      <c r="H197" s="194"/>
      <c r="I197" s="128"/>
      <c r="J197" s="209"/>
      <c r="K197" s="197"/>
    </row>
    <row r="198" spans="2:11" ht="1.5" customHeight="1">
      <c r="D198" s="197"/>
      <c r="E198" s="210"/>
      <c r="F198" s="213"/>
      <c r="G198" s="214"/>
      <c r="H198" s="215"/>
      <c r="I198" s="213"/>
      <c r="J198" s="211"/>
      <c r="K198" s="197"/>
    </row>
    <row r="199" spans="2:11" ht="345">
      <c r="B199" s="193" t="s">
        <v>428</v>
      </c>
      <c r="D199" s="197"/>
      <c r="E199" s="197"/>
      <c r="F199" s="212"/>
      <c r="G199" s="216"/>
      <c r="H199" s="199"/>
      <c r="I199" s="212"/>
      <c r="J199" s="197"/>
      <c r="K199" s="197"/>
    </row>
    <row r="200" spans="2:11" ht="150">
      <c r="B200" s="193" t="s">
        <v>427</v>
      </c>
      <c r="D200" s="197"/>
      <c r="E200" s="212"/>
      <c r="F200" s="212"/>
      <c r="G200" s="216"/>
      <c r="H200" s="199"/>
      <c r="I200" s="212"/>
      <c r="J200" s="212"/>
      <c r="K200" s="197"/>
    </row>
    <row r="201" spans="2:11" ht="1.5" customHeight="1">
      <c r="D201" s="197"/>
      <c r="E201" s="203"/>
      <c r="F201" s="204"/>
      <c r="G201" s="205"/>
      <c r="H201" s="206"/>
      <c r="I201" s="204"/>
      <c r="J201" s="207"/>
      <c r="K201" s="197"/>
    </row>
    <row r="202" spans="2:11" ht="30">
      <c r="B202" s="193" t="s">
        <v>429</v>
      </c>
      <c r="D202" s="197"/>
      <c r="E202" s="208"/>
      <c r="F202" s="200"/>
      <c r="G202" s="202" t="s">
        <v>126</v>
      </c>
      <c r="H202" s="198"/>
      <c r="I202" s="128"/>
      <c r="J202" s="209"/>
      <c r="K202" s="197"/>
    </row>
    <row r="203" spans="2:11">
      <c r="D203" s="197"/>
      <c r="E203" s="208"/>
      <c r="F203" s="200"/>
      <c r="G203" s="196"/>
      <c r="H203" s="194"/>
      <c r="I203" s="128"/>
      <c r="J203" s="209"/>
      <c r="K203" s="197"/>
    </row>
    <row r="204" spans="2:11" ht="90">
      <c r="D204" s="197"/>
      <c r="E204" s="208"/>
      <c r="F204" s="200"/>
      <c r="G204" s="196"/>
      <c r="H204" s="201" t="s">
        <v>307</v>
      </c>
      <c r="I204" s="128"/>
      <c r="J204" s="209"/>
      <c r="K204" s="197"/>
    </row>
    <row r="205" spans="2:11">
      <c r="D205" s="197"/>
      <c r="E205" s="208"/>
      <c r="F205" s="200"/>
      <c r="G205" s="196"/>
      <c r="H205" s="194"/>
      <c r="I205" s="128"/>
      <c r="J205" s="209"/>
      <c r="K205" s="197"/>
    </row>
    <row r="206" spans="2:11" ht="1.5" customHeight="1">
      <c r="D206" s="197"/>
      <c r="E206" s="210"/>
      <c r="F206" s="213"/>
      <c r="G206" s="214"/>
      <c r="H206" s="215"/>
      <c r="I206" s="213"/>
      <c r="J206" s="211"/>
      <c r="K206" s="197"/>
    </row>
    <row r="207" spans="2:11" ht="345">
      <c r="B207" s="193" t="s">
        <v>428</v>
      </c>
      <c r="D207" s="197"/>
      <c r="E207" s="197"/>
      <c r="F207" s="212"/>
      <c r="G207" s="216"/>
      <c r="H207" s="199"/>
      <c r="I207" s="212"/>
      <c r="J207" s="197"/>
      <c r="K207" s="197"/>
    </row>
    <row r="208" spans="2:11" ht="150">
      <c r="B208" s="193" t="s">
        <v>427</v>
      </c>
      <c r="D208" s="197"/>
      <c r="E208" s="212"/>
      <c r="F208" s="212"/>
      <c r="G208" s="216"/>
      <c r="H208" s="199"/>
      <c r="I208" s="212"/>
      <c r="J208" s="212"/>
      <c r="K208" s="197"/>
    </row>
    <row r="209" spans="2:11" ht="1.5" customHeight="1">
      <c r="D209" s="197"/>
      <c r="E209" s="203"/>
      <c r="F209" s="204"/>
      <c r="G209" s="205"/>
      <c r="H209" s="206"/>
      <c r="I209" s="204"/>
      <c r="J209" s="207"/>
      <c r="K209" s="197"/>
    </row>
    <row r="210" spans="2:11" ht="30">
      <c r="B210" s="193" t="s">
        <v>429</v>
      </c>
      <c r="D210" s="197"/>
      <c r="E210" s="208"/>
      <c r="F210" s="200"/>
      <c r="G210" s="202" t="s">
        <v>198</v>
      </c>
      <c r="H210" s="198"/>
      <c r="I210" s="128"/>
      <c r="J210" s="209"/>
      <c r="K210" s="197"/>
    </row>
    <row r="211" spans="2:11">
      <c r="D211" s="197"/>
      <c r="E211" s="208"/>
      <c r="F211" s="200"/>
      <c r="G211" s="196"/>
      <c r="H211" s="194"/>
      <c r="I211" s="128"/>
      <c r="J211" s="209"/>
      <c r="K211" s="197"/>
    </row>
    <row r="212" spans="2:11" ht="45">
      <c r="D212" s="197"/>
      <c r="E212" s="208"/>
      <c r="F212" s="200"/>
      <c r="G212" s="196"/>
      <c r="H212" s="201" t="s">
        <v>199</v>
      </c>
      <c r="I212" s="128"/>
      <c r="J212" s="209"/>
      <c r="K212" s="197"/>
    </row>
    <row r="213" spans="2:11">
      <c r="D213" s="197"/>
      <c r="E213" s="208"/>
      <c r="F213" s="200"/>
      <c r="G213" s="196"/>
      <c r="H213" s="194"/>
      <c r="I213" s="128"/>
      <c r="J213" s="209"/>
      <c r="K213" s="197"/>
    </row>
    <row r="214" spans="2:11" ht="1.5" customHeight="1">
      <c r="D214" s="197"/>
      <c r="E214" s="210"/>
      <c r="F214" s="213"/>
      <c r="G214" s="214"/>
      <c r="H214" s="215"/>
      <c r="I214" s="213"/>
      <c r="J214" s="211"/>
      <c r="K214" s="197"/>
    </row>
    <row r="215" spans="2:11" ht="345">
      <c r="B215" s="193" t="s">
        <v>428</v>
      </c>
      <c r="D215" s="197"/>
      <c r="E215" s="197"/>
      <c r="F215" s="212"/>
      <c r="G215" s="216"/>
      <c r="H215" s="199"/>
      <c r="I215" s="212"/>
      <c r="J215" s="197"/>
      <c r="K215" s="197"/>
    </row>
    <row r="216" spans="2:11" ht="150">
      <c r="B216" s="193" t="s">
        <v>427</v>
      </c>
      <c r="D216" s="197"/>
      <c r="E216" s="212"/>
      <c r="F216" s="212"/>
      <c r="G216" s="216"/>
      <c r="H216" s="199"/>
      <c r="I216" s="212"/>
      <c r="J216" s="212"/>
      <c r="K216" s="197"/>
    </row>
    <row r="217" spans="2:11" ht="1.5" customHeight="1">
      <c r="D217" s="197"/>
      <c r="E217" s="203"/>
      <c r="F217" s="204"/>
      <c r="G217" s="205"/>
      <c r="H217" s="206"/>
      <c r="I217" s="204"/>
      <c r="J217" s="207"/>
      <c r="K217" s="197"/>
    </row>
    <row r="218" spans="2:11" ht="30">
      <c r="B218" s="193" t="s">
        <v>429</v>
      </c>
      <c r="D218" s="197"/>
      <c r="E218" s="208"/>
      <c r="F218" s="200"/>
      <c r="G218" s="202" t="s">
        <v>127</v>
      </c>
      <c r="H218" s="198"/>
      <c r="I218" s="128"/>
      <c r="J218" s="209"/>
      <c r="K218" s="197"/>
    </row>
    <row r="219" spans="2:11">
      <c r="D219" s="197"/>
      <c r="E219" s="208"/>
      <c r="F219" s="200"/>
      <c r="G219" s="196"/>
      <c r="H219" s="194"/>
      <c r="I219" s="128"/>
      <c r="J219" s="209"/>
      <c r="K219" s="197"/>
    </row>
    <row r="220" spans="2:11" ht="120">
      <c r="D220" s="197"/>
      <c r="E220" s="208"/>
      <c r="F220" s="200"/>
      <c r="G220" s="196"/>
      <c r="H220" s="201" t="s">
        <v>308</v>
      </c>
      <c r="I220" s="128"/>
      <c r="J220" s="209"/>
      <c r="K220" s="197"/>
    </row>
    <row r="221" spans="2:11">
      <c r="D221" s="197"/>
      <c r="E221" s="208"/>
      <c r="F221" s="200"/>
      <c r="G221" s="196"/>
      <c r="H221" s="194"/>
      <c r="I221" s="128"/>
      <c r="J221" s="209"/>
      <c r="K221" s="197"/>
    </row>
    <row r="222" spans="2:11" ht="1.5" customHeight="1">
      <c r="D222" s="197"/>
      <c r="E222" s="210"/>
      <c r="F222" s="213"/>
      <c r="G222" s="214"/>
      <c r="H222" s="215"/>
      <c r="I222" s="213"/>
      <c r="J222" s="211"/>
      <c r="K222" s="197"/>
    </row>
    <row r="223" spans="2:11" ht="345">
      <c r="B223" s="193" t="s">
        <v>428</v>
      </c>
      <c r="D223" s="197"/>
      <c r="E223" s="197"/>
      <c r="F223" s="212"/>
      <c r="G223" s="216"/>
      <c r="H223" s="199"/>
      <c r="I223" s="212"/>
      <c r="J223" s="197"/>
      <c r="K223" s="197"/>
    </row>
    <row r="224" spans="2:11" ht="150">
      <c r="B224" s="193" t="s">
        <v>427</v>
      </c>
      <c r="D224" s="197"/>
      <c r="E224" s="212"/>
      <c r="F224" s="212"/>
      <c r="G224" s="216"/>
      <c r="H224" s="199"/>
      <c r="I224" s="212"/>
      <c r="J224" s="212"/>
      <c r="K224" s="197"/>
    </row>
    <row r="225" spans="2:11" ht="1.5" customHeight="1">
      <c r="D225" s="197"/>
      <c r="E225" s="203"/>
      <c r="F225" s="204"/>
      <c r="G225" s="205"/>
      <c r="H225" s="206"/>
      <c r="I225" s="204"/>
      <c r="J225" s="207"/>
      <c r="K225" s="197"/>
    </row>
    <row r="226" spans="2:11" ht="30">
      <c r="B226" s="193" t="s">
        <v>429</v>
      </c>
      <c r="D226" s="197"/>
      <c r="E226" s="208"/>
      <c r="F226" s="200"/>
      <c r="G226" s="202" t="s">
        <v>238</v>
      </c>
      <c r="H226" s="198"/>
      <c r="I226" s="128"/>
      <c r="J226" s="209"/>
      <c r="K226" s="197"/>
    </row>
    <row r="227" spans="2:11">
      <c r="D227" s="197"/>
      <c r="E227" s="208"/>
      <c r="F227" s="200"/>
      <c r="G227" s="196"/>
      <c r="H227" s="194"/>
      <c r="I227" s="128"/>
      <c r="J227" s="209"/>
      <c r="K227" s="197"/>
    </row>
    <row r="228" spans="2:11" ht="60">
      <c r="D228" s="197"/>
      <c r="E228" s="208"/>
      <c r="F228" s="200"/>
      <c r="G228" s="196"/>
      <c r="H228" s="201" t="s">
        <v>309</v>
      </c>
      <c r="I228" s="128"/>
      <c r="J228" s="209"/>
      <c r="K228" s="197"/>
    </row>
    <row r="229" spans="2:11">
      <c r="D229" s="197"/>
      <c r="E229" s="208"/>
      <c r="F229" s="200"/>
      <c r="G229" s="196"/>
      <c r="H229" s="194"/>
      <c r="I229" s="128"/>
      <c r="J229" s="209"/>
      <c r="K229" s="197"/>
    </row>
    <row r="230" spans="2:11" ht="1.5" customHeight="1">
      <c r="D230" s="197"/>
      <c r="E230" s="210"/>
      <c r="F230" s="213"/>
      <c r="G230" s="214"/>
      <c r="H230" s="215"/>
      <c r="I230" s="213"/>
      <c r="J230" s="211"/>
      <c r="K230" s="197"/>
    </row>
    <row r="231" spans="2:11" ht="345">
      <c r="B231" s="193" t="s">
        <v>428</v>
      </c>
      <c r="D231" s="197"/>
      <c r="E231" s="197"/>
      <c r="F231" s="212"/>
      <c r="G231" s="216"/>
      <c r="H231" s="199"/>
      <c r="I231" s="212"/>
      <c r="J231" s="197"/>
      <c r="K231" s="197"/>
    </row>
    <row r="232" spans="2:11" ht="150">
      <c r="B232" s="193" t="s">
        <v>427</v>
      </c>
      <c r="D232" s="197"/>
      <c r="E232" s="212"/>
      <c r="F232" s="212"/>
      <c r="G232" s="216"/>
      <c r="H232" s="199"/>
      <c r="I232" s="212"/>
      <c r="J232" s="212"/>
      <c r="K232" s="197"/>
    </row>
    <row r="233" spans="2:11" ht="1.5" customHeight="1">
      <c r="D233" s="197"/>
      <c r="E233" s="203"/>
      <c r="F233" s="204"/>
      <c r="G233" s="205"/>
      <c r="H233" s="206"/>
      <c r="I233" s="204"/>
      <c r="J233" s="207"/>
      <c r="K233" s="197"/>
    </row>
    <row r="234" spans="2:11" ht="30">
      <c r="B234" s="193" t="s">
        <v>429</v>
      </c>
      <c r="D234" s="197"/>
      <c r="E234" s="208"/>
      <c r="F234" s="200"/>
      <c r="G234" s="218" t="s">
        <v>444</v>
      </c>
      <c r="H234" s="198"/>
      <c r="I234" s="128"/>
      <c r="J234" s="209"/>
      <c r="K234" s="197"/>
    </row>
    <row r="235" spans="2:11">
      <c r="D235" s="197"/>
      <c r="E235" s="208"/>
      <c r="F235" s="200"/>
      <c r="G235" s="196"/>
      <c r="H235" s="194"/>
      <c r="I235" s="128"/>
      <c r="J235" s="209"/>
      <c r="K235" s="197"/>
    </row>
    <row r="236" spans="2:11">
      <c r="D236" s="197"/>
      <c r="E236" s="208"/>
      <c r="F236" s="200"/>
      <c r="G236" s="196"/>
      <c r="H236" s="201" t="s">
        <v>224</v>
      </c>
      <c r="I236" s="128"/>
      <c r="J236" s="209"/>
      <c r="K236" s="197"/>
    </row>
    <row r="237" spans="2:11">
      <c r="D237" s="197"/>
      <c r="E237" s="208"/>
      <c r="F237" s="200"/>
      <c r="G237" s="196"/>
      <c r="H237" s="194"/>
      <c r="I237" s="128"/>
      <c r="J237" s="209"/>
      <c r="K237" s="197"/>
    </row>
    <row r="238" spans="2:11" ht="1.5" customHeight="1">
      <c r="D238" s="197"/>
      <c r="E238" s="210"/>
      <c r="F238" s="213"/>
      <c r="G238" s="214"/>
      <c r="H238" s="215"/>
      <c r="I238" s="213"/>
      <c r="J238" s="211"/>
      <c r="K238" s="197"/>
    </row>
    <row r="239" spans="2:11" ht="345">
      <c r="B239" s="193" t="s">
        <v>428</v>
      </c>
      <c r="D239" s="197"/>
      <c r="E239" s="197"/>
      <c r="F239" s="212"/>
      <c r="G239" s="216"/>
      <c r="H239" s="199"/>
      <c r="I239" s="212"/>
      <c r="J239" s="197"/>
      <c r="K239" s="197"/>
    </row>
    <row r="240" spans="2:11" ht="150">
      <c r="B240" s="193" t="s">
        <v>427</v>
      </c>
      <c r="D240" s="197"/>
      <c r="E240" s="212"/>
      <c r="F240" s="212"/>
      <c r="G240" s="216"/>
      <c r="H240" s="199"/>
      <c r="I240" s="212"/>
      <c r="J240" s="212"/>
      <c r="K240" s="197"/>
    </row>
    <row r="241" spans="2:11" ht="1.5" customHeight="1">
      <c r="D241" s="197"/>
      <c r="E241" s="203"/>
      <c r="F241" s="204"/>
      <c r="G241" s="205"/>
      <c r="H241" s="206"/>
      <c r="I241" s="204"/>
      <c r="J241" s="207"/>
      <c r="K241" s="197"/>
    </row>
    <row r="242" spans="2:11" ht="30">
      <c r="B242" s="193" t="s">
        <v>429</v>
      </c>
      <c r="D242" s="197"/>
      <c r="E242" s="208"/>
      <c r="F242" s="200"/>
      <c r="G242" s="220" t="s">
        <v>220</v>
      </c>
      <c r="H242" s="198"/>
      <c r="I242" s="128"/>
      <c r="J242" s="209"/>
      <c r="K242" s="197"/>
    </row>
    <row r="243" spans="2:11">
      <c r="D243" s="197"/>
      <c r="E243" s="208"/>
      <c r="F243" s="200"/>
      <c r="G243" s="196"/>
      <c r="H243" s="194"/>
      <c r="I243" s="128"/>
      <c r="J243" s="209"/>
      <c r="K243" s="197"/>
    </row>
    <row r="244" spans="2:11" ht="60">
      <c r="D244" s="197"/>
      <c r="E244" s="208"/>
      <c r="F244" s="200"/>
      <c r="G244" s="196"/>
      <c r="H244" s="201" t="s">
        <v>310</v>
      </c>
      <c r="I244" s="128"/>
      <c r="J244" s="209"/>
      <c r="K244" s="197"/>
    </row>
    <row r="245" spans="2:11">
      <c r="D245" s="197"/>
      <c r="E245" s="208"/>
      <c r="F245" s="200"/>
      <c r="G245" s="196"/>
      <c r="H245" s="194"/>
      <c r="I245" s="128"/>
      <c r="J245" s="209"/>
      <c r="K245" s="197"/>
    </row>
    <row r="246" spans="2:11" ht="1.5" customHeight="1">
      <c r="D246" s="197"/>
      <c r="E246" s="210"/>
      <c r="F246" s="213"/>
      <c r="G246" s="214"/>
      <c r="H246" s="215"/>
      <c r="I246" s="213"/>
      <c r="J246" s="211"/>
      <c r="K246" s="197"/>
    </row>
    <row r="247" spans="2:11" ht="345">
      <c r="B247" s="193" t="s">
        <v>428</v>
      </c>
      <c r="D247" s="197"/>
      <c r="E247" s="197"/>
      <c r="F247" s="212"/>
      <c r="G247" s="216"/>
      <c r="H247" s="199"/>
      <c r="I247" s="212"/>
      <c r="J247" s="197"/>
      <c r="K247" s="197"/>
    </row>
    <row r="248" spans="2:11" ht="150">
      <c r="B248" s="193" t="s">
        <v>427</v>
      </c>
      <c r="D248" s="197"/>
      <c r="E248" s="212"/>
      <c r="F248" s="212"/>
      <c r="G248" s="216"/>
      <c r="H248" s="199"/>
      <c r="I248" s="212"/>
      <c r="J248" s="212"/>
      <c r="K248" s="197"/>
    </row>
    <row r="249" spans="2:11" ht="1.5" customHeight="1">
      <c r="D249" s="197"/>
      <c r="E249" s="203"/>
      <c r="F249" s="204"/>
      <c r="G249" s="205"/>
      <c r="H249" s="206"/>
      <c r="I249" s="204"/>
      <c r="J249" s="207"/>
      <c r="K249" s="197"/>
    </row>
    <row r="250" spans="2:11" ht="30">
      <c r="B250" s="193" t="s">
        <v>429</v>
      </c>
      <c r="D250" s="197"/>
      <c r="E250" s="208"/>
      <c r="F250" s="200"/>
      <c r="G250" s="202" t="s">
        <v>209</v>
      </c>
      <c r="H250" s="198"/>
      <c r="I250" s="128"/>
      <c r="J250" s="209"/>
      <c r="K250" s="197"/>
    </row>
    <row r="251" spans="2:11">
      <c r="D251" s="197"/>
      <c r="E251" s="208"/>
      <c r="F251" s="200"/>
      <c r="G251" s="196"/>
      <c r="H251" s="194"/>
      <c r="I251" s="128"/>
      <c r="J251" s="209"/>
      <c r="K251" s="197"/>
    </row>
    <row r="252" spans="2:11" ht="60">
      <c r="D252" s="197"/>
      <c r="E252" s="208"/>
      <c r="F252" s="200"/>
      <c r="G252" s="196"/>
      <c r="H252" s="201" t="s">
        <v>311</v>
      </c>
      <c r="I252" s="128"/>
      <c r="J252" s="209"/>
      <c r="K252" s="197"/>
    </row>
    <row r="253" spans="2:11">
      <c r="D253" s="197"/>
      <c r="E253" s="208"/>
      <c r="F253" s="200"/>
      <c r="G253" s="196"/>
      <c r="H253" s="194"/>
      <c r="I253" s="128"/>
      <c r="J253" s="209"/>
      <c r="K253" s="197"/>
    </row>
    <row r="254" spans="2:11" ht="1.5" customHeight="1">
      <c r="D254" s="197"/>
      <c r="E254" s="210"/>
      <c r="F254" s="213"/>
      <c r="G254" s="214"/>
      <c r="H254" s="215"/>
      <c r="I254" s="213"/>
      <c r="J254" s="211"/>
      <c r="K254" s="197"/>
    </row>
    <row r="255" spans="2:11" ht="345">
      <c r="B255" s="193" t="s">
        <v>428</v>
      </c>
      <c r="D255" s="197"/>
      <c r="E255" s="197"/>
      <c r="F255" s="212"/>
      <c r="G255" s="216"/>
      <c r="H255" s="199"/>
      <c r="I255" s="212"/>
      <c r="J255" s="197"/>
      <c r="K255" s="197"/>
    </row>
    <row r="256" spans="2:11" ht="150">
      <c r="B256" s="193" t="s">
        <v>427</v>
      </c>
      <c r="D256" s="197"/>
      <c r="E256" s="212"/>
      <c r="F256" s="212"/>
      <c r="G256" s="216"/>
      <c r="H256" s="199"/>
      <c r="I256" s="212"/>
      <c r="J256" s="212"/>
      <c r="K256" s="197"/>
    </row>
    <row r="257" spans="2:11" ht="1.5" customHeight="1">
      <c r="D257" s="197"/>
      <c r="E257" s="203"/>
      <c r="F257" s="204"/>
      <c r="G257" s="205"/>
      <c r="H257" s="206"/>
      <c r="I257" s="204"/>
      <c r="J257" s="207"/>
      <c r="K257" s="197"/>
    </row>
    <row r="258" spans="2:11" ht="30">
      <c r="B258" s="193" t="s">
        <v>429</v>
      </c>
      <c r="D258" s="197"/>
      <c r="E258" s="208"/>
      <c r="F258" s="200"/>
      <c r="G258" s="202" t="s">
        <v>443</v>
      </c>
      <c r="H258" s="198"/>
      <c r="I258" s="128"/>
      <c r="J258" s="209"/>
      <c r="K258" s="197"/>
    </row>
    <row r="259" spans="2:11">
      <c r="D259" s="197"/>
      <c r="E259" s="208"/>
      <c r="F259" s="200"/>
      <c r="G259" s="196"/>
      <c r="H259" s="194"/>
      <c r="I259" s="128"/>
      <c r="J259" s="209"/>
      <c r="K259" s="197"/>
    </row>
    <row r="260" spans="2:11" ht="210">
      <c r="D260" s="197"/>
      <c r="E260" s="208"/>
      <c r="F260" s="200"/>
      <c r="G260" s="196"/>
      <c r="H260" s="201" t="s">
        <v>330</v>
      </c>
      <c r="I260" s="128"/>
      <c r="J260" s="209"/>
      <c r="K260" s="197"/>
    </row>
    <row r="261" spans="2:11" ht="120">
      <c r="D261" s="197"/>
      <c r="E261" s="208"/>
      <c r="F261" s="200"/>
      <c r="G261" s="196"/>
      <c r="H261" s="201" t="s">
        <v>329</v>
      </c>
      <c r="I261" s="128"/>
      <c r="J261" s="209"/>
      <c r="K261" s="197"/>
    </row>
    <row r="262" spans="2:11">
      <c r="D262" s="197"/>
      <c r="E262" s="208"/>
      <c r="F262" s="200"/>
      <c r="G262" s="196"/>
      <c r="H262" s="120"/>
      <c r="I262" s="128"/>
      <c r="J262" s="209"/>
      <c r="K262" s="197"/>
    </row>
    <row r="263" spans="2:11" ht="1.5" customHeight="1">
      <c r="D263" s="197"/>
      <c r="E263" s="210"/>
      <c r="F263" s="213"/>
      <c r="G263" s="214"/>
      <c r="H263" s="215"/>
      <c r="I263" s="213"/>
      <c r="J263" s="211"/>
      <c r="K263" s="197"/>
    </row>
    <row r="264" spans="2:11" ht="345">
      <c r="B264" s="193" t="s">
        <v>428</v>
      </c>
      <c r="D264" s="197"/>
      <c r="E264" s="197"/>
      <c r="F264" s="212"/>
      <c r="G264" s="216"/>
      <c r="H264" s="199"/>
      <c r="I264" s="212"/>
      <c r="J264" s="197"/>
      <c r="K264" s="197"/>
    </row>
    <row r="265" spans="2:11" s="376" customFormat="1" ht="150">
      <c r="B265" s="193" t="s">
        <v>427</v>
      </c>
      <c r="D265" s="197"/>
      <c r="E265" s="212"/>
      <c r="F265" s="212"/>
      <c r="G265" s="216"/>
      <c r="H265" s="199"/>
      <c r="I265" s="212"/>
      <c r="J265" s="212"/>
      <c r="K265" s="197"/>
    </row>
    <row r="266" spans="2:11" s="376" customFormat="1" ht="1.5" customHeight="1">
      <c r="D266" s="197"/>
      <c r="E266" s="203"/>
      <c r="F266" s="204"/>
      <c r="G266" s="205"/>
      <c r="H266" s="206"/>
      <c r="I266" s="204"/>
      <c r="J266" s="207"/>
      <c r="K266" s="197"/>
    </row>
    <row r="267" spans="2:11" s="376" customFormat="1" ht="30">
      <c r="B267" s="193" t="s">
        <v>429</v>
      </c>
      <c r="D267" s="197"/>
      <c r="E267" s="208"/>
      <c r="F267" s="200"/>
      <c r="G267" s="202" t="s">
        <v>586</v>
      </c>
      <c r="H267" s="375"/>
      <c r="I267" s="128"/>
      <c r="J267" s="209"/>
      <c r="K267" s="197"/>
    </row>
    <row r="268" spans="2:11" s="376" customFormat="1">
      <c r="D268" s="197"/>
      <c r="E268" s="208"/>
      <c r="F268" s="200"/>
      <c r="G268" s="196"/>
      <c r="H268" s="194"/>
      <c r="I268" s="128"/>
      <c r="J268" s="209"/>
      <c r="K268" s="197"/>
    </row>
    <row r="269" spans="2:11" s="376" customFormat="1">
      <c r="D269" s="197"/>
      <c r="E269" s="208"/>
      <c r="F269" s="200"/>
      <c r="G269" s="196"/>
      <c r="H269" s="201" t="s">
        <v>588</v>
      </c>
      <c r="I269" s="128"/>
      <c r="J269" s="209"/>
      <c r="K269" s="197"/>
    </row>
    <row r="270" spans="2:11" s="376" customFormat="1">
      <c r="D270" s="197"/>
      <c r="E270" s="208"/>
      <c r="F270" s="200"/>
      <c r="G270" s="196"/>
      <c r="H270" s="194"/>
      <c r="I270" s="128"/>
      <c r="J270" s="209"/>
      <c r="K270" s="197"/>
    </row>
    <row r="271" spans="2:11" s="376" customFormat="1" ht="1.5" customHeight="1">
      <c r="D271" s="197"/>
      <c r="E271" s="210"/>
      <c r="F271" s="213"/>
      <c r="G271" s="214"/>
      <c r="H271" s="215"/>
      <c r="I271" s="213"/>
      <c r="J271" s="211"/>
      <c r="K271" s="197"/>
    </row>
    <row r="272" spans="2:11" s="376" customFormat="1" ht="345">
      <c r="B272" s="193" t="s">
        <v>428</v>
      </c>
      <c r="D272" s="197"/>
      <c r="E272" s="197"/>
      <c r="F272" s="212"/>
      <c r="G272" s="216"/>
      <c r="H272" s="199"/>
      <c r="I272" s="212"/>
      <c r="J272" s="197"/>
      <c r="K272" s="197"/>
    </row>
    <row r="273" spans="2:11" ht="150">
      <c r="B273" s="193" t="s">
        <v>427</v>
      </c>
      <c r="D273" s="197"/>
      <c r="E273" s="212"/>
      <c r="F273" s="212"/>
      <c r="G273" s="216"/>
      <c r="H273" s="199"/>
      <c r="I273" s="212"/>
      <c r="J273" s="212"/>
      <c r="K273" s="197"/>
    </row>
    <row r="274" spans="2:11" ht="1.5" customHeight="1">
      <c r="D274" s="197"/>
      <c r="E274" s="203"/>
      <c r="F274" s="204"/>
      <c r="G274" s="205"/>
      <c r="H274" s="206"/>
      <c r="I274" s="204"/>
      <c r="J274" s="207"/>
      <c r="K274" s="197"/>
    </row>
    <row r="275" spans="2:11" ht="30">
      <c r="B275" s="193" t="s">
        <v>429</v>
      </c>
      <c r="D275" s="197"/>
      <c r="E275" s="208"/>
      <c r="F275" s="200"/>
      <c r="G275" s="202" t="s">
        <v>207</v>
      </c>
      <c r="H275" s="198"/>
      <c r="I275" s="128"/>
      <c r="J275" s="209"/>
      <c r="K275" s="197"/>
    </row>
    <row r="276" spans="2:11">
      <c r="D276" s="197"/>
      <c r="E276" s="208"/>
      <c r="F276" s="200"/>
      <c r="G276" s="196"/>
      <c r="H276" s="194"/>
      <c r="I276" s="128"/>
      <c r="J276" s="209"/>
      <c r="K276" s="197"/>
    </row>
    <row r="277" spans="2:11" ht="120">
      <c r="D277" s="197"/>
      <c r="E277" s="208"/>
      <c r="F277" s="200"/>
      <c r="G277" s="196"/>
      <c r="H277" s="201" t="s">
        <v>289</v>
      </c>
      <c r="I277" s="128"/>
      <c r="J277" s="209"/>
      <c r="K277" s="197"/>
    </row>
    <row r="278" spans="2:11">
      <c r="D278" s="197"/>
      <c r="E278" s="208"/>
      <c r="F278" s="200"/>
      <c r="G278" s="196"/>
      <c r="H278" s="194"/>
      <c r="I278" s="128"/>
      <c r="J278" s="209"/>
      <c r="K278" s="197"/>
    </row>
    <row r="279" spans="2:11" ht="1.5" customHeight="1">
      <c r="D279" s="197"/>
      <c r="E279" s="210"/>
      <c r="F279" s="213"/>
      <c r="G279" s="214"/>
      <c r="H279" s="215"/>
      <c r="I279" s="213"/>
      <c r="J279" s="211"/>
      <c r="K279" s="197"/>
    </row>
    <row r="280" spans="2:11" ht="345">
      <c r="B280" s="193" t="s">
        <v>428</v>
      </c>
      <c r="D280" s="197"/>
      <c r="E280" s="197"/>
      <c r="F280" s="212"/>
      <c r="G280" s="216"/>
      <c r="H280" s="199"/>
      <c r="I280" s="212"/>
      <c r="J280" s="197"/>
      <c r="K280" s="197"/>
    </row>
    <row r="281" spans="2:11" ht="150">
      <c r="B281" s="193" t="s">
        <v>427</v>
      </c>
      <c r="D281" s="197"/>
      <c r="E281" s="212"/>
      <c r="F281" s="212"/>
      <c r="G281" s="216"/>
      <c r="H281" s="199"/>
      <c r="I281" s="212"/>
      <c r="J281" s="212"/>
      <c r="K281" s="197"/>
    </row>
    <row r="282" spans="2:11" ht="1.5" customHeight="1">
      <c r="D282" s="197"/>
      <c r="E282" s="203"/>
      <c r="F282" s="204"/>
      <c r="G282" s="205"/>
      <c r="H282" s="206"/>
      <c r="I282" s="204"/>
      <c r="J282" s="207"/>
      <c r="K282" s="197"/>
    </row>
    <row r="283" spans="2:11" ht="30">
      <c r="B283" s="193" t="s">
        <v>429</v>
      </c>
      <c r="D283" s="197"/>
      <c r="E283" s="208"/>
      <c r="F283" s="200"/>
      <c r="G283" s="218" t="s">
        <v>278</v>
      </c>
      <c r="H283" s="198"/>
      <c r="I283" s="128"/>
      <c r="J283" s="209"/>
      <c r="K283" s="197"/>
    </row>
    <row r="284" spans="2:11">
      <c r="D284" s="197"/>
      <c r="E284" s="208"/>
      <c r="F284" s="200"/>
      <c r="G284" s="196"/>
      <c r="H284" s="194"/>
      <c r="I284" s="128"/>
      <c r="J284" s="209"/>
      <c r="K284" s="197"/>
    </row>
    <row r="285" spans="2:11" ht="150">
      <c r="D285" s="197"/>
      <c r="E285" s="208"/>
      <c r="F285" s="200"/>
      <c r="G285" s="196"/>
      <c r="H285" s="201" t="s">
        <v>288</v>
      </c>
      <c r="I285" s="128"/>
      <c r="J285" s="209"/>
      <c r="K285" s="197"/>
    </row>
    <row r="286" spans="2:11">
      <c r="D286" s="197"/>
      <c r="E286" s="208"/>
      <c r="F286" s="200"/>
      <c r="G286" s="196"/>
      <c r="H286" s="194"/>
      <c r="I286" s="128"/>
      <c r="J286" s="209"/>
      <c r="K286" s="197"/>
    </row>
    <row r="287" spans="2:11" ht="1.5" customHeight="1">
      <c r="D287" s="197"/>
      <c r="E287" s="210"/>
      <c r="F287" s="213"/>
      <c r="G287" s="214"/>
      <c r="H287" s="215"/>
      <c r="I287" s="213"/>
      <c r="J287" s="211"/>
      <c r="K287" s="197"/>
    </row>
    <row r="288" spans="2:11" ht="345">
      <c r="B288" s="193" t="s">
        <v>428</v>
      </c>
      <c r="D288" s="197"/>
      <c r="E288" s="197"/>
      <c r="F288" s="212"/>
      <c r="G288" s="216"/>
      <c r="H288" s="199"/>
      <c r="I288" s="212"/>
      <c r="J288" s="197"/>
      <c r="K288" s="197"/>
    </row>
    <row r="289" spans="2:11" ht="150">
      <c r="B289" s="193" t="s">
        <v>427</v>
      </c>
      <c r="D289" s="197"/>
      <c r="E289" s="212"/>
      <c r="F289" s="212"/>
      <c r="G289" s="216"/>
      <c r="H289" s="199"/>
      <c r="I289" s="212"/>
      <c r="J289" s="212"/>
      <c r="K289" s="197"/>
    </row>
    <row r="290" spans="2:11" ht="1.5" customHeight="1">
      <c r="D290" s="197"/>
      <c r="E290" s="203"/>
      <c r="F290" s="204"/>
      <c r="G290" s="205"/>
      <c r="H290" s="206"/>
      <c r="I290" s="204"/>
      <c r="J290" s="207"/>
      <c r="K290" s="197"/>
    </row>
    <row r="291" spans="2:11" ht="30">
      <c r="B291" s="193" t="s">
        <v>429</v>
      </c>
      <c r="D291" s="197"/>
      <c r="E291" s="208"/>
      <c r="F291" s="200"/>
      <c r="G291" s="202" t="s">
        <v>262</v>
      </c>
      <c r="H291" s="198"/>
      <c r="I291" s="128"/>
      <c r="J291" s="209"/>
      <c r="K291" s="197"/>
    </row>
    <row r="292" spans="2:11">
      <c r="D292" s="197"/>
      <c r="E292" s="208"/>
      <c r="F292" s="200"/>
      <c r="G292" s="196"/>
      <c r="H292" s="194"/>
      <c r="I292" s="128"/>
      <c r="J292" s="209"/>
      <c r="K292" s="197"/>
    </row>
    <row r="293" spans="2:11" ht="120">
      <c r="D293" s="197"/>
      <c r="E293" s="208"/>
      <c r="F293" s="200"/>
      <c r="G293" s="196"/>
      <c r="H293" s="201" t="s">
        <v>289</v>
      </c>
      <c r="I293" s="128"/>
      <c r="J293" s="209"/>
      <c r="K293" s="197"/>
    </row>
    <row r="294" spans="2:11">
      <c r="D294" s="197"/>
      <c r="E294" s="208"/>
      <c r="F294" s="200"/>
      <c r="G294" s="196"/>
      <c r="H294" s="194"/>
      <c r="I294" s="128"/>
      <c r="J294" s="209"/>
      <c r="K294" s="197"/>
    </row>
    <row r="295" spans="2:11" ht="1.5" customHeight="1">
      <c r="D295" s="197"/>
      <c r="E295" s="210"/>
      <c r="F295" s="213"/>
      <c r="G295" s="214"/>
      <c r="H295" s="215"/>
      <c r="I295" s="213"/>
      <c r="J295" s="211"/>
      <c r="K295" s="197"/>
    </row>
    <row r="296" spans="2:11" ht="345">
      <c r="B296" s="193" t="s">
        <v>428</v>
      </c>
      <c r="D296" s="197"/>
      <c r="E296" s="197"/>
      <c r="F296" s="212"/>
      <c r="G296" s="216"/>
      <c r="H296" s="199"/>
      <c r="I296" s="212"/>
      <c r="J296" s="197"/>
      <c r="K296" s="197"/>
    </row>
    <row r="297" spans="2:11" ht="150">
      <c r="B297" s="193" t="s">
        <v>427</v>
      </c>
      <c r="D297" s="197"/>
      <c r="E297" s="212"/>
      <c r="F297" s="212"/>
      <c r="G297" s="216"/>
      <c r="H297" s="199"/>
      <c r="I297" s="212"/>
      <c r="J297" s="212"/>
      <c r="K297" s="197"/>
    </row>
    <row r="298" spans="2:11" ht="1.5" customHeight="1">
      <c r="D298" s="197"/>
      <c r="E298" s="203"/>
      <c r="F298" s="204"/>
      <c r="G298" s="205"/>
      <c r="H298" s="206"/>
      <c r="I298" s="204"/>
      <c r="J298" s="207"/>
      <c r="K298" s="197"/>
    </row>
    <row r="299" spans="2:11" ht="30">
      <c r="B299" s="193" t="s">
        <v>429</v>
      </c>
      <c r="D299" s="197"/>
      <c r="E299" s="208"/>
      <c r="F299" s="200"/>
      <c r="G299" s="202" t="s">
        <v>0</v>
      </c>
      <c r="H299" s="198"/>
      <c r="I299" s="128"/>
      <c r="J299" s="209"/>
      <c r="K299" s="197"/>
    </row>
    <row r="300" spans="2:11">
      <c r="D300" s="197"/>
      <c r="E300" s="208"/>
      <c r="F300" s="200"/>
      <c r="G300" s="196"/>
      <c r="H300" s="194"/>
      <c r="I300" s="128"/>
      <c r="J300" s="209"/>
      <c r="K300" s="197"/>
    </row>
    <row r="301" spans="2:11">
      <c r="D301" s="197"/>
      <c r="E301" s="208"/>
      <c r="F301" s="200"/>
      <c r="G301" s="196"/>
      <c r="H301" s="201"/>
      <c r="I301" s="128"/>
      <c r="J301" s="209"/>
      <c r="K301" s="197"/>
    </row>
    <row r="302" spans="2:11">
      <c r="D302" s="197"/>
      <c r="E302" s="208"/>
      <c r="F302" s="200"/>
      <c r="G302" s="196"/>
      <c r="H302" s="194"/>
      <c r="I302" s="128"/>
      <c r="J302" s="209"/>
      <c r="K302" s="197"/>
    </row>
    <row r="303" spans="2:11" ht="1.5" customHeight="1">
      <c r="D303" s="197"/>
      <c r="E303" s="210"/>
      <c r="F303" s="213"/>
      <c r="G303" s="214"/>
      <c r="H303" s="215"/>
      <c r="I303" s="213"/>
      <c r="J303" s="211"/>
      <c r="K303" s="197"/>
    </row>
    <row r="304" spans="2:11" ht="345">
      <c r="B304" s="193" t="s">
        <v>428</v>
      </c>
      <c r="D304" s="197"/>
      <c r="E304" s="197"/>
      <c r="F304" s="212"/>
      <c r="G304" s="216"/>
      <c r="H304" s="199"/>
      <c r="I304" s="212"/>
      <c r="J304" s="197"/>
      <c r="K304" s="197"/>
    </row>
    <row r="305" spans="2:11" ht="150">
      <c r="B305" s="193" t="s">
        <v>427</v>
      </c>
      <c r="D305" s="197"/>
      <c r="E305" s="212"/>
      <c r="F305" s="212"/>
      <c r="G305" s="216"/>
      <c r="H305" s="199"/>
      <c r="I305" s="212"/>
      <c r="J305" s="212"/>
      <c r="K305" s="197"/>
    </row>
    <row r="306" spans="2:11" ht="1.5" customHeight="1">
      <c r="D306" s="197"/>
      <c r="E306" s="203"/>
      <c r="F306" s="204"/>
      <c r="G306" s="205"/>
      <c r="H306" s="206"/>
      <c r="I306" s="204"/>
      <c r="J306" s="207"/>
      <c r="K306" s="197"/>
    </row>
    <row r="307" spans="2:11" ht="30">
      <c r="B307" s="193" t="s">
        <v>429</v>
      </c>
      <c r="D307" s="197"/>
      <c r="E307" s="208"/>
      <c r="F307" s="200"/>
      <c r="G307" s="202" t="s">
        <v>149</v>
      </c>
      <c r="H307" s="198"/>
      <c r="I307" s="128"/>
      <c r="J307" s="209"/>
      <c r="K307" s="197"/>
    </row>
    <row r="308" spans="2:11">
      <c r="D308" s="197"/>
      <c r="E308" s="208"/>
      <c r="F308" s="200"/>
      <c r="G308" s="196"/>
      <c r="H308" s="194"/>
      <c r="I308" s="128"/>
      <c r="J308" s="209"/>
      <c r="K308" s="197"/>
    </row>
    <row r="309" spans="2:11" ht="270">
      <c r="D309" s="197"/>
      <c r="E309" s="208"/>
      <c r="F309" s="200"/>
      <c r="G309" s="196"/>
      <c r="H309" s="201" t="s">
        <v>312</v>
      </c>
      <c r="I309" s="128"/>
      <c r="J309" s="209"/>
      <c r="K309" s="197"/>
    </row>
    <row r="310" spans="2:11">
      <c r="D310" s="197"/>
      <c r="E310" s="208"/>
      <c r="F310" s="200"/>
      <c r="G310" s="196"/>
      <c r="H310" s="194"/>
      <c r="I310" s="128"/>
      <c r="J310" s="209"/>
      <c r="K310" s="197"/>
    </row>
    <row r="311" spans="2:11" ht="1.5" customHeight="1">
      <c r="D311" s="197"/>
      <c r="E311" s="210"/>
      <c r="F311" s="213"/>
      <c r="G311" s="214"/>
      <c r="H311" s="215"/>
      <c r="I311" s="213"/>
      <c r="J311" s="211"/>
      <c r="K311" s="197"/>
    </row>
    <row r="312" spans="2:11" ht="345">
      <c r="B312" s="193" t="s">
        <v>428</v>
      </c>
      <c r="D312" s="197"/>
      <c r="E312" s="197"/>
      <c r="F312" s="212"/>
      <c r="G312" s="216"/>
      <c r="H312" s="199"/>
      <c r="I312" s="212"/>
      <c r="J312" s="197"/>
      <c r="K312" s="197"/>
    </row>
    <row r="313" spans="2:11" ht="150">
      <c r="B313" s="193" t="s">
        <v>427</v>
      </c>
      <c r="D313" s="197"/>
      <c r="E313" s="212"/>
      <c r="F313" s="212"/>
      <c r="G313" s="216"/>
      <c r="H313" s="199"/>
      <c r="I313" s="212"/>
      <c r="J313" s="212"/>
      <c r="K313" s="197"/>
    </row>
    <row r="314" spans="2:11" ht="1.5" customHeight="1">
      <c r="D314" s="197"/>
      <c r="E314" s="203"/>
      <c r="F314" s="204"/>
      <c r="G314" s="205"/>
      <c r="H314" s="206"/>
      <c r="I314" s="204"/>
      <c r="J314" s="207"/>
      <c r="K314" s="197"/>
    </row>
    <row r="315" spans="2:11" ht="30">
      <c r="B315" s="193" t="s">
        <v>429</v>
      </c>
      <c r="D315" s="197"/>
      <c r="E315" s="208"/>
      <c r="F315" s="200"/>
      <c r="G315" s="202" t="s">
        <v>144</v>
      </c>
      <c r="H315" s="198"/>
      <c r="I315" s="128"/>
      <c r="J315" s="209"/>
      <c r="K315" s="197"/>
    </row>
    <row r="316" spans="2:11">
      <c r="D316" s="197"/>
      <c r="E316" s="208"/>
      <c r="F316" s="200"/>
      <c r="G316" s="196"/>
      <c r="H316" s="194"/>
      <c r="I316" s="128"/>
      <c r="J316" s="209"/>
      <c r="K316" s="197"/>
    </row>
    <row r="317" spans="2:11" ht="45">
      <c r="D317" s="197"/>
      <c r="E317" s="208"/>
      <c r="F317" s="200"/>
      <c r="G317" s="196"/>
      <c r="H317" s="201" t="s">
        <v>145</v>
      </c>
      <c r="I317" s="128"/>
      <c r="J317" s="209"/>
      <c r="K317" s="197"/>
    </row>
    <row r="318" spans="2:11">
      <c r="D318" s="197"/>
      <c r="E318" s="208"/>
      <c r="F318" s="200"/>
      <c r="G318" s="196"/>
      <c r="H318" s="194"/>
      <c r="I318" s="128"/>
      <c r="J318" s="209"/>
      <c r="K318" s="197"/>
    </row>
    <row r="319" spans="2:11" ht="1.5" customHeight="1">
      <c r="D319" s="197"/>
      <c r="E319" s="210"/>
      <c r="F319" s="213"/>
      <c r="G319" s="214"/>
      <c r="H319" s="215"/>
      <c r="I319" s="213"/>
      <c r="J319" s="211"/>
      <c r="K319" s="197"/>
    </row>
    <row r="320" spans="2:11" ht="345">
      <c r="B320" s="193" t="s">
        <v>428</v>
      </c>
      <c r="D320" s="197"/>
      <c r="E320" s="197"/>
      <c r="F320" s="212"/>
      <c r="G320" s="216"/>
      <c r="H320" s="199"/>
      <c r="I320" s="212"/>
      <c r="J320" s="197"/>
      <c r="K320" s="197"/>
    </row>
    <row r="321" spans="2:11" ht="150">
      <c r="B321" s="193" t="s">
        <v>427</v>
      </c>
      <c r="D321" s="197"/>
      <c r="E321" s="212"/>
      <c r="F321" s="212"/>
      <c r="G321" s="216"/>
      <c r="H321" s="199"/>
      <c r="I321" s="212"/>
      <c r="J321" s="212"/>
      <c r="K321" s="197"/>
    </row>
    <row r="322" spans="2:11" ht="1.5" customHeight="1">
      <c r="D322" s="197"/>
      <c r="E322" s="203"/>
      <c r="F322" s="204"/>
      <c r="G322" s="205"/>
      <c r="H322" s="206"/>
      <c r="I322" s="204"/>
      <c r="J322" s="207"/>
      <c r="K322" s="197"/>
    </row>
    <row r="323" spans="2:11" ht="30">
      <c r="B323" s="193" t="s">
        <v>429</v>
      </c>
      <c r="D323" s="197"/>
      <c r="E323" s="208"/>
      <c r="F323" s="200"/>
      <c r="G323" s="202" t="s">
        <v>16</v>
      </c>
      <c r="H323" s="198"/>
      <c r="I323" s="128"/>
      <c r="J323" s="209"/>
      <c r="K323" s="197"/>
    </row>
    <row r="324" spans="2:11">
      <c r="D324" s="197"/>
      <c r="E324" s="208"/>
      <c r="F324" s="200"/>
      <c r="G324" s="196"/>
      <c r="H324" s="194"/>
      <c r="I324" s="128"/>
      <c r="J324" s="209"/>
      <c r="K324" s="197"/>
    </row>
    <row r="325" spans="2:11">
      <c r="D325" s="197"/>
      <c r="E325" s="208"/>
      <c r="F325" s="200"/>
      <c r="G325" s="196"/>
      <c r="H325" s="201" t="s">
        <v>150</v>
      </c>
      <c r="I325" s="128"/>
      <c r="J325" s="209"/>
      <c r="K325" s="197"/>
    </row>
    <row r="326" spans="2:11">
      <c r="D326" s="197"/>
      <c r="E326" s="208"/>
      <c r="F326" s="200"/>
      <c r="G326" s="196"/>
      <c r="H326" s="194"/>
      <c r="I326" s="128"/>
      <c r="J326" s="209"/>
      <c r="K326" s="197"/>
    </row>
    <row r="327" spans="2:11" ht="1.5" customHeight="1">
      <c r="D327" s="197"/>
      <c r="E327" s="210"/>
      <c r="F327" s="213"/>
      <c r="G327" s="214"/>
      <c r="H327" s="215"/>
      <c r="I327" s="213"/>
      <c r="J327" s="211"/>
      <c r="K327" s="197"/>
    </row>
    <row r="328" spans="2:11" ht="345">
      <c r="B328" s="193" t="s">
        <v>428</v>
      </c>
      <c r="D328" s="197"/>
      <c r="E328" s="197"/>
      <c r="F328" s="212"/>
      <c r="G328" s="216"/>
      <c r="H328" s="199"/>
      <c r="I328" s="212"/>
      <c r="J328" s="197"/>
      <c r="K328" s="197"/>
    </row>
    <row r="329" spans="2:11" ht="150">
      <c r="B329" s="193" t="s">
        <v>427</v>
      </c>
      <c r="D329" s="197"/>
      <c r="E329" s="212"/>
      <c r="F329" s="212"/>
      <c r="G329" s="216"/>
      <c r="H329" s="199"/>
      <c r="I329" s="212"/>
      <c r="J329" s="212"/>
      <c r="K329" s="197"/>
    </row>
    <row r="330" spans="2:11" ht="1.5" customHeight="1">
      <c r="D330" s="197"/>
      <c r="E330" s="203"/>
      <c r="F330" s="204"/>
      <c r="G330" s="205"/>
      <c r="H330" s="206"/>
      <c r="I330" s="204"/>
      <c r="J330" s="207"/>
      <c r="K330" s="197"/>
    </row>
    <row r="331" spans="2:11" ht="30">
      <c r="B331" s="193" t="s">
        <v>429</v>
      </c>
      <c r="D331" s="197"/>
      <c r="E331" s="208"/>
      <c r="F331" s="200"/>
      <c r="G331" s="202" t="s">
        <v>414</v>
      </c>
      <c r="H331" s="198"/>
      <c r="I331" s="128"/>
      <c r="J331" s="209"/>
      <c r="K331" s="197"/>
    </row>
    <row r="332" spans="2:11">
      <c r="D332" s="197"/>
      <c r="E332" s="208"/>
      <c r="F332" s="200"/>
      <c r="G332" s="196"/>
      <c r="H332" s="194"/>
      <c r="I332" s="128"/>
      <c r="J332" s="209"/>
      <c r="K332" s="197"/>
    </row>
    <row r="333" spans="2:11" ht="60">
      <c r="D333" s="197"/>
      <c r="E333" s="208"/>
      <c r="F333" s="200"/>
      <c r="G333" s="196"/>
      <c r="H333" s="201" t="s">
        <v>415</v>
      </c>
      <c r="I333" s="128"/>
      <c r="J333" s="209"/>
      <c r="K333" s="197"/>
    </row>
    <row r="334" spans="2:11">
      <c r="D334" s="197"/>
      <c r="E334" s="208"/>
      <c r="F334" s="200"/>
      <c r="G334" s="196"/>
      <c r="H334" s="194"/>
      <c r="I334" s="128"/>
      <c r="J334" s="209"/>
      <c r="K334" s="197"/>
    </row>
    <row r="335" spans="2:11" ht="1.5" customHeight="1">
      <c r="D335" s="197"/>
      <c r="E335" s="210"/>
      <c r="F335" s="213"/>
      <c r="G335" s="214"/>
      <c r="H335" s="215"/>
      <c r="I335" s="213"/>
      <c r="J335" s="211"/>
      <c r="K335" s="197"/>
    </row>
    <row r="336" spans="2:11" ht="345">
      <c r="B336" s="193" t="s">
        <v>428</v>
      </c>
      <c r="D336" s="197"/>
      <c r="E336" s="197"/>
      <c r="F336" s="212"/>
      <c r="G336" s="216"/>
      <c r="H336" s="199"/>
      <c r="I336" s="212"/>
      <c r="J336" s="197"/>
      <c r="K336" s="197"/>
    </row>
    <row r="337" spans="2:11" ht="150">
      <c r="B337" s="193" t="s">
        <v>427</v>
      </c>
      <c r="D337" s="197"/>
      <c r="E337" s="212"/>
      <c r="F337" s="212"/>
      <c r="G337" s="216"/>
      <c r="H337" s="199"/>
      <c r="I337" s="212"/>
      <c r="J337" s="212"/>
      <c r="K337" s="197"/>
    </row>
    <row r="338" spans="2:11" ht="1.5" customHeight="1">
      <c r="D338" s="197"/>
      <c r="E338" s="203"/>
      <c r="F338" s="204"/>
      <c r="G338" s="205"/>
      <c r="H338" s="206"/>
      <c r="I338" s="204"/>
      <c r="J338" s="207"/>
      <c r="K338" s="197"/>
    </row>
    <row r="339" spans="2:11" ht="30">
      <c r="B339" s="193" t="s">
        <v>429</v>
      </c>
      <c r="D339" s="197"/>
      <c r="E339" s="208"/>
      <c r="F339" s="200"/>
      <c r="G339" s="218" t="s">
        <v>442</v>
      </c>
      <c r="H339" s="198"/>
      <c r="I339" s="128"/>
      <c r="J339" s="209"/>
      <c r="K339" s="197"/>
    </row>
    <row r="340" spans="2:11">
      <c r="D340" s="197"/>
      <c r="E340" s="208"/>
      <c r="F340" s="200"/>
      <c r="G340" s="196"/>
      <c r="H340" s="194"/>
      <c r="I340" s="128"/>
      <c r="J340" s="209"/>
      <c r="K340" s="197"/>
    </row>
    <row r="341" spans="2:11" ht="45">
      <c r="D341" s="197"/>
      <c r="E341" s="208"/>
      <c r="F341" s="200"/>
      <c r="G341" s="196"/>
      <c r="H341" s="201" t="s">
        <v>263</v>
      </c>
      <c r="I341" s="128"/>
      <c r="J341" s="209"/>
      <c r="K341" s="197"/>
    </row>
    <row r="342" spans="2:11">
      <c r="D342" s="197"/>
      <c r="E342" s="208"/>
      <c r="F342" s="200"/>
      <c r="G342" s="196"/>
      <c r="H342" s="194"/>
      <c r="I342" s="128"/>
      <c r="J342" s="209"/>
      <c r="K342" s="197"/>
    </row>
    <row r="343" spans="2:11" ht="1.5" customHeight="1">
      <c r="D343" s="197"/>
      <c r="E343" s="210"/>
      <c r="F343" s="213"/>
      <c r="G343" s="214"/>
      <c r="H343" s="215"/>
      <c r="I343" s="213"/>
      <c r="J343" s="211"/>
      <c r="K343" s="197"/>
    </row>
    <row r="344" spans="2:11" ht="345">
      <c r="B344" s="193" t="s">
        <v>428</v>
      </c>
      <c r="D344" s="197"/>
      <c r="E344" s="197"/>
      <c r="F344" s="212"/>
      <c r="G344" s="216"/>
      <c r="H344" s="199"/>
      <c r="I344" s="212"/>
      <c r="J344" s="197"/>
      <c r="K344" s="197"/>
    </row>
    <row r="345" spans="2:11" ht="150">
      <c r="B345" s="193" t="s">
        <v>427</v>
      </c>
      <c r="D345" s="197"/>
      <c r="E345" s="212"/>
      <c r="F345" s="212"/>
      <c r="G345" s="216"/>
      <c r="H345" s="199"/>
      <c r="I345" s="212"/>
      <c r="J345" s="212"/>
      <c r="K345" s="197"/>
    </row>
    <row r="346" spans="2:11" ht="1.5" customHeight="1">
      <c r="D346" s="197"/>
      <c r="E346" s="203"/>
      <c r="F346" s="204"/>
      <c r="G346" s="205"/>
      <c r="H346" s="206"/>
      <c r="I346" s="204"/>
      <c r="J346" s="207"/>
      <c r="K346" s="197"/>
    </row>
    <row r="347" spans="2:11" ht="30">
      <c r="B347" s="193" t="s">
        <v>429</v>
      </c>
      <c r="D347" s="197"/>
      <c r="E347" s="208"/>
      <c r="F347" s="200"/>
      <c r="G347" s="202" t="s">
        <v>64</v>
      </c>
      <c r="H347" s="198"/>
      <c r="I347" s="128"/>
      <c r="J347" s="209"/>
      <c r="K347" s="197"/>
    </row>
    <row r="348" spans="2:11">
      <c r="D348" s="197"/>
      <c r="E348" s="208"/>
      <c r="F348" s="200"/>
      <c r="G348" s="196"/>
      <c r="H348" s="194"/>
      <c r="I348" s="128"/>
      <c r="J348" s="209"/>
      <c r="K348" s="197"/>
    </row>
    <row r="349" spans="2:11">
      <c r="D349" s="197"/>
      <c r="E349" s="208"/>
      <c r="F349" s="200"/>
      <c r="G349" s="196"/>
      <c r="H349" s="201" t="s">
        <v>272</v>
      </c>
      <c r="I349" s="128"/>
      <c r="J349" s="209"/>
      <c r="K349" s="197"/>
    </row>
    <row r="350" spans="2:11">
      <c r="D350" s="197"/>
      <c r="E350" s="208"/>
      <c r="F350" s="200"/>
      <c r="G350" s="196"/>
      <c r="H350" s="194"/>
      <c r="I350" s="128"/>
      <c r="J350" s="209"/>
      <c r="K350" s="197"/>
    </row>
    <row r="351" spans="2:11" ht="1.5" customHeight="1">
      <c r="D351" s="197"/>
      <c r="E351" s="210"/>
      <c r="F351" s="213"/>
      <c r="G351" s="214"/>
      <c r="H351" s="215"/>
      <c r="I351" s="213"/>
      <c r="J351" s="211"/>
      <c r="K351" s="197"/>
    </row>
    <row r="352" spans="2:11" ht="345">
      <c r="B352" s="193" t="s">
        <v>428</v>
      </c>
      <c r="D352" s="197"/>
      <c r="E352" s="197"/>
      <c r="F352" s="212"/>
      <c r="G352" s="216"/>
      <c r="H352" s="199"/>
      <c r="I352" s="212"/>
      <c r="J352" s="197"/>
      <c r="K352" s="197"/>
    </row>
    <row r="353" spans="2:11" ht="150">
      <c r="B353" s="193" t="s">
        <v>427</v>
      </c>
      <c r="D353" s="197"/>
      <c r="E353" s="212"/>
      <c r="F353" s="212"/>
      <c r="G353" s="216"/>
      <c r="H353" s="199"/>
      <c r="I353" s="212"/>
      <c r="J353" s="212"/>
      <c r="K353" s="197"/>
    </row>
    <row r="354" spans="2:11" ht="1.5" customHeight="1">
      <c r="D354" s="197"/>
      <c r="E354" s="203"/>
      <c r="F354" s="204"/>
      <c r="G354" s="205"/>
      <c r="H354" s="206"/>
      <c r="I354" s="204"/>
      <c r="J354" s="207"/>
      <c r="K354" s="197"/>
    </row>
    <row r="355" spans="2:11" ht="30">
      <c r="B355" s="193" t="s">
        <v>429</v>
      </c>
      <c r="D355" s="197"/>
      <c r="E355" s="208"/>
      <c r="F355" s="200"/>
      <c r="G355" s="202" t="s">
        <v>65</v>
      </c>
      <c r="H355" s="198"/>
      <c r="I355" s="128"/>
      <c r="J355" s="209"/>
      <c r="K355" s="197"/>
    </row>
    <row r="356" spans="2:11">
      <c r="D356" s="197"/>
      <c r="E356" s="208"/>
      <c r="F356" s="200"/>
      <c r="G356" s="196"/>
      <c r="H356" s="194"/>
      <c r="I356" s="128"/>
      <c r="J356" s="209"/>
      <c r="K356" s="197"/>
    </row>
    <row r="357" spans="2:11" ht="195">
      <c r="D357" s="197"/>
      <c r="E357" s="208"/>
      <c r="F357" s="200"/>
      <c r="G357" s="196"/>
      <c r="H357" s="201" t="s">
        <v>274</v>
      </c>
      <c r="I357" s="128"/>
      <c r="J357" s="209"/>
      <c r="K357" s="197"/>
    </row>
    <row r="358" spans="2:11">
      <c r="D358" s="197"/>
      <c r="E358" s="208"/>
      <c r="F358" s="200"/>
      <c r="G358" s="196"/>
      <c r="H358" s="194"/>
      <c r="I358" s="128"/>
      <c r="J358" s="209"/>
      <c r="K358" s="197"/>
    </row>
    <row r="359" spans="2:11" ht="1.5" customHeight="1">
      <c r="D359" s="197"/>
      <c r="E359" s="210"/>
      <c r="F359" s="213"/>
      <c r="G359" s="214"/>
      <c r="H359" s="215"/>
      <c r="I359" s="213"/>
      <c r="J359" s="211"/>
      <c r="K359" s="197"/>
    </row>
    <row r="360" spans="2:11" ht="345">
      <c r="B360" s="193" t="s">
        <v>428</v>
      </c>
      <c r="D360" s="197"/>
      <c r="E360" s="197"/>
      <c r="F360" s="212"/>
      <c r="G360" s="216"/>
      <c r="H360" s="199"/>
      <c r="I360" s="212"/>
      <c r="J360" s="197"/>
      <c r="K360" s="197"/>
    </row>
    <row r="361" spans="2:11" ht="150">
      <c r="B361" s="193" t="s">
        <v>427</v>
      </c>
      <c r="D361" s="197"/>
      <c r="E361" s="212"/>
      <c r="F361" s="212"/>
      <c r="G361" s="216"/>
      <c r="H361" s="199"/>
      <c r="I361" s="212"/>
      <c r="J361" s="212"/>
      <c r="K361" s="197"/>
    </row>
    <row r="362" spans="2:11" ht="1.5" customHeight="1">
      <c r="D362" s="197"/>
      <c r="E362" s="203"/>
      <c r="F362" s="204"/>
      <c r="G362" s="205"/>
      <c r="H362" s="206"/>
      <c r="I362" s="204"/>
      <c r="J362" s="207"/>
      <c r="K362" s="197"/>
    </row>
    <row r="363" spans="2:11" ht="30">
      <c r="B363" s="193" t="s">
        <v>429</v>
      </c>
      <c r="D363" s="197"/>
      <c r="E363" s="208"/>
      <c r="F363" s="200"/>
      <c r="G363" s="202" t="s">
        <v>66</v>
      </c>
      <c r="H363" s="198"/>
      <c r="I363" s="128"/>
      <c r="J363" s="209"/>
      <c r="K363" s="197"/>
    </row>
    <row r="364" spans="2:11">
      <c r="D364" s="197"/>
      <c r="E364" s="208"/>
      <c r="F364" s="200"/>
      <c r="G364" s="196"/>
      <c r="H364" s="194"/>
      <c r="I364" s="128"/>
      <c r="J364" s="209"/>
      <c r="K364" s="197"/>
    </row>
    <row r="365" spans="2:11" ht="30">
      <c r="D365" s="197"/>
      <c r="E365" s="208"/>
      <c r="F365" s="200"/>
      <c r="G365" s="196"/>
      <c r="H365" s="201" t="s">
        <v>273</v>
      </c>
      <c r="I365" s="128"/>
      <c r="J365" s="209"/>
      <c r="K365" s="197"/>
    </row>
    <row r="366" spans="2:11">
      <c r="D366" s="197"/>
      <c r="E366" s="208"/>
      <c r="F366" s="200"/>
      <c r="G366" s="196"/>
      <c r="H366" s="194"/>
      <c r="I366" s="128"/>
      <c r="J366" s="209"/>
      <c r="K366" s="197"/>
    </row>
    <row r="367" spans="2:11" ht="1.5" customHeight="1">
      <c r="D367" s="197"/>
      <c r="E367" s="210"/>
      <c r="F367" s="213"/>
      <c r="G367" s="214"/>
      <c r="H367" s="215"/>
      <c r="I367" s="213"/>
      <c r="J367" s="211"/>
      <c r="K367" s="197"/>
    </row>
    <row r="368" spans="2:11" ht="345">
      <c r="B368" s="193" t="s">
        <v>428</v>
      </c>
      <c r="D368" s="197"/>
      <c r="E368" s="197"/>
      <c r="F368" s="212"/>
      <c r="G368" s="216"/>
      <c r="H368" s="199"/>
      <c r="I368" s="212"/>
      <c r="J368" s="197"/>
      <c r="K368" s="197"/>
    </row>
    <row r="369" spans="2:11" ht="150">
      <c r="B369" s="193" t="s">
        <v>427</v>
      </c>
      <c r="D369" s="197"/>
      <c r="E369" s="212"/>
      <c r="F369" s="212"/>
      <c r="G369" s="216"/>
      <c r="H369" s="199"/>
      <c r="I369" s="212"/>
      <c r="J369" s="212"/>
      <c r="K369" s="197"/>
    </row>
    <row r="370" spans="2:11" ht="1.5" customHeight="1">
      <c r="D370" s="197"/>
      <c r="E370" s="203"/>
      <c r="F370" s="204"/>
      <c r="G370" s="205"/>
      <c r="H370" s="206"/>
      <c r="I370" s="204"/>
      <c r="J370" s="207"/>
      <c r="K370" s="197"/>
    </row>
    <row r="371" spans="2:11" ht="30">
      <c r="B371" s="193" t="s">
        <v>429</v>
      </c>
      <c r="D371" s="197"/>
      <c r="E371" s="208"/>
      <c r="F371" s="200"/>
      <c r="G371" s="218" t="s">
        <v>441</v>
      </c>
      <c r="H371" s="198"/>
      <c r="I371" s="128"/>
      <c r="J371" s="209"/>
      <c r="K371" s="197"/>
    </row>
    <row r="372" spans="2:11">
      <c r="D372" s="197"/>
      <c r="E372" s="208"/>
      <c r="F372" s="200"/>
      <c r="G372" s="196"/>
      <c r="H372" s="194"/>
      <c r="I372" s="128"/>
      <c r="J372" s="209"/>
      <c r="K372" s="197"/>
    </row>
    <row r="373" spans="2:11" ht="135">
      <c r="D373" s="197"/>
      <c r="E373" s="208"/>
      <c r="F373" s="200"/>
      <c r="G373" s="196"/>
      <c r="H373" s="201" t="s">
        <v>291</v>
      </c>
      <c r="I373" s="128"/>
      <c r="J373" s="209"/>
      <c r="K373" s="197"/>
    </row>
    <row r="374" spans="2:11">
      <c r="D374" s="197"/>
      <c r="E374" s="208"/>
      <c r="F374" s="200"/>
      <c r="G374" s="196"/>
      <c r="H374" s="194"/>
      <c r="I374" s="128"/>
      <c r="J374" s="209"/>
      <c r="K374" s="197"/>
    </row>
    <row r="375" spans="2:11" ht="1.5" customHeight="1">
      <c r="D375" s="197"/>
      <c r="E375" s="210"/>
      <c r="F375" s="213"/>
      <c r="G375" s="214"/>
      <c r="H375" s="215"/>
      <c r="I375" s="213"/>
      <c r="J375" s="211"/>
      <c r="K375" s="197"/>
    </row>
    <row r="376" spans="2:11" ht="345">
      <c r="B376" s="193" t="s">
        <v>428</v>
      </c>
      <c r="D376" s="197"/>
      <c r="E376" s="197"/>
      <c r="F376" s="212"/>
      <c r="G376" s="216"/>
      <c r="H376" s="199"/>
      <c r="I376" s="212"/>
      <c r="J376" s="197"/>
      <c r="K376" s="197"/>
    </row>
    <row r="377" spans="2:11" ht="150">
      <c r="B377" s="193" t="s">
        <v>427</v>
      </c>
      <c r="D377" s="197"/>
      <c r="E377" s="212"/>
      <c r="F377" s="212"/>
      <c r="G377" s="216"/>
      <c r="H377" s="199"/>
      <c r="I377" s="212"/>
      <c r="J377" s="212"/>
      <c r="K377" s="197"/>
    </row>
    <row r="378" spans="2:11" ht="1.5" customHeight="1">
      <c r="D378" s="197"/>
      <c r="E378" s="203"/>
      <c r="F378" s="204"/>
      <c r="G378" s="205"/>
      <c r="H378" s="206"/>
      <c r="I378" s="204"/>
      <c r="J378" s="207"/>
      <c r="K378" s="197"/>
    </row>
    <row r="379" spans="2:11" ht="30">
      <c r="B379" s="193" t="s">
        <v>429</v>
      </c>
      <c r="D379" s="197"/>
      <c r="E379" s="208"/>
      <c r="F379" s="200"/>
      <c r="G379" s="202" t="s">
        <v>67</v>
      </c>
      <c r="H379" s="198"/>
      <c r="I379" s="128"/>
      <c r="J379" s="209"/>
      <c r="K379" s="197"/>
    </row>
    <row r="380" spans="2:11">
      <c r="D380" s="197"/>
      <c r="E380" s="208"/>
      <c r="F380" s="200"/>
      <c r="G380" s="196"/>
      <c r="H380" s="194"/>
      <c r="I380" s="128"/>
      <c r="J380" s="209"/>
      <c r="K380" s="197"/>
    </row>
    <row r="381" spans="2:11" ht="150">
      <c r="D381" s="197"/>
      <c r="E381" s="208"/>
      <c r="F381" s="200"/>
      <c r="G381" s="196"/>
      <c r="H381" s="201" t="s">
        <v>440</v>
      </c>
      <c r="I381" s="128"/>
      <c r="J381" s="209"/>
      <c r="K381" s="197"/>
    </row>
    <row r="382" spans="2:11">
      <c r="D382" s="197"/>
      <c r="E382" s="208"/>
      <c r="F382" s="200"/>
      <c r="G382" s="196"/>
      <c r="H382" s="194"/>
      <c r="I382" s="128"/>
      <c r="J382" s="209"/>
      <c r="K382" s="197"/>
    </row>
    <row r="383" spans="2:11" ht="1.5" customHeight="1">
      <c r="D383" s="197"/>
      <c r="E383" s="210"/>
      <c r="F383" s="213"/>
      <c r="G383" s="214"/>
      <c r="H383" s="215"/>
      <c r="I383" s="213"/>
      <c r="J383" s="211"/>
      <c r="K383" s="197"/>
    </row>
    <row r="384" spans="2:11" ht="345">
      <c r="B384" s="193" t="s">
        <v>428</v>
      </c>
      <c r="D384" s="197"/>
      <c r="E384" s="197"/>
      <c r="F384" s="212"/>
      <c r="G384" s="216"/>
      <c r="H384" s="199"/>
      <c r="I384" s="212"/>
      <c r="J384" s="197"/>
      <c r="K384" s="197"/>
    </row>
    <row r="385" spans="2:11" ht="150">
      <c r="B385" s="193" t="s">
        <v>427</v>
      </c>
      <c r="D385" s="197"/>
      <c r="E385" s="212"/>
      <c r="F385" s="212"/>
      <c r="G385" s="216"/>
      <c r="H385" s="199"/>
      <c r="I385" s="212"/>
      <c r="J385" s="212"/>
      <c r="K385" s="197"/>
    </row>
    <row r="386" spans="2:11" ht="1.5" customHeight="1">
      <c r="D386" s="197"/>
      <c r="E386" s="203"/>
      <c r="F386" s="204"/>
      <c r="G386" s="205"/>
      <c r="H386" s="206"/>
      <c r="I386" s="204"/>
      <c r="J386" s="207"/>
      <c r="K386" s="197"/>
    </row>
    <row r="387" spans="2:11" ht="30">
      <c r="B387" s="193" t="s">
        <v>429</v>
      </c>
      <c r="D387" s="197"/>
      <c r="E387" s="208"/>
      <c r="F387" s="200"/>
      <c r="G387" s="202" t="s">
        <v>334</v>
      </c>
      <c r="H387" s="198"/>
      <c r="I387" s="128"/>
      <c r="J387" s="209"/>
      <c r="K387" s="197"/>
    </row>
    <row r="388" spans="2:11">
      <c r="D388" s="197"/>
      <c r="E388" s="208"/>
      <c r="F388" s="200"/>
      <c r="G388" s="196"/>
      <c r="H388" s="194"/>
      <c r="I388" s="128"/>
      <c r="J388" s="209"/>
      <c r="K388" s="197"/>
    </row>
    <row r="389" spans="2:11" ht="210">
      <c r="D389" s="197"/>
      <c r="E389" s="208"/>
      <c r="F389" s="200"/>
      <c r="G389" s="196"/>
      <c r="H389" s="201" t="s">
        <v>342</v>
      </c>
      <c r="I389" s="128"/>
      <c r="J389" s="209"/>
      <c r="K389" s="197"/>
    </row>
    <row r="390" spans="2:11">
      <c r="D390" s="197"/>
      <c r="E390" s="208"/>
      <c r="F390" s="200"/>
      <c r="G390" s="196"/>
      <c r="H390" s="194"/>
      <c r="I390" s="128"/>
      <c r="J390" s="209"/>
      <c r="K390" s="197"/>
    </row>
    <row r="391" spans="2:11" ht="1.5" customHeight="1">
      <c r="D391" s="197"/>
      <c r="E391" s="210"/>
      <c r="F391" s="213"/>
      <c r="G391" s="214"/>
      <c r="H391" s="215"/>
      <c r="I391" s="213"/>
      <c r="J391" s="211"/>
      <c r="K391" s="197"/>
    </row>
    <row r="392" spans="2:11" ht="345">
      <c r="B392" s="193" t="s">
        <v>428</v>
      </c>
      <c r="D392" s="197"/>
      <c r="E392" s="197"/>
      <c r="F392" s="212"/>
      <c r="G392" s="216"/>
      <c r="H392" s="199"/>
      <c r="I392" s="212"/>
      <c r="J392" s="197"/>
      <c r="K392" s="197"/>
    </row>
    <row r="393" spans="2:11" ht="150">
      <c r="B393" s="193" t="s">
        <v>427</v>
      </c>
      <c r="D393" s="197"/>
      <c r="E393" s="212"/>
      <c r="F393" s="212"/>
      <c r="G393" s="216"/>
      <c r="H393" s="199"/>
      <c r="I393" s="212"/>
      <c r="J393" s="212"/>
      <c r="K393" s="197"/>
    </row>
    <row r="394" spans="2:11" ht="1.5" customHeight="1">
      <c r="D394" s="197"/>
      <c r="E394" s="203"/>
      <c r="F394" s="204"/>
      <c r="G394" s="205"/>
      <c r="H394" s="206"/>
      <c r="I394" s="204"/>
      <c r="J394" s="207"/>
      <c r="K394" s="197"/>
    </row>
    <row r="395" spans="2:11" ht="30">
      <c r="B395" s="193" t="s">
        <v>429</v>
      </c>
      <c r="D395" s="197"/>
      <c r="E395" s="208"/>
      <c r="F395" s="200"/>
      <c r="G395" s="202" t="s">
        <v>68</v>
      </c>
      <c r="H395" s="198"/>
      <c r="I395" s="128"/>
      <c r="J395" s="209"/>
      <c r="K395" s="197"/>
    </row>
    <row r="396" spans="2:11">
      <c r="D396" s="197"/>
      <c r="E396" s="208"/>
      <c r="F396" s="200"/>
      <c r="G396" s="196"/>
      <c r="H396" s="194"/>
      <c r="I396" s="128"/>
      <c r="J396" s="209"/>
      <c r="K396" s="197"/>
    </row>
    <row r="397" spans="2:11" ht="315">
      <c r="D397" s="197"/>
      <c r="E397" s="208"/>
      <c r="F397" s="200"/>
      <c r="G397" s="196"/>
      <c r="H397" s="201" t="s">
        <v>313</v>
      </c>
      <c r="I397" s="128"/>
      <c r="J397" s="209"/>
      <c r="K397" s="197"/>
    </row>
    <row r="398" spans="2:11">
      <c r="D398" s="197"/>
      <c r="E398" s="208"/>
      <c r="F398" s="200"/>
      <c r="G398" s="196"/>
      <c r="H398" s="194"/>
      <c r="I398" s="128"/>
      <c r="J398" s="209"/>
      <c r="K398" s="197"/>
    </row>
    <row r="399" spans="2:11" ht="1.5" customHeight="1">
      <c r="D399" s="197"/>
      <c r="E399" s="210"/>
      <c r="F399" s="213"/>
      <c r="G399" s="214"/>
      <c r="H399" s="215"/>
      <c r="I399" s="213"/>
      <c r="J399" s="211"/>
      <c r="K399" s="197"/>
    </row>
    <row r="400" spans="2:11" ht="345">
      <c r="B400" s="193" t="s">
        <v>428</v>
      </c>
      <c r="D400" s="197"/>
      <c r="E400" s="197"/>
      <c r="F400" s="212"/>
      <c r="G400" s="216"/>
      <c r="H400" s="199"/>
      <c r="I400" s="212"/>
      <c r="J400" s="197"/>
      <c r="K400" s="197"/>
    </row>
    <row r="401" spans="2:11" ht="150">
      <c r="B401" s="193" t="s">
        <v>427</v>
      </c>
      <c r="D401" s="197"/>
      <c r="E401" s="212"/>
      <c r="F401" s="212"/>
      <c r="G401" s="216"/>
      <c r="H401" s="199"/>
      <c r="I401" s="212"/>
      <c r="J401" s="212"/>
      <c r="K401" s="197"/>
    </row>
    <row r="402" spans="2:11" ht="1.5" customHeight="1">
      <c r="D402" s="197"/>
      <c r="E402" s="203"/>
      <c r="F402" s="204"/>
      <c r="G402" s="205"/>
      <c r="H402" s="206"/>
      <c r="I402" s="204"/>
      <c r="J402" s="207"/>
      <c r="K402" s="197"/>
    </row>
    <row r="403" spans="2:11" ht="30">
      <c r="B403" s="193" t="s">
        <v>429</v>
      </c>
      <c r="D403" s="197"/>
      <c r="E403" s="208"/>
      <c r="F403" s="200"/>
      <c r="G403" s="202" t="s">
        <v>143</v>
      </c>
      <c r="H403" s="198"/>
      <c r="I403" s="128"/>
      <c r="J403" s="209"/>
      <c r="K403" s="197"/>
    </row>
    <row r="404" spans="2:11">
      <c r="D404" s="197"/>
      <c r="E404" s="208"/>
      <c r="F404" s="200"/>
      <c r="G404" s="196"/>
      <c r="H404" s="194"/>
      <c r="I404" s="128"/>
      <c r="J404" s="209"/>
      <c r="K404" s="197"/>
    </row>
    <row r="405" spans="2:11" ht="105">
      <c r="D405" s="197"/>
      <c r="E405" s="208"/>
      <c r="F405" s="200"/>
      <c r="G405" s="196"/>
      <c r="H405" s="201" t="s">
        <v>314</v>
      </c>
      <c r="I405" s="128"/>
      <c r="J405" s="209"/>
      <c r="K405" s="197"/>
    </row>
    <row r="406" spans="2:11">
      <c r="D406" s="197"/>
      <c r="E406" s="208"/>
      <c r="F406" s="200"/>
      <c r="G406" s="196"/>
      <c r="H406" s="194"/>
      <c r="I406" s="128"/>
      <c r="J406" s="209"/>
      <c r="K406" s="197"/>
    </row>
    <row r="407" spans="2:11" ht="1.5" customHeight="1">
      <c r="D407" s="197"/>
      <c r="E407" s="210"/>
      <c r="F407" s="213"/>
      <c r="G407" s="214"/>
      <c r="H407" s="215"/>
      <c r="I407" s="213"/>
      <c r="J407" s="211"/>
      <c r="K407" s="197"/>
    </row>
    <row r="408" spans="2:11" ht="345">
      <c r="B408" s="193" t="s">
        <v>428</v>
      </c>
      <c r="D408" s="197"/>
      <c r="E408" s="197"/>
      <c r="F408" s="212"/>
      <c r="G408" s="216"/>
      <c r="H408" s="199"/>
      <c r="I408" s="212"/>
      <c r="J408" s="197"/>
      <c r="K408" s="197"/>
    </row>
    <row r="409" spans="2:11" ht="150">
      <c r="B409" s="193" t="s">
        <v>427</v>
      </c>
      <c r="D409" s="197"/>
      <c r="E409" s="212"/>
      <c r="F409" s="212"/>
      <c r="G409" s="216"/>
      <c r="H409" s="199"/>
      <c r="I409" s="212"/>
      <c r="J409" s="212"/>
      <c r="K409" s="197"/>
    </row>
    <row r="410" spans="2:11" ht="1.5" customHeight="1">
      <c r="D410" s="197"/>
      <c r="E410" s="203"/>
      <c r="F410" s="204"/>
      <c r="G410" s="205"/>
      <c r="H410" s="206"/>
      <c r="I410" s="204"/>
      <c r="J410" s="207"/>
      <c r="K410" s="197"/>
    </row>
    <row r="411" spans="2:11" ht="30">
      <c r="B411" s="193" t="s">
        <v>429</v>
      </c>
      <c r="D411" s="197"/>
      <c r="E411" s="208"/>
      <c r="F411" s="200"/>
      <c r="G411" s="202" t="s">
        <v>338</v>
      </c>
      <c r="H411" s="198"/>
      <c r="I411" s="128"/>
      <c r="J411" s="209"/>
      <c r="K411" s="197"/>
    </row>
    <row r="412" spans="2:11">
      <c r="D412" s="197"/>
      <c r="E412" s="208"/>
      <c r="F412" s="200"/>
      <c r="G412" s="196"/>
      <c r="H412" s="194"/>
      <c r="I412" s="128"/>
      <c r="J412" s="209"/>
      <c r="K412" s="197"/>
    </row>
    <row r="413" spans="2:11" ht="120">
      <c r="D413" s="197"/>
      <c r="E413" s="208"/>
      <c r="F413" s="200"/>
      <c r="G413" s="196"/>
      <c r="H413" s="201" t="s">
        <v>315</v>
      </c>
      <c r="I413" s="128"/>
      <c r="J413" s="209"/>
      <c r="K413" s="197"/>
    </row>
    <row r="414" spans="2:11">
      <c r="D414" s="197"/>
      <c r="E414" s="208"/>
      <c r="F414" s="200"/>
      <c r="G414" s="196"/>
      <c r="H414" s="194"/>
      <c r="I414" s="128"/>
      <c r="J414" s="209"/>
      <c r="K414" s="197"/>
    </row>
    <row r="415" spans="2:11" ht="1.5" customHeight="1">
      <c r="D415" s="197"/>
      <c r="E415" s="210"/>
      <c r="F415" s="213"/>
      <c r="G415" s="214"/>
      <c r="H415" s="215"/>
      <c r="I415" s="213"/>
      <c r="J415" s="211"/>
      <c r="K415" s="197"/>
    </row>
    <row r="416" spans="2:11" ht="345">
      <c r="B416" s="193" t="s">
        <v>428</v>
      </c>
      <c r="D416" s="197"/>
      <c r="E416" s="197"/>
      <c r="F416" s="212"/>
      <c r="G416" s="216"/>
      <c r="H416" s="199"/>
      <c r="I416" s="212"/>
      <c r="J416" s="197"/>
      <c r="K416" s="197"/>
    </row>
    <row r="417" spans="2:11" ht="150">
      <c r="B417" s="193" t="s">
        <v>427</v>
      </c>
      <c r="D417" s="197"/>
      <c r="E417" s="212"/>
      <c r="F417" s="212"/>
      <c r="G417" s="216"/>
      <c r="H417" s="199"/>
      <c r="I417" s="212"/>
      <c r="J417" s="212"/>
      <c r="K417" s="197"/>
    </row>
    <row r="418" spans="2:11" ht="1.5" customHeight="1">
      <c r="D418" s="197"/>
      <c r="E418" s="203"/>
      <c r="F418" s="204"/>
      <c r="G418" s="205"/>
      <c r="H418" s="206"/>
      <c r="I418" s="204"/>
      <c r="J418" s="207"/>
      <c r="K418" s="197"/>
    </row>
    <row r="419" spans="2:11" ht="30">
      <c r="B419" s="193" t="s">
        <v>429</v>
      </c>
      <c r="D419" s="197"/>
      <c r="E419" s="208"/>
      <c r="F419" s="200"/>
      <c r="G419" s="202" t="s">
        <v>142</v>
      </c>
      <c r="H419" s="198"/>
      <c r="I419" s="128"/>
      <c r="J419" s="209"/>
      <c r="K419" s="197"/>
    </row>
    <row r="420" spans="2:11">
      <c r="D420" s="197"/>
      <c r="E420" s="208"/>
      <c r="F420" s="200"/>
      <c r="G420" s="196"/>
      <c r="H420" s="194"/>
      <c r="I420" s="128"/>
      <c r="J420" s="209"/>
      <c r="K420" s="197"/>
    </row>
    <row r="421" spans="2:11" ht="105">
      <c r="D421" s="197"/>
      <c r="E421" s="208"/>
      <c r="F421" s="200"/>
      <c r="G421" s="196"/>
      <c r="H421" s="201" t="s">
        <v>439</v>
      </c>
      <c r="I421" s="128"/>
      <c r="J421" s="209"/>
      <c r="K421" s="197"/>
    </row>
    <row r="422" spans="2:11">
      <c r="D422" s="197"/>
      <c r="E422" s="208"/>
      <c r="F422" s="200"/>
      <c r="G422" s="196"/>
      <c r="H422" s="194"/>
      <c r="I422" s="128"/>
      <c r="J422" s="209"/>
      <c r="K422" s="197"/>
    </row>
    <row r="423" spans="2:11" ht="1.5" customHeight="1">
      <c r="D423" s="197"/>
      <c r="E423" s="210"/>
      <c r="F423" s="213"/>
      <c r="G423" s="214"/>
      <c r="H423" s="215"/>
      <c r="I423" s="213"/>
      <c r="J423" s="211"/>
      <c r="K423" s="197"/>
    </row>
    <row r="424" spans="2:11" ht="345">
      <c r="B424" s="193" t="s">
        <v>428</v>
      </c>
      <c r="D424" s="197"/>
      <c r="E424" s="197"/>
      <c r="F424" s="212"/>
      <c r="G424" s="216"/>
      <c r="H424" s="199"/>
      <c r="I424" s="212"/>
      <c r="J424" s="197"/>
      <c r="K424" s="197"/>
    </row>
    <row r="425" spans="2:11" ht="150">
      <c r="B425" s="193" t="s">
        <v>427</v>
      </c>
      <c r="D425" s="197"/>
      <c r="E425" s="212"/>
      <c r="F425" s="212"/>
      <c r="G425" s="216"/>
      <c r="H425" s="199"/>
      <c r="I425" s="212"/>
      <c r="J425" s="212"/>
      <c r="K425" s="197"/>
    </row>
    <row r="426" spans="2:11" ht="1.5" customHeight="1">
      <c r="D426" s="197"/>
      <c r="E426" s="203"/>
      <c r="F426" s="204"/>
      <c r="G426" s="205"/>
      <c r="H426" s="206"/>
      <c r="I426" s="204"/>
      <c r="J426" s="207"/>
      <c r="K426" s="197"/>
    </row>
    <row r="427" spans="2:11" ht="30">
      <c r="B427" s="193" t="s">
        <v>429</v>
      </c>
      <c r="D427" s="197"/>
      <c r="E427" s="208"/>
      <c r="F427" s="200"/>
      <c r="G427" s="202" t="s">
        <v>438</v>
      </c>
      <c r="H427" s="198"/>
      <c r="I427" s="128"/>
      <c r="J427" s="209"/>
      <c r="K427" s="197"/>
    </row>
    <row r="428" spans="2:11">
      <c r="D428" s="197"/>
      <c r="E428" s="208"/>
      <c r="F428" s="200"/>
      <c r="G428" s="196"/>
      <c r="H428" s="194"/>
      <c r="I428" s="128"/>
      <c r="J428" s="209"/>
      <c r="K428" s="197"/>
    </row>
    <row r="429" spans="2:11">
      <c r="D429" s="197"/>
      <c r="E429" s="208"/>
      <c r="F429" s="200"/>
      <c r="G429" s="196"/>
      <c r="H429" s="201" t="s">
        <v>316</v>
      </c>
      <c r="I429" s="128"/>
      <c r="J429" s="209"/>
      <c r="K429" s="197"/>
    </row>
    <row r="430" spans="2:11">
      <c r="D430" s="197"/>
      <c r="E430" s="208"/>
      <c r="F430" s="200"/>
      <c r="G430" s="196"/>
      <c r="H430" s="194"/>
      <c r="I430" s="128"/>
      <c r="J430" s="209"/>
      <c r="K430" s="197"/>
    </row>
    <row r="431" spans="2:11" ht="1.5" customHeight="1">
      <c r="D431" s="197"/>
      <c r="E431" s="210"/>
      <c r="F431" s="213"/>
      <c r="G431" s="214"/>
      <c r="H431" s="215"/>
      <c r="I431" s="213"/>
      <c r="J431" s="211"/>
      <c r="K431" s="197"/>
    </row>
    <row r="432" spans="2:11" ht="345">
      <c r="B432" s="193" t="s">
        <v>428</v>
      </c>
      <c r="D432" s="197"/>
      <c r="E432" s="197"/>
      <c r="F432" s="212"/>
      <c r="G432" s="216"/>
      <c r="H432" s="199"/>
      <c r="I432" s="212"/>
      <c r="J432" s="197"/>
      <c r="K432" s="197"/>
    </row>
    <row r="433" spans="2:11" ht="150">
      <c r="B433" s="193" t="s">
        <v>427</v>
      </c>
      <c r="D433" s="197"/>
      <c r="E433" s="212"/>
      <c r="F433" s="212"/>
      <c r="G433" s="216"/>
      <c r="H433" s="199"/>
      <c r="I433" s="212"/>
      <c r="J433" s="212"/>
      <c r="K433" s="197"/>
    </row>
    <row r="434" spans="2:11" ht="1.5" customHeight="1">
      <c r="D434" s="197"/>
      <c r="E434" s="203"/>
      <c r="F434" s="204"/>
      <c r="G434" s="205"/>
      <c r="H434" s="206"/>
      <c r="I434" s="204"/>
      <c r="J434" s="207"/>
      <c r="K434" s="197"/>
    </row>
    <row r="435" spans="2:11" ht="30">
      <c r="B435" s="193" t="s">
        <v>429</v>
      </c>
      <c r="D435" s="197"/>
      <c r="E435" s="208"/>
      <c r="F435" s="200"/>
      <c r="G435" s="202" t="s">
        <v>161</v>
      </c>
      <c r="H435" s="198"/>
      <c r="I435" s="128"/>
      <c r="J435" s="209"/>
      <c r="K435" s="197"/>
    </row>
    <row r="436" spans="2:11">
      <c r="D436" s="197"/>
      <c r="E436" s="208"/>
      <c r="F436" s="200"/>
      <c r="G436" s="196"/>
      <c r="H436" s="194"/>
      <c r="I436" s="128"/>
      <c r="J436" s="209"/>
      <c r="K436" s="197"/>
    </row>
    <row r="437" spans="2:11" ht="45">
      <c r="D437" s="197"/>
      <c r="E437" s="208"/>
      <c r="F437" s="200"/>
      <c r="G437" s="196"/>
      <c r="H437" s="201" t="s">
        <v>317</v>
      </c>
      <c r="I437" s="128"/>
      <c r="J437" s="209"/>
      <c r="K437" s="197"/>
    </row>
    <row r="438" spans="2:11">
      <c r="D438" s="197"/>
      <c r="E438" s="208"/>
      <c r="F438" s="200"/>
      <c r="G438" s="196"/>
      <c r="H438" s="194"/>
      <c r="I438" s="128"/>
      <c r="J438" s="209"/>
      <c r="K438" s="197"/>
    </row>
    <row r="439" spans="2:11" ht="1.5" customHeight="1">
      <c r="D439" s="197"/>
      <c r="E439" s="210"/>
      <c r="F439" s="213"/>
      <c r="G439" s="214"/>
      <c r="H439" s="215"/>
      <c r="I439" s="213"/>
      <c r="J439" s="211"/>
      <c r="K439" s="197"/>
    </row>
    <row r="440" spans="2:11" ht="345">
      <c r="B440" s="193" t="s">
        <v>428</v>
      </c>
      <c r="D440" s="197"/>
      <c r="E440" s="197"/>
      <c r="F440" s="212"/>
      <c r="G440" s="216"/>
      <c r="H440" s="199"/>
      <c r="I440" s="212"/>
      <c r="J440" s="197"/>
      <c r="K440" s="197"/>
    </row>
    <row r="441" spans="2:11" ht="150">
      <c r="B441" s="193" t="s">
        <v>427</v>
      </c>
      <c r="D441" s="197"/>
      <c r="E441" s="212"/>
      <c r="F441" s="212"/>
      <c r="G441" s="216"/>
      <c r="H441" s="199"/>
      <c r="I441" s="212"/>
      <c r="J441" s="212"/>
      <c r="K441" s="197"/>
    </row>
    <row r="442" spans="2:11" ht="1.5" customHeight="1">
      <c r="D442" s="197"/>
      <c r="E442" s="203"/>
      <c r="F442" s="204"/>
      <c r="G442" s="205"/>
      <c r="H442" s="206"/>
      <c r="I442" s="204"/>
      <c r="J442" s="207"/>
      <c r="K442" s="197"/>
    </row>
    <row r="443" spans="2:11" ht="30">
      <c r="B443" s="193" t="s">
        <v>429</v>
      </c>
      <c r="D443" s="197"/>
      <c r="E443" s="208"/>
      <c r="F443" s="200"/>
      <c r="G443" s="202" t="s">
        <v>146</v>
      </c>
      <c r="H443" s="198"/>
      <c r="I443" s="128"/>
      <c r="J443" s="209"/>
      <c r="K443" s="197"/>
    </row>
    <row r="444" spans="2:11">
      <c r="D444" s="197"/>
      <c r="E444" s="208"/>
      <c r="F444" s="200"/>
      <c r="G444" s="196"/>
      <c r="H444" s="194"/>
      <c r="I444" s="128"/>
      <c r="J444" s="209"/>
      <c r="K444" s="197"/>
    </row>
    <row r="445" spans="2:11" ht="45">
      <c r="D445" s="197"/>
      <c r="E445" s="208"/>
      <c r="F445" s="200"/>
      <c r="G445" s="196"/>
      <c r="H445" s="201" t="s">
        <v>336</v>
      </c>
      <c r="I445" s="128"/>
      <c r="J445" s="209"/>
      <c r="K445" s="197"/>
    </row>
    <row r="446" spans="2:11" ht="30">
      <c r="D446" s="197"/>
      <c r="E446" s="208"/>
      <c r="F446" s="200"/>
      <c r="G446" s="196"/>
      <c r="H446" s="217" t="s">
        <v>335</v>
      </c>
      <c r="I446" s="128"/>
      <c r="J446" s="209"/>
      <c r="K446" s="197"/>
    </row>
    <row r="447" spans="2:11">
      <c r="D447" s="197"/>
      <c r="E447" s="208"/>
      <c r="F447" s="200"/>
      <c r="G447" s="196"/>
      <c r="H447" s="120"/>
      <c r="I447" s="128"/>
      <c r="J447" s="209"/>
      <c r="K447" s="197"/>
    </row>
    <row r="448" spans="2:11" ht="1.5" customHeight="1">
      <c r="D448" s="197"/>
      <c r="E448" s="210"/>
      <c r="F448" s="213"/>
      <c r="G448" s="214"/>
      <c r="H448" s="215"/>
      <c r="I448" s="213"/>
      <c r="J448" s="211"/>
      <c r="K448" s="197"/>
    </row>
    <row r="449" spans="2:11" ht="345">
      <c r="B449" s="193" t="s">
        <v>428</v>
      </c>
      <c r="D449" s="197"/>
      <c r="E449" s="197"/>
      <c r="F449" s="212"/>
      <c r="G449" s="216"/>
      <c r="H449" s="199"/>
      <c r="I449" s="212"/>
      <c r="J449" s="197"/>
      <c r="K449" s="197"/>
    </row>
    <row r="450" spans="2:11" ht="150">
      <c r="B450" s="193" t="s">
        <v>427</v>
      </c>
      <c r="D450" s="197"/>
      <c r="E450" s="212"/>
      <c r="F450" s="212"/>
      <c r="G450" s="216"/>
      <c r="H450" s="199"/>
      <c r="I450" s="212"/>
      <c r="J450" s="212"/>
      <c r="K450" s="197"/>
    </row>
    <row r="451" spans="2:11" ht="1.5" customHeight="1">
      <c r="D451" s="197"/>
      <c r="E451" s="203"/>
      <c r="F451" s="204"/>
      <c r="G451" s="205"/>
      <c r="H451" s="206"/>
      <c r="I451" s="204"/>
      <c r="J451" s="207"/>
      <c r="K451" s="197"/>
    </row>
    <row r="452" spans="2:11" ht="30">
      <c r="B452" s="193" t="s">
        <v>429</v>
      </c>
      <c r="D452" s="197"/>
      <c r="E452" s="208"/>
      <c r="F452" s="200"/>
      <c r="G452" s="202" t="s">
        <v>226</v>
      </c>
      <c r="H452" s="198"/>
      <c r="I452" s="128"/>
      <c r="J452" s="209"/>
      <c r="K452" s="197"/>
    </row>
    <row r="453" spans="2:11">
      <c r="D453" s="197"/>
      <c r="E453" s="208"/>
      <c r="F453" s="200"/>
      <c r="G453" s="196"/>
      <c r="H453" s="194"/>
      <c r="I453" s="128"/>
      <c r="J453" s="209"/>
      <c r="K453" s="197"/>
    </row>
    <row r="454" spans="2:11" ht="90">
      <c r="D454" s="197"/>
      <c r="E454" s="208"/>
      <c r="F454" s="200"/>
      <c r="G454" s="196"/>
      <c r="H454" s="201" t="s">
        <v>290</v>
      </c>
      <c r="I454" s="128"/>
      <c r="J454" s="209"/>
      <c r="K454" s="197"/>
    </row>
    <row r="455" spans="2:11">
      <c r="D455" s="197"/>
      <c r="E455" s="208"/>
      <c r="F455" s="200"/>
      <c r="G455" s="196"/>
      <c r="H455" s="194"/>
      <c r="I455" s="128"/>
      <c r="J455" s="209"/>
      <c r="K455" s="197"/>
    </row>
    <row r="456" spans="2:11" ht="1.5" customHeight="1">
      <c r="D456" s="197"/>
      <c r="E456" s="210"/>
      <c r="F456" s="213"/>
      <c r="G456" s="214"/>
      <c r="H456" s="215"/>
      <c r="I456" s="213"/>
      <c r="J456" s="211"/>
      <c r="K456" s="197"/>
    </row>
    <row r="457" spans="2:11" ht="345">
      <c r="B457" s="193" t="s">
        <v>428</v>
      </c>
      <c r="D457" s="197"/>
      <c r="E457" s="197"/>
      <c r="F457" s="212"/>
      <c r="G457" s="216"/>
      <c r="H457" s="199"/>
      <c r="I457" s="212"/>
      <c r="J457" s="197"/>
      <c r="K457" s="197"/>
    </row>
    <row r="458" spans="2:11" ht="150">
      <c r="B458" s="193" t="s">
        <v>427</v>
      </c>
      <c r="D458" s="197"/>
      <c r="E458" s="212"/>
      <c r="F458" s="212"/>
      <c r="G458" s="216"/>
      <c r="H458" s="199"/>
      <c r="I458" s="212"/>
      <c r="J458" s="212"/>
      <c r="K458" s="197"/>
    </row>
    <row r="459" spans="2:11" ht="1.5" customHeight="1">
      <c r="D459" s="197"/>
      <c r="E459" s="203"/>
      <c r="F459" s="204"/>
      <c r="G459" s="205"/>
      <c r="H459" s="206"/>
      <c r="I459" s="204"/>
      <c r="J459" s="207"/>
      <c r="K459" s="197"/>
    </row>
    <row r="460" spans="2:11" ht="30">
      <c r="B460" s="193" t="s">
        <v>429</v>
      </c>
      <c r="D460" s="197"/>
      <c r="E460" s="208"/>
      <c r="F460" s="200"/>
      <c r="G460" s="202" t="s">
        <v>206</v>
      </c>
      <c r="H460" s="198"/>
      <c r="I460" s="128"/>
      <c r="J460" s="209"/>
      <c r="K460" s="197"/>
    </row>
    <row r="461" spans="2:11">
      <c r="D461" s="197"/>
      <c r="E461" s="208"/>
      <c r="F461" s="200"/>
      <c r="G461" s="196"/>
      <c r="H461" s="194"/>
      <c r="I461" s="128"/>
      <c r="J461" s="209"/>
      <c r="K461" s="197"/>
    </row>
    <row r="462" spans="2:11">
      <c r="D462" s="197"/>
      <c r="E462" s="208"/>
      <c r="F462" s="200"/>
      <c r="G462" s="196"/>
      <c r="H462" s="201" t="s">
        <v>275</v>
      </c>
      <c r="I462" s="128"/>
      <c r="J462" s="209"/>
      <c r="K462" s="197"/>
    </row>
    <row r="463" spans="2:11">
      <c r="D463" s="197"/>
      <c r="E463" s="208"/>
      <c r="F463" s="200"/>
      <c r="G463" s="196"/>
      <c r="H463" s="194"/>
      <c r="I463" s="128"/>
      <c r="J463" s="209"/>
      <c r="K463" s="197"/>
    </row>
    <row r="464" spans="2:11" ht="1.5" customHeight="1">
      <c r="D464" s="197"/>
      <c r="E464" s="210"/>
      <c r="F464" s="213"/>
      <c r="G464" s="214"/>
      <c r="H464" s="215"/>
      <c r="I464" s="213"/>
      <c r="J464" s="211"/>
      <c r="K464" s="197"/>
    </row>
    <row r="465" spans="2:11" ht="345">
      <c r="B465" s="193" t="s">
        <v>428</v>
      </c>
      <c r="D465" s="197"/>
      <c r="E465" s="197"/>
      <c r="F465" s="212"/>
      <c r="G465" s="216"/>
      <c r="H465" s="199"/>
      <c r="I465" s="212"/>
      <c r="J465" s="197"/>
      <c r="K465" s="197"/>
    </row>
    <row r="466" spans="2:11" ht="150">
      <c r="B466" s="193" t="s">
        <v>427</v>
      </c>
      <c r="D466" s="197"/>
      <c r="E466" s="212"/>
      <c r="F466" s="212"/>
      <c r="G466" s="216"/>
      <c r="H466" s="199"/>
      <c r="I466" s="212"/>
      <c r="J466" s="212"/>
      <c r="K466" s="197"/>
    </row>
    <row r="467" spans="2:11" ht="1.5" customHeight="1">
      <c r="D467" s="197"/>
      <c r="E467" s="203"/>
      <c r="F467" s="204"/>
      <c r="G467" s="205"/>
      <c r="H467" s="206"/>
      <c r="I467" s="204"/>
      <c r="J467" s="207"/>
      <c r="K467" s="197"/>
    </row>
    <row r="468" spans="2:11" ht="30">
      <c r="B468" s="193" t="s">
        <v>429</v>
      </c>
      <c r="D468" s="197"/>
      <c r="E468" s="208"/>
      <c r="F468" s="200"/>
      <c r="G468" s="218" t="s">
        <v>147</v>
      </c>
      <c r="H468" s="198"/>
      <c r="I468" s="128"/>
      <c r="J468" s="209"/>
      <c r="K468" s="197"/>
    </row>
    <row r="469" spans="2:11">
      <c r="D469" s="197"/>
      <c r="E469" s="208"/>
      <c r="F469" s="200"/>
      <c r="G469" s="196"/>
      <c r="H469" s="194"/>
      <c r="I469" s="128"/>
      <c r="J469" s="209"/>
      <c r="K469" s="197"/>
    </row>
    <row r="470" spans="2:11" ht="30">
      <c r="D470" s="197"/>
      <c r="E470" s="208"/>
      <c r="F470" s="200"/>
      <c r="G470" s="196"/>
      <c r="H470" s="201" t="s">
        <v>239</v>
      </c>
      <c r="I470" s="128"/>
      <c r="J470" s="209"/>
      <c r="K470" s="197"/>
    </row>
    <row r="471" spans="2:11">
      <c r="D471" s="197"/>
      <c r="E471" s="208"/>
      <c r="F471" s="200"/>
      <c r="G471" s="196"/>
      <c r="H471" s="194"/>
      <c r="I471" s="128"/>
      <c r="J471" s="209"/>
      <c r="K471" s="197"/>
    </row>
    <row r="472" spans="2:11" ht="1.5" customHeight="1">
      <c r="D472" s="197"/>
      <c r="E472" s="210"/>
      <c r="F472" s="213"/>
      <c r="G472" s="214"/>
      <c r="H472" s="215"/>
      <c r="I472" s="213"/>
      <c r="J472" s="211"/>
      <c r="K472" s="197"/>
    </row>
    <row r="473" spans="2:11" ht="345">
      <c r="B473" s="193" t="s">
        <v>428</v>
      </c>
      <c r="D473" s="197"/>
      <c r="E473" s="197"/>
      <c r="F473" s="212"/>
      <c r="G473" s="216"/>
      <c r="H473" s="199"/>
      <c r="I473" s="212"/>
      <c r="J473" s="197"/>
      <c r="K473" s="197"/>
    </row>
    <row r="474" spans="2:11" ht="150">
      <c r="B474" s="193" t="s">
        <v>427</v>
      </c>
      <c r="D474" s="197"/>
      <c r="E474" s="212"/>
      <c r="F474" s="212"/>
      <c r="G474" s="216"/>
      <c r="H474" s="199"/>
      <c r="I474" s="212"/>
      <c r="J474" s="212"/>
      <c r="K474" s="197"/>
    </row>
    <row r="475" spans="2:11" ht="1.5" customHeight="1">
      <c r="D475" s="197"/>
      <c r="E475" s="203"/>
      <c r="F475" s="204"/>
      <c r="G475" s="205"/>
      <c r="H475" s="206"/>
      <c r="I475" s="204"/>
      <c r="J475" s="207"/>
      <c r="K475" s="197"/>
    </row>
    <row r="476" spans="2:11" ht="30">
      <c r="B476" s="193" t="s">
        <v>429</v>
      </c>
      <c r="D476" s="197"/>
      <c r="E476" s="208"/>
      <c r="F476" s="200"/>
      <c r="G476" s="202" t="s">
        <v>69</v>
      </c>
      <c r="H476" s="198"/>
      <c r="I476" s="128"/>
      <c r="J476" s="209"/>
      <c r="K476" s="197"/>
    </row>
    <row r="477" spans="2:11">
      <c r="D477" s="197"/>
      <c r="E477" s="208"/>
      <c r="F477" s="200"/>
      <c r="G477" s="196"/>
      <c r="H477" s="194"/>
      <c r="I477" s="128"/>
      <c r="J477" s="209"/>
      <c r="K477" s="197"/>
    </row>
    <row r="478" spans="2:11" ht="75">
      <c r="D478" s="197"/>
      <c r="E478" s="208"/>
      <c r="F478" s="200"/>
      <c r="G478" s="196"/>
      <c r="H478" s="201" t="s">
        <v>240</v>
      </c>
      <c r="I478" s="128"/>
      <c r="J478" s="209"/>
      <c r="K478" s="197"/>
    </row>
    <row r="479" spans="2:11">
      <c r="D479" s="197"/>
      <c r="E479" s="208"/>
      <c r="F479" s="200"/>
      <c r="G479" s="196"/>
      <c r="H479" s="194"/>
      <c r="I479" s="128"/>
      <c r="J479" s="209"/>
      <c r="K479" s="197"/>
    </row>
    <row r="480" spans="2:11" ht="1.5" customHeight="1">
      <c r="D480" s="197"/>
      <c r="E480" s="210"/>
      <c r="F480" s="213"/>
      <c r="G480" s="214"/>
      <c r="H480" s="215"/>
      <c r="I480" s="213"/>
      <c r="J480" s="211"/>
      <c r="K480" s="197"/>
    </row>
    <row r="481" spans="2:11" ht="345">
      <c r="B481" s="193" t="s">
        <v>428</v>
      </c>
      <c r="D481" s="197"/>
      <c r="E481" s="197"/>
      <c r="F481" s="212"/>
      <c r="G481" s="216"/>
      <c r="H481" s="199"/>
      <c r="I481" s="212"/>
      <c r="J481" s="197"/>
      <c r="K481" s="197"/>
    </row>
    <row r="482" spans="2:11" ht="150">
      <c r="B482" s="193" t="s">
        <v>427</v>
      </c>
      <c r="D482" s="197"/>
      <c r="E482" s="212"/>
      <c r="F482" s="212"/>
      <c r="G482" s="216"/>
      <c r="H482" s="199"/>
      <c r="I482" s="212"/>
      <c r="J482" s="212"/>
      <c r="K482" s="197"/>
    </row>
    <row r="483" spans="2:11" ht="1.5" customHeight="1">
      <c r="D483" s="197"/>
      <c r="E483" s="203"/>
      <c r="F483" s="204"/>
      <c r="G483" s="205"/>
      <c r="H483" s="206"/>
      <c r="I483" s="204"/>
      <c r="J483" s="207"/>
      <c r="K483" s="197"/>
    </row>
    <row r="484" spans="2:11" ht="30">
      <c r="B484" s="193" t="s">
        <v>429</v>
      </c>
      <c r="D484" s="197"/>
      <c r="E484" s="208"/>
      <c r="F484" s="200"/>
      <c r="G484" s="202" t="s">
        <v>141</v>
      </c>
      <c r="H484" s="198"/>
      <c r="I484" s="128"/>
      <c r="J484" s="209"/>
      <c r="K484" s="197"/>
    </row>
    <row r="485" spans="2:11">
      <c r="D485" s="197"/>
      <c r="E485" s="208"/>
      <c r="F485" s="200"/>
      <c r="G485" s="196"/>
      <c r="H485" s="194"/>
      <c r="I485" s="128"/>
      <c r="J485" s="209"/>
      <c r="K485" s="197"/>
    </row>
    <row r="486" spans="2:11" ht="75">
      <c r="D486" s="197"/>
      <c r="E486" s="208"/>
      <c r="F486" s="200"/>
      <c r="G486" s="196"/>
      <c r="H486" s="201" t="s">
        <v>241</v>
      </c>
      <c r="I486" s="128"/>
      <c r="J486" s="209"/>
      <c r="K486" s="197"/>
    </row>
    <row r="487" spans="2:11">
      <c r="D487" s="197"/>
      <c r="E487" s="208"/>
      <c r="F487" s="200"/>
      <c r="G487" s="196"/>
      <c r="H487" s="194"/>
      <c r="I487" s="128"/>
      <c r="J487" s="209"/>
      <c r="K487" s="197"/>
    </row>
    <row r="488" spans="2:11" ht="1.5" customHeight="1">
      <c r="D488" s="197"/>
      <c r="E488" s="210"/>
      <c r="F488" s="213"/>
      <c r="G488" s="214"/>
      <c r="H488" s="215"/>
      <c r="I488" s="213"/>
      <c r="J488" s="211"/>
      <c r="K488" s="197"/>
    </row>
    <row r="489" spans="2:11" ht="345">
      <c r="B489" s="193" t="s">
        <v>428</v>
      </c>
      <c r="D489" s="197"/>
      <c r="E489" s="197"/>
      <c r="F489" s="212"/>
      <c r="G489" s="216"/>
      <c r="H489" s="199"/>
      <c r="I489" s="212"/>
      <c r="J489" s="197"/>
      <c r="K489" s="197"/>
    </row>
    <row r="490" spans="2:11" ht="150">
      <c r="B490" s="193" t="s">
        <v>427</v>
      </c>
      <c r="D490" s="197"/>
      <c r="E490" s="212"/>
      <c r="F490" s="212"/>
      <c r="G490" s="216"/>
      <c r="H490" s="199"/>
      <c r="I490" s="212"/>
      <c r="J490" s="212"/>
      <c r="K490" s="197"/>
    </row>
    <row r="491" spans="2:11" ht="1.5" customHeight="1">
      <c r="D491" s="197"/>
      <c r="E491" s="203"/>
      <c r="F491" s="204"/>
      <c r="G491" s="205"/>
      <c r="H491" s="206"/>
      <c r="I491" s="204"/>
      <c r="J491" s="207"/>
      <c r="K491" s="197"/>
    </row>
    <row r="492" spans="2:11" ht="30">
      <c r="B492" s="193" t="s">
        <v>429</v>
      </c>
      <c r="D492" s="197"/>
      <c r="E492" s="208"/>
      <c r="F492" s="200"/>
      <c r="G492" s="202" t="s">
        <v>156</v>
      </c>
      <c r="H492" s="198"/>
      <c r="I492" s="128"/>
      <c r="J492" s="209"/>
      <c r="K492" s="197"/>
    </row>
    <row r="493" spans="2:11">
      <c r="D493" s="197"/>
      <c r="E493" s="208"/>
      <c r="F493" s="200"/>
      <c r="G493" s="196"/>
      <c r="H493" s="194"/>
      <c r="I493" s="128"/>
      <c r="J493" s="209"/>
      <c r="K493" s="197"/>
    </row>
    <row r="494" spans="2:11" ht="75">
      <c r="D494" s="197"/>
      <c r="E494" s="208"/>
      <c r="F494" s="200"/>
      <c r="G494" s="196"/>
      <c r="H494" s="201" t="s">
        <v>242</v>
      </c>
      <c r="I494" s="128"/>
      <c r="J494" s="209"/>
      <c r="K494" s="197"/>
    </row>
    <row r="495" spans="2:11">
      <c r="D495" s="197"/>
      <c r="E495" s="208"/>
      <c r="F495" s="200"/>
      <c r="G495" s="196"/>
      <c r="H495" s="194"/>
      <c r="I495" s="128"/>
      <c r="J495" s="209"/>
      <c r="K495" s="197"/>
    </row>
    <row r="496" spans="2:11" ht="1.5" customHeight="1">
      <c r="D496" s="197"/>
      <c r="E496" s="210"/>
      <c r="F496" s="213"/>
      <c r="G496" s="214"/>
      <c r="H496" s="215"/>
      <c r="I496" s="213"/>
      <c r="J496" s="211"/>
      <c r="K496" s="197"/>
    </row>
    <row r="497" spans="2:11" ht="345">
      <c r="B497" s="193" t="s">
        <v>428</v>
      </c>
      <c r="D497" s="197"/>
      <c r="E497" s="197"/>
      <c r="F497" s="212"/>
      <c r="G497" s="216"/>
      <c r="H497" s="199"/>
      <c r="I497" s="212"/>
      <c r="J497" s="197"/>
      <c r="K497" s="197"/>
    </row>
    <row r="498" spans="2:11" ht="150">
      <c r="B498" s="193" t="s">
        <v>427</v>
      </c>
      <c r="D498" s="197"/>
      <c r="E498" s="212"/>
      <c r="F498" s="212"/>
      <c r="G498" s="216"/>
      <c r="H498" s="199"/>
      <c r="I498" s="212"/>
      <c r="J498" s="212"/>
      <c r="K498" s="197"/>
    </row>
    <row r="499" spans="2:11" ht="1.5" customHeight="1">
      <c r="D499" s="197"/>
      <c r="E499" s="203"/>
      <c r="F499" s="204"/>
      <c r="G499" s="205"/>
      <c r="H499" s="206"/>
      <c r="I499" s="204"/>
      <c r="J499" s="207"/>
      <c r="K499" s="197"/>
    </row>
    <row r="500" spans="2:11" ht="30">
      <c r="B500" s="193" t="s">
        <v>429</v>
      </c>
      <c r="D500" s="197"/>
      <c r="E500" s="208"/>
      <c r="F500" s="200"/>
      <c r="G500" s="202" t="s">
        <v>70</v>
      </c>
      <c r="H500" s="198"/>
      <c r="I500" s="128"/>
      <c r="J500" s="209"/>
      <c r="K500" s="197"/>
    </row>
    <row r="501" spans="2:11">
      <c r="D501" s="197"/>
      <c r="E501" s="208"/>
      <c r="F501" s="200"/>
      <c r="G501" s="196"/>
      <c r="H501" s="194"/>
      <c r="I501" s="128"/>
      <c r="J501" s="209"/>
      <c r="K501" s="197"/>
    </row>
    <row r="502" spans="2:11" ht="300">
      <c r="D502" s="197"/>
      <c r="E502" s="208"/>
      <c r="F502" s="200"/>
      <c r="G502" s="196"/>
      <c r="H502" s="201" t="s">
        <v>430</v>
      </c>
      <c r="I502" s="128"/>
      <c r="J502" s="209"/>
      <c r="K502" s="197"/>
    </row>
    <row r="503" spans="2:11">
      <c r="D503" s="197"/>
      <c r="E503" s="208"/>
      <c r="F503" s="200"/>
      <c r="G503" s="196"/>
      <c r="H503" s="194"/>
      <c r="I503" s="128"/>
      <c r="J503" s="209"/>
      <c r="K503" s="197"/>
    </row>
    <row r="504" spans="2:11" ht="1.5" customHeight="1">
      <c r="D504" s="197"/>
      <c r="E504" s="210"/>
      <c r="F504" s="213"/>
      <c r="G504" s="214"/>
      <c r="H504" s="215"/>
      <c r="I504" s="213"/>
      <c r="J504" s="211"/>
      <c r="K504" s="197"/>
    </row>
    <row r="505" spans="2:11" ht="345">
      <c r="B505" s="193" t="s">
        <v>428</v>
      </c>
      <c r="D505" s="197"/>
      <c r="E505" s="197"/>
      <c r="F505" s="212"/>
      <c r="G505" s="216"/>
      <c r="H505" s="199"/>
      <c r="I505" s="212"/>
      <c r="J505" s="197"/>
      <c r="K505" s="197"/>
    </row>
    <row r="506" spans="2:11" ht="150">
      <c r="B506" s="193" t="s">
        <v>427</v>
      </c>
      <c r="D506" s="197"/>
      <c r="E506" s="212"/>
      <c r="F506" s="212"/>
      <c r="G506" s="216"/>
      <c r="H506" s="199"/>
      <c r="I506" s="212"/>
      <c r="J506" s="212"/>
      <c r="K506" s="197"/>
    </row>
    <row r="507" spans="2:11" ht="1.5" customHeight="1">
      <c r="D507" s="197"/>
      <c r="E507" s="203"/>
      <c r="F507" s="204"/>
      <c r="G507" s="205"/>
      <c r="H507" s="206"/>
      <c r="I507" s="204"/>
      <c r="J507" s="207"/>
      <c r="K507" s="197"/>
    </row>
    <row r="508" spans="2:11" ht="30">
      <c r="B508" s="193" t="s">
        <v>429</v>
      </c>
      <c r="D508" s="197"/>
      <c r="E508" s="208"/>
      <c r="F508" s="200"/>
      <c r="G508" s="202" t="s">
        <v>128</v>
      </c>
      <c r="H508" s="198"/>
      <c r="I508" s="128"/>
      <c r="J508" s="209"/>
      <c r="K508" s="197"/>
    </row>
    <row r="509" spans="2:11">
      <c r="D509" s="197"/>
      <c r="E509" s="208"/>
      <c r="F509" s="200"/>
      <c r="G509" s="196"/>
      <c r="H509" s="194"/>
      <c r="I509" s="128"/>
      <c r="J509" s="209"/>
      <c r="K509" s="197"/>
    </row>
    <row r="510" spans="2:11" ht="60">
      <c r="D510" s="197"/>
      <c r="E510" s="208"/>
      <c r="F510" s="200"/>
      <c r="G510" s="196"/>
      <c r="H510" s="201" t="s">
        <v>363</v>
      </c>
      <c r="I510" s="128"/>
      <c r="J510" s="209"/>
      <c r="K510" s="197"/>
    </row>
    <row r="511" spans="2:11">
      <c r="D511" s="197"/>
      <c r="E511" s="208"/>
      <c r="F511" s="200"/>
      <c r="G511" s="196"/>
      <c r="H511" s="194"/>
      <c r="I511" s="128"/>
      <c r="J511" s="209"/>
      <c r="K511" s="197"/>
    </row>
    <row r="512" spans="2:11" ht="1.5" customHeight="1">
      <c r="D512" s="197"/>
      <c r="E512" s="210"/>
      <c r="F512" s="213"/>
      <c r="G512" s="214"/>
      <c r="H512" s="215"/>
      <c r="I512" s="213"/>
      <c r="J512" s="211"/>
      <c r="K512" s="197"/>
    </row>
    <row r="513" spans="2:11" ht="345">
      <c r="B513" s="193" t="s">
        <v>428</v>
      </c>
      <c r="D513" s="197"/>
      <c r="E513" s="197"/>
      <c r="F513" s="212"/>
      <c r="G513" s="216"/>
      <c r="H513" s="199"/>
      <c r="I513" s="212"/>
      <c r="J513" s="197"/>
      <c r="K513" s="197"/>
    </row>
    <row r="514" spans="2:11" ht="150">
      <c r="B514" s="193" t="s">
        <v>427</v>
      </c>
      <c r="D514" s="197"/>
      <c r="E514" s="212"/>
      <c r="F514" s="212"/>
      <c r="G514" s="216"/>
      <c r="H514" s="199"/>
      <c r="I514" s="212"/>
      <c r="J514" s="212"/>
      <c r="K514" s="197"/>
    </row>
    <row r="515" spans="2:11" ht="1.5" customHeight="1">
      <c r="D515" s="197"/>
      <c r="E515" s="203"/>
      <c r="F515" s="204"/>
      <c r="G515" s="205"/>
      <c r="H515" s="206"/>
      <c r="I515" s="204"/>
      <c r="J515" s="207"/>
      <c r="K515" s="197"/>
    </row>
    <row r="516" spans="2:11" ht="30">
      <c r="B516" s="193" t="s">
        <v>429</v>
      </c>
      <c r="D516" s="197"/>
      <c r="E516" s="208"/>
      <c r="F516" s="200"/>
      <c r="G516" s="202" t="s">
        <v>129</v>
      </c>
      <c r="H516" s="198"/>
      <c r="I516" s="128"/>
      <c r="J516" s="209"/>
      <c r="K516" s="197"/>
    </row>
    <row r="517" spans="2:11">
      <c r="D517" s="197"/>
      <c r="E517" s="208"/>
      <c r="F517" s="200"/>
      <c r="G517" s="196"/>
      <c r="H517" s="194"/>
      <c r="I517" s="128"/>
      <c r="J517" s="209"/>
      <c r="K517" s="197"/>
    </row>
    <row r="518" spans="2:11" ht="45">
      <c r="D518" s="197"/>
      <c r="E518" s="208"/>
      <c r="F518" s="200"/>
      <c r="G518" s="196"/>
      <c r="H518" s="201" t="s">
        <v>243</v>
      </c>
      <c r="I518" s="128"/>
      <c r="J518" s="209"/>
      <c r="K518" s="197"/>
    </row>
    <row r="519" spans="2:11">
      <c r="D519" s="197"/>
      <c r="E519" s="208"/>
      <c r="F519" s="200"/>
      <c r="G519" s="196"/>
      <c r="H519" s="194"/>
      <c r="I519" s="128"/>
      <c r="J519" s="209"/>
      <c r="K519" s="197"/>
    </row>
    <row r="520" spans="2:11" ht="1.5" customHeight="1">
      <c r="D520" s="197"/>
      <c r="E520" s="210"/>
      <c r="F520" s="213"/>
      <c r="G520" s="214"/>
      <c r="H520" s="215"/>
      <c r="I520" s="213"/>
      <c r="J520" s="211"/>
      <c r="K520" s="197"/>
    </row>
    <row r="521" spans="2:11" ht="345">
      <c r="B521" s="193" t="s">
        <v>428</v>
      </c>
      <c r="D521" s="197"/>
      <c r="E521" s="197"/>
      <c r="F521" s="212"/>
      <c r="G521" s="216"/>
      <c r="H521" s="199"/>
      <c r="I521" s="212"/>
      <c r="J521" s="197"/>
      <c r="K521" s="197"/>
    </row>
    <row r="522" spans="2:11" ht="150">
      <c r="B522" s="193" t="s">
        <v>427</v>
      </c>
      <c r="D522" s="197"/>
      <c r="E522" s="212"/>
      <c r="F522" s="212"/>
      <c r="G522" s="216"/>
      <c r="H522" s="199"/>
      <c r="I522" s="212"/>
      <c r="J522" s="212"/>
      <c r="K522" s="197"/>
    </row>
    <row r="523" spans="2:11" ht="1.5" customHeight="1">
      <c r="D523" s="197"/>
      <c r="E523" s="203"/>
      <c r="F523" s="204"/>
      <c r="G523" s="205"/>
      <c r="H523" s="206"/>
      <c r="I523" s="204"/>
      <c r="J523" s="207"/>
      <c r="K523" s="197"/>
    </row>
    <row r="524" spans="2:11" ht="30">
      <c r="B524" s="193" t="s">
        <v>429</v>
      </c>
      <c r="D524" s="197"/>
      <c r="E524" s="208"/>
      <c r="F524" s="200"/>
      <c r="G524" s="202" t="s">
        <v>148</v>
      </c>
      <c r="H524" s="198"/>
      <c r="I524" s="128"/>
      <c r="J524" s="209"/>
      <c r="K524" s="197"/>
    </row>
    <row r="525" spans="2:11">
      <c r="D525" s="197"/>
      <c r="E525" s="208"/>
      <c r="F525" s="200"/>
      <c r="G525" s="196"/>
      <c r="H525" s="194"/>
      <c r="I525" s="128"/>
      <c r="J525" s="209"/>
      <c r="K525" s="197"/>
    </row>
    <row r="526" spans="2:11" ht="225">
      <c r="D526" s="197"/>
      <c r="E526" s="208"/>
      <c r="F526" s="200"/>
      <c r="G526" s="196"/>
      <c r="H526" s="201" t="s">
        <v>344</v>
      </c>
      <c r="I526" s="128"/>
      <c r="J526" s="209"/>
      <c r="K526" s="197"/>
    </row>
    <row r="527" spans="2:11" ht="315">
      <c r="D527" s="197"/>
      <c r="E527" s="208"/>
      <c r="F527" s="200"/>
      <c r="G527" s="196"/>
      <c r="H527" s="201" t="s">
        <v>345</v>
      </c>
      <c r="I527" s="128"/>
      <c r="J527" s="209"/>
      <c r="K527" s="197"/>
    </row>
    <row r="528" spans="2:11" ht="330">
      <c r="D528" s="197"/>
      <c r="E528" s="208"/>
      <c r="F528" s="200"/>
      <c r="G528" s="196"/>
      <c r="H528" s="201" t="s">
        <v>377</v>
      </c>
      <c r="I528" s="128"/>
      <c r="J528" s="209"/>
      <c r="K528" s="197"/>
    </row>
    <row r="529" spans="2:11">
      <c r="D529" s="197"/>
      <c r="E529" s="208"/>
      <c r="F529" s="200"/>
      <c r="G529" s="196"/>
      <c r="H529" s="194"/>
      <c r="I529" s="128"/>
      <c r="J529" s="209"/>
      <c r="K529" s="197"/>
    </row>
    <row r="530" spans="2:11" ht="1.5" customHeight="1">
      <c r="D530" s="197"/>
      <c r="E530" s="210"/>
      <c r="F530" s="213"/>
      <c r="G530" s="214"/>
      <c r="H530" s="215"/>
      <c r="I530" s="213"/>
      <c r="J530" s="211"/>
      <c r="K530" s="197"/>
    </row>
    <row r="531" spans="2:11" ht="345">
      <c r="B531" s="193" t="s">
        <v>428</v>
      </c>
      <c r="D531" s="197"/>
      <c r="E531" s="197"/>
      <c r="F531" s="212"/>
      <c r="G531" s="216"/>
      <c r="H531" s="199"/>
      <c r="I531" s="212"/>
      <c r="J531" s="197"/>
      <c r="K531" s="197"/>
    </row>
    <row r="532" spans="2:11" ht="150">
      <c r="B532" s="193" t="s">
        <v>427</v>
      </c>
      <c r="D532" s="197"/>
      <c r="E532" s="212"/>
      <c r="F532" s="212"/>
      <c r="G532" s="216"/>
      <c r="H532" s="199"/>
      <c r="I532" s="212"/>
      <c r="J532" s="212"/>
      <c r="K532" s="197"/>
    </row>
    <row r="533" spans="2:11" ht="1.5" customHeight="1">
      <c r="D533" s="197"/>
      <c r="E533" s="203"/>
      <c r="F533" s="204"/>
      <c r="G533" s="205"/>
      <c r="H533" s="206"/>
      <c r="I533" s="204"/>
      <c r="J533" s="207"/>
      <c r="K533" s="197"/>
    </row>
    <row r="534" spans="2:11" ht="30">
      <c r="B534" s="193" t="s">
        <v>429</v>
      </c>
      <c r="D534" s="197"/>
      <c r="E534" s="208"/>
      <c r="F534" s="200"/>
      <c r="G534" s="202" t="s">
        <v>76</v>
      </c>
      <c r="H534" s="198"/>
      <c r="I534" s="128"/>
      <c r="J534" s="209"/>
      <c r="K534" s="197"/>
    </row>
    <row r="535" spans="2:11">
      <c r="D535" s="197"/>
      <c r="E535" s="208"/>
      <c r="F535" s="200"/>
      <c r="G535" s="196"/>
      <c r="H535" s="194"/>
      <c r="I535" s="128"/>
      <c r="J535" s="209"/>
      <c r="K535" s="197"/>
    </row>
    <row r="536" spans="2:11" ht="45">
      <c r="D536" s="197"/>
      <c r="E536" s="208"/>
      <c r="F536" s="200"/>
      <c r="G536" s="196"/>
      <c r="H536" s="201" t="s">
        <v>346</v>
      </c>
      <c r="I536" s="128"/>
      <c r="J536" s="209"/>
      <c r="K536" s="197"/>
    </row>
    <row r="537" spans="2:11">
      <c r="D537" s="197"/>
      <c r="E537" s="208"/>
      <c r="F537" s="200"/>
      <c r="G537" s="196"/>
      <c r="H537" s="194"/>
      <c r="I537" s="128"/>
      <c r="J537" s="209"/>
      <c r="K537" s="197"/>
    </row>
    <row r="538" spans="2:11" ht="1.5" customHeight="1">
      <c r="D538" s="197"/>
      <c r="E538" s="210"/>
      <c r="F538" s="213"/>
      <c r="G538" s="214"/>
      <c r="H538" s="215"/>
      <c r="I538" s="213"/>
      <c r="J538" s="211"/>
      <c r="K538" s="197"/>
    </row>
    <row r="539" spans="2:11" ht="345">
      <c r="B539" s="193" t="s">
        <v>428</v>
      </c>
      <c r="D539" s="197"/>
      <c r="E539" s="197"/>
      <c r="F539" s="212"/>
      <c r="G539" s="216"/>
      <c r="H539" s="199"/>
      <c r="I539" s="212"/>
      <c r="J539" s="197"/>
      <c r="K539" s="197"/>
    </row>
    <row r="540" spans="2:11" ht="150">
      <c r="B540" s="193" t="s">
        <v>427</v>
      </c>
      <c r="D540" s="197"/>
      <c r="E540" s="212"/>
      <c r="F540" s="212"/>
      <c r="G540" s="216"/>
      <c r="H540" s="199"/>
      <c r="I540" s="212"/>
      <c r="J540" s="212"/>
      <c r="K540" s="197"/>
    </row>
    <row r="541" spans="2:11" ht="1.5" customHeight="1">
      <c r="D541" s="197"/>
      <c r="E541" s="203"/>
      <c r="F541" s="204"/>
      <c r="G541" s="205"/>
      <c r="H541" s="206"/>
      <c r="I541" s="204"/>
      <c r="J541" s="207"/>
      <c r="K541" s="197"/>
    </row>
    <row r="542" spans="2:11" ht="30">
      <c r="B542" s="193" t="s">
        <v>429</v>
      </c>
      <c r="D542" s="197"/>
      <c r="E542" s="208"/>
      <c r="F542" s="200"/>
      <c r="G542" s="202" t="s">
        <v>77</v>
      </c>
      <c r="H542" s="198"/>
      <c r="I542" s="128"/>
      <c r="J542" s="209"/>
      <c r="K542" s="197"/>
    </row>
    <row r="543" spans="2:11">
      <c r="D543" s="197"/>
      <c r="E543" s="208"/>
      <c r="F543" s="200"/>
      <c r="G543" s="196"/>
      <c r="H543" s="194"/>
      <c r="I543" s="128"/>
      <c r="J543" s="209"/>
      <c r="K543" s="197"/>
    </row>
    <row r="544" spans="2:11" ht="195">
      <c r="D544" s="197"/>
      <c r="E544" s="208"/>
      <c r="F544" s="200"/>
      <c r="G544" s="196"/>
      <c r="H544" s="201" t="s">
        <v>347</v>
      </c>
      <c r="I544" s="128"/>
      <c r="J544" s="209"/>
      <c r="K544" s="197"/>
    </row>
    <row r="545" spans="2:11">
      <c r="D545" s="197"/>
      <c r="E545" s="208"/>
      <c r="F545" s="200"/>
      <c r="G545" s="196"/>
      <c r="H545" s="194"/>
      <c r="I545" s="128"/>
      <c r="J545" s="209"/>
      <c r="K545" s="197"/>
    </row>
    <row r="546" spans="2:11" ht="1.5" customHeight="1">
      <c r="D546" s="197"/>
      <c r="E546" s="210"/>
      <c r="F546" s="213"/>
      <c r="G546" s="214"/>
      <c r="H546" s="215"/>
      <c r="I546" s="213"/>
      <c r="J546" s="211"/>
      <c r="K546" s="197"/>
    </row>
    <row r="547" spans="2:11" ht="345">
      <c r="B547" s="193" t="s">
        <v>428</v>
      </c>
      <c r="D547" s="197"/>
      <c r="E547" s="197"/>
      <c r="F547" s="212"/>
      <c r="G547" s="216"/>
      <c r="H547" s="199"/>
      <c r="I547" s="212"/>
      <c r="J547" s="197"/>
      <c r="K547" s="197"/>
    </row>
    <row r="548" spans="2:11" ht="150">
      <c r="B548" s="193" t="s">
        <v>427</v>
      </c>
      <c r="D548" s="197"/>
      <c r="E548" s="212"/>
      <c r="F548" s="212"/>
      <c r="G548" s="216"/>
      <c r="H548" s="199"/>
      <c r="I548" s="212"/>
      <c r="J548" s="212"/>
      <c r="K548" s="197"/>
    </row>
    <row r="549" spans="2:11" ht="1.5" customHeight="1">
      <c r="D549" s="197"/>
      <c r="E549" s="203"/>
      <c r="F549" s="204"/>
      <c r="G549" s="205"/>
      <c r="H549" s="206"/>
      <c r="I549" s="204"/>
      <c r="J549" s="207"/>
      <c r="K549" s="197"/>
    </row>
    <row r="550" spans="2:11" ht="30">
      <c r="B550" s="193" t="s">
        <v>429</v>
      </c>
      <c r="D550" s="197"/>
      <c r="E550" s="208"/>
      <c r="F550" s="200"/>
      <c r="G550" s="202" t="s">
        <v>217</v>
      </c>
      <c r="H550" s="198"/>
      <c r="I550" s="128"/>
      <c r="J550" s="209"/>
      <c r="K550" s="197"/>
    </row>
    <row r="551" spans="2:11">
      <c r="D551" s="197"/>
      <c r="E551" s="208"/>
      <c r="F551" s="200"/>
      <c r="G551" s="196"/>
      <c r="H551" s="194"/>
      <c r="I551" s="128"/>
      <c r="J551" s="209"/>
      <c r="K551" s="197"/>
    </row>
    <row r="552" spans="2:11" ht="75">
      <c r="D552" s="197"/>
      <c r="E552" s="208"/>
      <c r="F552" s="200"/>
      <c r="G552" s="196"/>
      <c r="H552" s="201" t="s">
        <v>348</v>
      </c>
      <c r="I552" s="128"/>
      <c r="J552" s="209"/>
      <c r="K552" s="197"/>
    </row>
    <row r="553" spans="2:11">
      <c r="D553" s="197"/>
      <c r="E553" s="208"/>
      <c r="F553" s="200"/>
      <c r="G553" s="196"/>
      <c r="H553" s="194"/>
      <c r="I553" s="128"/>
      <c r="J553" s="209"/>
      <c r="K553" s="197"/>
    </row>
    <row r="554" spans="2:11" ht="1.5" customHeight="1">
      <c r="D554" s="197"/>
      <c r="E554" s="210"/>
      <c r="F554" s="213"/>
      <c r="G554" s="214"/>
      <c r="H554" s="215"/>
      <c r="I554" s="213"/>
      <c r="J554" s="211"/>
      <c r="K554" s="197"/>
    </row>
    <row r="555" spans="2:11" ht="345">
      <c r="B555" s="193" t="s">
        <v>428</v>
      </c>
      <c r="D555" s="197"/>
      <c r="E555" s="197"/>
      <c r="F555" s="212"/>
      <c r="G555" s="216"/>
      <c r="H555" s="199"/>
      <c r="I555" s="212"/>
      <c r="J555" s="197"/>
      <c r="K555" s="197"/>
    </row>
    <row r="556" spans="2:11" ht="150">
      <c r="B556" s="193" t="s">
        <v>427</v>
      </c>
      <c r="D556" s="197"/>
      <c r="E556" s="212"/>
      <c r="F556" s="212"/>
      <c r="G556" s="216"/>
      <c r="H556" s="199"/>
      <c r="I556" s="212"/>
      <c r="J556" s="212"/>
      <c r="K556" s="197"/>
    </row>
    <row r="557" spans="2:11" ht="1.5" customHeight="1">
      <c r="D557" s="197"/>
      <c r="E557" s="203"/>
      <c r="F557" s="204"/>
      <c r="G557" s="205"/>
      <c r="H557" s="206"/>
      <c r="I557" s="204"/>
      <c r="J557" s="207"/>
      <c r="K557" s="197"/>
    </row>
    <row r="558" spans="2:11" ht="30">
      <c r="B558" s="193" t="s">
        <v>429</v>
      </c>
      <c r="D558" s="197"/>
      <c r="E558" s="208"/>
      <c r="F558" s="200"/>
      <c r="G558" s="202" t="s">
        <v>218</v>
      </c>
      <c r="H558" s="198"/>
      <c r="I558" s="128"/>
      <c r="J558" s="209"/>
      <c r="K558" s="197"/>
    </row>
    <row r="559" spans="2:11">
      <c r="D559" s="197"/>
      <c r="E559" s="208"/>
      <c r="F559" s="200"/>
      <c r="G559" s="196"/>
      <c r="H559" s="194"/>
      <c r="I559" s="128"/>
      <c r="J559" s="209"/>
      <c r="K559" s="197"/>
    </row>
    <row r="560" spans="2:11" ht="75">
      <c r="D560" s="197"/>
      <c r="E560" s="208"/>
      <c r="F560" s="200"/>
      <c r="G560" s="196"/>
      <c r="H560" s="201" t="s">
        <v>244</v>
      </c>
      <c r="I560" s="128"/>
      <c r="J560" s="209"/>
      <c r="K560" s="197"/>
    </row>
    <row r="561" spans="2:11">
      <c r="D561" s="197"/>
      <c r="E561" s="208"/>
      <c r="F561" s="200"/>
      <c r="G561" s="196"/>
      <c r="H561" s="194"/>
      <c r="I561" s="128"/>
      <c r="J561" s="209"/>
      <c r="K561" s="197"/>
    </row>
    <row r="562" spans="2:11" ht="1.5" customHeight="1">
      <c r="D562" s="197"/>
      <c r="E562" s="210"/>
      <c r="F562" s="213"/>
      <c r="G562" s="214"/>
      <c r="H562" s="215"/>
      <c r="I562" s="213"/>
      <c r="J562" s="211"/>
      <c r="K562" s="197"/>
    </row>
    <row r="563" spans="2:11" ht="345">
      <c r="B563" s="193" t="s">
        <v>428</v>
      </c>
      <c r="D563" s="197"/>
      <c r="E563" s="197"/>
      <c r="F563" s="212"/>
      <c r="G563" s="216"/>
      <c r="H563" s="199"/>
      <c r="I563" s="212"/>
      <c r="J563" s="197"/>
      <c r="K563" s="197"/>
    </row>
    <row r="564" spans="2:11" ht="150">
      <c r="B564" s="193" t="s">
        <v>427</v>
      </c>
      <c r="D564" s="197"/>
      <c r="E564" s="212"/>
      <c r="F564" s="212"/>
      <c r="G564" s="216"/>
      <c r="H564" s="199"/>
      <c r="I564" s="212"/>
      <c r="J564" s="212"/>
      <c r="K564" s="197"/>
    </row>
    <row r="565" spans="2:11" ht="1.5" customHeight="1">
      <c r="D565" s="197"/>
      <c r="E565" s="203"/>
      <c r="F565" s="204"/>
      <c r="G565" s="205"/>
      <c r="H565" s="206"/>
      <c r="I565" s="204"/>
      <c r="J565" s="207"/>
      <c r="K565" s="197"/>
    </row>
    <row r="566" spans="2:11" ht="30">
      <c r="B566" s="193" t="s">
        <v>429</v>
      </c>
      <c r="D566" s="197"/>
      <c r="E566" s="208"/>
      <c r="F566" s="200"/>
      <c r="G566" s="202" t="s">
        <v>219</v>
      </c>
      <c r="H566" s="198"/>
      <c r="I566" s="128"/>
      <c r="J566" s="209"/>
      <c r="K566" s="197"/>
    </row>
    <row r="567" spans="2:11">
      <c r="D567" s="197"/>
      <c r="E567" s="208"/>
      <c r="F567" s="200"/>
      <c r="G567" s="196"/>
      <c r="H567" s="194"/>
      <c r="I567" s="128"/>
      <c r="J567" s="209"/>
      <c r="K567" s="197"/>
    </row>
    <row r="568" spans="2:11" ht="105">
      <c r="D568" s="197"/>
      <c r="E568" s="208"/>
      <c r="F568" s="200"/>
      <c r="G568" s="196"/>
      <c r="H568" s="201" t="s">
        <v>349</v>
      </c>
      <c r="I568" s="128"/>
      <c r="J568" s="209"/>
      <c r="K568" s="197"/>
    </row>
    <row r="569" spans="2:11">
      <c r="D569" s="197"/>
      <c r="E569" s="208"/>
      <c r="F569" s="200"/>
      <c r="G569" s="196"/>
      <c r="H569" s="194"/>
      <c r="I569" s="128"/>
      <c r="J569" s="209"/>
      <c r="K569" s="197"/>
    </row>
    <row r="570" spans="2:11" ht="1.5" customHeight="1">
      <c r="D570" s="197"/>
      <c r="E570" s="210"/>
      <c r="F570" s="213"/>
      <c r="G570" s="214"/>
      <c r="H570" s="215"/>
      <c r="I570" s="213"/>
      <c r="J570" s="211"/>
      <c r="K570" s="197"/>
    </row>
    <row r="571" spans="2:11" ht="345">
      <c r="B571" s="193" t="s">
        <v>428</v>
      </c>
      <c r="D571" s="197"/>
      <c r="E571" s="197"/>
      <c r="F571" s="212"/>
      <c r="G571" s="216"/>
      <c r="H571" s="199"/>
      <c r="I571" s="212"/>
      <c r="J571" s="197"/>
      <c r="K571" s="197"/>
    </row>
    <row r="572" spans="2:11" ht="150">
      <c r="B572" s="193" t="s">
        <v>427</v>
      </c>
      <c r="D572" s="197"/>
      <c r="E572" s="212"/>
      <c r="F572" s="212"/>
      <c r="G572" s="216"/>
      <c r="H572" s="199"/>
      <c r="I572" s="212"/>
      <c r="J572" s="212"/>
      <c r="K572" s="197"/>
    </row>
    <row r="573" spans="2:11" ht="1.5" customHeight="1">
      <c r="D573" s="197"/>
      <c r="E573" s="203"/>
      <c r="F573" s="204"/>
      <c r="G573" s="205"/>
      <c r="H573" s="206"/>
      <c r="I573" s="204"/>
      <c r="J573" s="207"/>
      <c r="K573" s="197"/>
    </row>
    <row r="574" spans="2:11" ht="30">
      <c r="B574" s="193" t="s">
        <v>429</v>
      </c>
      <c r="D574" s="197"/>
      <c r="E574" s="208"/>
      <c r="F574" s="200"/>
      <c r="G574" s="202" t="s">
        <v>157</v>
      </c>
      <c r="H574" s="198"/>
      <c r="I574" s="128"/>
      <c r="J574" s="209"/>
      <c r="K574" s="197"/>
    </row>
    <row r="575" spans="2:11">
      <c r="D575" s="197"/>
      <c r="E575" s="208"/>
      <c r="F575" s="200"/>
      <c r="G575" s="196"/>
      <c r="H575" s="194"/>
      <c r="I575" s="128"/>
      <c r="J575" s="209"/>
      <c r="K575" s="197"/>
    </row>
    <row r="576" spans="2:11" ht="30">
      <c r="D576" s="197"/>
      <c r="E576" s="208"/>
      <c r="F576" s="200"/>
      <c r="G576" s="196"/>
      <c r="H576" s="201" t="s">
        <v>350</v>
      </c>
      <c r="I576" s="128"/>
      <c r="J576" s="209"/>
      <c r="K576" s="197"/>
    </row>
    <row r="577" spans="2:11">
      <c r="D577" s="197"/>
      <c r="E577" s="208"/>
      <c r="F577" s="200"/>
      <c r="G577" s="196"/>
      <c r="H577" s="194"/>
      <c r="I577" s="128"/>
      <c r="J577" s="209"/>
      <c r="K577" s="197"/>
    </row>
    <row r="578" spans="2:11" ht="1.5" customHeight="1">
      <c r="D578" s="197"/>
      <c r="E578" s="210"/>
      <c r="F578" s="213"/>
      <c r="G578" s="214"/>
      <c r="H578" s="215"/>
      <c r="I578" s="213"/>
      <c r="J578" s="211"/>
      <c r="K578" s="197"/>
    </row>
    <row r="579" spans="2:11" ht="345">
      <c r="B579" s="193" t="s">
        <v>428</v>
      </c>
      <c r="D579" s="197"/>
      <c r="E579" s="197"/>
      <c r="F579" s="212"/>
      <c r="G579" s="216"/>
      <c r="H579" s="199"/>
      <c r="I579" s="212"/>
      <c r="J579" s="197"/>
      <c r="K579" s="197"/>
    </row>
    <row r="580" spans="2:11" ht="150">
      <c r="B580" s="193" t="s">
        <v>427</v>
      </c>
      <c r="D580" s="197"/>
      <c r="E580" s="212"/>
      <c r="F580" s="212"/>
      <c r="G580" s="216"/>
      <c r="H580" s="199"/>
      <c r="I580" s="212"/>
      <c r="J580" s="212"/>
      <c r="K580" s="197"/>
    </row>
    <row r="581" spans="2:11" ht="1.5" customHeight="1">
      <c r="D581" s="197"/>
      <c r="E581" s="203"/>
      <c r="F581" s="204"/>
      <c r="G581" s="205"/>
      <c r="H581" s="206"/>
      <c r="I581" s="204"/>
      <c r="J581" s="207"/>
      <c r="K581" s="197"/>
    </row>
    <row r="582" spans="2:11" ht="30">
      <c r="B582" s="193" t="s">
        <v>429</v>
      </c>
      <c r="D582" s="197"/>
      <c r="E582" s="208"/>
      <c r="F582" s="200"/>
      <c r="G582" s="202" t="s">
        <v>75</v>
      </c>
      <c r="H582" s="198"/>
      <c r="I582" s="128"/>
      <c r="J582" s="209"/>
      <c r="K582" s="197"/>
    </row>
    <row r="583" spans="2:11">
      <c r="D583" s="197"/>
      <c r="E583" s="208"/>
      <c r="F583" s="200"/>
      <c r="G583" s="196"/>
      <c r="H583" s="194"/>
      <c r="I583" s="128"/>
      <c r="J583" s="209"/>
      <c r="K583" s="197"/>
    </row>
    <row r="584" spans="2:11" ht="75">
      <c r="D584" s="197"/>
      <c r="E584" s="208"/>
      <c r="F584" s="200"/>
      <c r="G584" s="196"/>
      <c r="H584" s="201" t="s">
        <v>351</v>
      </c>
      <c r="I584" s="128"/>
      <c r="J584" s="209"/>
      <c r="K584" s="197"/>
    </row>
    <row r="585" spans="2:11">
      <c r="D585" s="197"/>
      <c r="E585" s="208"/>
      <c r="F585" s="200"/>
      <c r="G585" s="196"/>
      <c r="H585" s="194"/>
      <c r="I585" s="128"/>
      <c r="J585" s="209"/>
      <c r="K585" s="197"/>
    </row>
    <row r="586" spans="2:11" ht="1.5" customHeight="1">
      <c r="D586" s="197"/>
      <c r="E586" s="210"/>
      <c r="F586" s="213"/>
      <c r="G586" s="214"/>
      <c r="H586" s="215"/>
      <c r="I586" s="213"/>
      <c r="J586" s="211"/>
      <c r="K586" s="197"/>
    </row>
    <row r="587" spans="2:11" ht="345">
      <c r="B587" s="193" t="s">
        <v>428</v>
      </c>
      <c r="D587" s="197"/>
      <c r="E587" s="197"/>
      <c r="F587" s="212"/>
      <c r="G587" s="216"/>
      <c r="H587" s="199"/>
      <c r="I587" s="212"/>
      <c r="J587" s="197"/>
      <c r="K587" s="197"/>
    </row>
    <row r="588" spans="2:11" ht="150">
      <c r="B588" s="193" t="s">
        <v>427</v>
      </c>
      <c r="D588" s="197"/>
      <c r="E588" s="212"/>
      <c r="F588" s="212"/>
      <c r="G588" s="216"/>
      <c r="H588" s="199"/>
      <c r="I588" s="212"/>
      <c r="J588" s="212"/>
      <c r="K588" s="197"/>
    </row>
    <row r="589" spans="2:11" ht="1.5" customHeight="1">
      <c r="D589" s="197"/>
      <c r="E589" s="203"/>
      <c r="F589" s="204"/>
      <c r="G589" s="205"/>
      <c r="H589" s="206"/>
      <c r="I589" s="204"/>
      <c r="J589" s="207"/>
      <c r="K589" s="197"/>
    </row>
    <row r="590" spans="2:11" ht="30">
      <c r="B590" s="193" t="s">
        <v>429</v>
      </c>
      <c r="D590" s="197"/>
      <c r="E590" s="208"/>
      <c r="F590" s="200"/>
      <c r="G590" s="202" t="s">
        <v>71</v>
      </c>
      <c r="H590" s="198"/>
      <c r="I590" s="128"/>
      <c r="J590" s="209"/>
      <c r="K590" s="197"/>
    </row>
    <row r="591" spans="2:11">
      <c r="D591" s="197"/>
      <c r="E591" s="208"/>
      <c r="F591" s="200"/>
      <c r="G591" s="196"/>
      <c r="H591" s="194"/>
      <c r="I591" s="128"/>
      <c r="J591" s="209"/>
      <c r="K591" s="197"/>
    </row>
    <row r="592" spans="2:11" ht="165">
      <c r="D592" s="197"/>
      <c r="E592" s="208"/>
      <c r="F592" s="200"/>
      <c r="G592" s="196"/>
      <c r="H592" s="201" t="s">
        <v>364</v>
      </c>
      <c r="I592" s="128"/>
      <c r="J592" s="209"/>
      <c r="K592" s="197"/>
    </row>
    <row r="593" spans="2:11">
      <c r="D593" s="197"/>
      <c r="E593" s="208"/>
      <c r="F593" s="200"/>
      <c r="G593" s="196"/>
      <c r="H593" s="194"/>
      <c r="I593" s="128"/>
      <c r="J593" s="209"/>
      <c r="K593" s="197"/>
    </row>
    <row r="594" spans="2:11" ht="1.5" customHeight="1">
      <c r="D594" s="197"/>
      <c r="E594" s="210"/>
      <c r="F594" s="213"/>
      <c r="G594" s="214"/>
      <c r="H594" s="215"/>
      <c r="I594" s="213"/>
      <c r="J594" s="211"/>
      <c r="K594" s="197"/>
    </row>
    <row r="595" spans="2:11" ht="345">
      <c r="B595" s="193" t="s">
        <v>428</v>
      </c>
      <c r="D595" s="197"/>
      <c r="E595" s="197"/>
      <c r="F595" s="212"/>
      <c r="G595" s="216"/>
      <c r="H595" s="199"/>
      <c r="I595" s="212"/>
      <c r="J595" s="197"/>
      <c r="K595" s="197"/>
    </row>
    <row r="596" spans="2:11" ht="150">
      <c r="B596" s="193" t="s">
        <v>427</v>
      </c>
      <c r="D596" s="197"/>
      <c r="E596" s="212"/>
      <c r="F596" s="212"/>
      <c r="G596" s="216"/>
      <c r="H596" s="199"/>
      <c r="I596" s="212"/>
      <c r="J596" s="212"/>
      <c r="K596" s="197"/>
    </row>
    <row r="597" spans="2:11" ht="1.5" customHeight="1">
      <c r="D597" s="197"/>
      <c r="E597" s="203"/>
      <c r="F597" s="204"/>
      <c r="G597" s="205"/>
      <c r="H597" s="206"/>
      <c r="I597" s="204"/>
      <c r="J597" s="207"/>
      <c r="K597" s="197"/>
    </row>
    <row r="598" spans="2:11" ht="30">
      <c r="B598" s="193" t="s">
        <v>429</v>
      </c>
      <c r="D598" s="197"/>
      <c r="E598" s="208"/>
      <c r="F598" s="200"/>
      <c r="G598" s="202" t="s">
        <v>72</v>
      </c>
      <c r="H598" s="198"/>
      <c r="I598" s="128"/>
      <c r="J598" s="209"/>
      <c r="K598" s="197"/>
    </row>
    <row r="599" spans="2:11">
      <c r="D599" s="197"/>
      <c r="E599" s="208"/>
      <c r="F599" s="200"/>
      <c r="G599" s="196"/>
      <c r="H599" s="194"/>
      <c r="I599" s="128"/>
      <c r="J599" s="209"/>
      <c r="K599" s="197"/>
    </row>
    <row r="600" spans="2:11" ht="165">
      <c r="D600" s="197"/>
      <c r="E600" s="208"/>
      <c r="F600" s="200"/>
      <c r="G600" s="196"/>
      <c r="H600" s="201" t="s">
        <v>376</v>
      </c>
      <c r="I600" s="128"/>
      <c r="J600" s="209"/>
      <c r="K600" s="197"/>
    </row>
    <row r="601" spans="2:11">
      <c r="D601" s="197"/>
      <c r="E601" s="208"/>
      <c r="F601" s="200"/>
      <c r="G601" s="196"/>
      <c r="H601" s="194"/>
      <c r="I601" s="128"/>
      <c r="J601" s="209"/>
      <c r="K601" s="197"/>
    </row>
    <row r="602" spans="2:11" ht="1.5" customHeight="1">
      <c r="D602" s="197"/>
      <c r="E602" s="210"/>
      <c r="F602" s="213"/>
      <c r="G602" s="214"/>
      <c r="H602" s="215"/>
      <c r="I602" s="213"/>
      <c r="J602" s="211"/>
      <c r="K602" s="197"/>
    </row>
    <row r="603" spans="2:11" ht="345">
      <c r="B603" s="193" t="s">
        <v>428</v>
      </c>
      <c r="D603" s="197"/>
      <c r="E603" s="197"/>
      <c r="F603" s="212"/>
      <c r="G603" s="216"/>
      <c r="H603" s="199"/>
      <c r="I603" s="212"/>
      <c r="J603" s="197"/>
      <c r="K603" s="197"/>
    </row>
    <row r="604" spans="2:11" ht="150">
      <c r="B604" s="193" t="s">
        <v>427</v>
      </c>
      <c r="D604" s="197"/>
      <c r="E604" s="212"/>
      <c r="F604" s="212"/>
      <c r="G604" s="216"/>
      <c r="H604" s="199"/>
      <c r="I604" s="212"/>
      <c r="J604" s="212"/>
      <c r="K604" s="197"/>
    </row>
    <row r="605" spans="2:11" ht="1.5" customHeight="1">
      <c r="D605" s="197"/>
      <c r="E605" s="203"/>
      <c r="F605" s="204"/>
      <c r="G605" s="205"/>
      <c r="H605" s="206"/>
      <c r="I605" s="204"/>
      <c r="J605" s="207"/>
      <c r="K605" s="197"/>
    </row>
    <row r="606" spans="2:11" ht="30">
      <c r="B606" s="193" t="s">
        <v>429</v>
      </c>
      <c r="D606" s="197"/>
      <c r="E606" s="208"/>
      <c r="F606" s="200"/>
      <c r="G606" s="202" t="s">
        <v>73</v>
      </c>
      <c r="H606" s="198"/>
      <c r="I606" s="128"/>
      <c r="J606" s="209"/>
      <c r="K606" s="197"/>
    </row>
    <row r="607" spans="2:11">
      <c r="D607" s="197"/>
      <c r="E607" s="208"/>
      <c r="F607" s="200"/>
      <c r="G607" s="196"/>
      <c r="H607" s="194"/>
      <c r="I607" s="128"/>
      <c r="J607" s="209"/>
      <c r="K607" s="197"/>
    </row>
    <row r="608" spans="2:11" ht="180">
      <c r="D608" s="197"/>
      <c r="E608" s="208"/>
      <c r="F608" s="200"/>
      <c r="G608" s="196"/>
      <c r="H608" s="201" t="s">
        <v>366</v>
      </c>
      <c r="I608" s="128"/>
      <c r="J608" s="209"/>
      <c r="K608" s="197"/>
    </row>
    <row r="609" spans="2:11">
      <c r="D609" s="197"/>
      <c r="E609" s="208"/>
      <c r="F609" s="200"/>
      <c r="G609" s="196"/>
      <c r="H609" s="194"/>
      <c r="I609" s="128"/>
      <c r="J609" s="209"/>
      <c r="K609" s="197"/>
    </row>
    <row r="610" spans="2:11" ht="1.5" customHeight="1">
      <c r="D610" s="197"/>
      <c r="E610" s="210"/>
      <c r="F610" s="213"/>
      <c r="G610" s="214"/>
      <c r="H610" s="215"/>
      <c r="I610" s="213"/>
      <c r="J610" s="211"/>
      <c r="K610" s="197"/>
    </row>
    <row r="611" spans="2:11" ht="345">
      <c r="B611" s="193" t="s">
        <v>428</v>
      </c>
      <c r="D611" s="197"/>
      <c r="E611" s="197"/>
      <c r="F611" s="212"/>
      <c r="G611" s="216"/>
      <c r="H611" s="199"/>
      <c r="I611" s="212"/>
      <c r="J611" s="197"/>
      <c r="K611" s="197"/>
    </row>
    <row r="612" spans="2:11" ht="150">
      <c r="B612" s="193" t="s">
        <v>427</v>
      </c>
      <c r="D612" s="197"/>
      <c r="E612" s="212"/>
      <c r="F612" s="212"/>
      <c r="G612" s="216"/>
      <c r="H612" s="199"/>
      <c r="I612" s="212"/>
      <c r="J612" s="212"/>
      <c r="K612" s="197"/>
    </row>
    <row r="613" spans="2:11" ht="1.5" customHeight="1">
      <c r="D613" s="197"/>
      <c r="E613" s="203"/>
      <c r="F613" s="204"/>
      <c r="G613" s="205"/>
      <c r="H613" s="206"/>
      <c r="I613" s="204"/>
      <c r="J613" s="207"/>
      <c r="K613" s="197"/>
    </row>
    <row r="614" spans="2:11" ht="30">
      <c r="B614" s="193" t="s">
        <v>429</v>
      </c>
      <c r="D614" s="197"/>
      <c r="E614" s="208"/>
      <c r="F614" s="200"/>
      <c r="G614" s="202" t="s">
        <v>158</v>
      </c>
      <c r="H614" s="198"/>
      <c r="I614" s="128"/>
      <c r="J614" s="209"/>
      <c r="K614" s="197"/>
    </row>
    <row r="615" spans="2:11">
      <c r="D615" s="197"/>
      <c r="E615" s="208"/>
      <c r="F615" s="200"/>
      <c r="G615" s="196"/>
      <c r="H615" s="194"/>
      <c r="I615" s="128"/>
      <c r="J615" s="209"/>
      <c r="K615" s="197"/>
    </row>
    <row r="616" spans="2:11" ht="120">
      <c r="D616" s="197"/>
      <c r="E616" s="208"/>
      <c r="F616" s="200"/>
      <c r="G616" s="196"/>
      <c r="H616" s="201" t="s">
        <v>367</v>
      </c>
      <c r="I616" s="128"/>
      <c r="J616" s="209"/>
      <c r="K616" s="197"/>
    </row>
    <row r="617" spans="2:11">
      <c r="D617" s="197"/>
      <c r="E617" s="208"/>
      <c r="F617" s="200"/>
      <c r="G617" s="196"/>
      <c r="H617" s="194"/>
      <c r="I617" s="128"/>
      <c r="J617" s="209"/>
      <c r="K617" s="197"/>
    </row>
    <row r="618" spans="2:11" ht="1.5" customHeight="1">
      <c r="D618" s="197"/>
      <c r="E618" s="210"/>
      <c r="F618" s="213"/>
      <c r="G618" s="214"/>
      <c r="H618" s="215"/>
      <c r="I618" s="213"/>
      <c r="J618" s="211"/>
      <c r="K618" s="197"/>
    </row>
    <row r="619" spans="2:11" ht="345">
      <c r="B619" s="193" t="s">
        <v>428</v>
      </c>
      <c r="D619" s="197"/>
      <c r="E619" s="197"/>
      <c r="F619" s="212"/>
      <c r="G619" s="216"/>
      <c r="H619" s="199"/>
      <c r="I619" s="212"/>
      <c r="J619" s="197"/>
      <c r="K619" s="197"/>
    </row>
    <row r="620" spans="2:11" ht="150">
      <c r="B620" s="193" t="s">
        <v>427</v>
      </c>
      <c r="D620" s="197"/>
      <c r="E620" s="212"/>
      <c r="F620" s="212"/>
      <c r="G620" s="216"/>
      <c r="H620" s="199"/>
      <c r="I620" s="212"/>
      <c r="J620" s="212"/>
      <c r="K620" s="197"/>
    </row>
    <row r="621" spans="2:11" ht="1.5" customHeight="1">
      <c r="D621" s="197"/>
      <c r="E621" s="203"/>
      <c r="F621" s="204"/>
      <c r="G621" s="205"/>
      <c r="H621" s="206"/>
      <c r="I621" s="204"/>
      <c r="J621" s="207"/>
      <c r="K621" s="197"/>
    </row>
    <row r="622" spans="2:11" ht="30">
      <c r="B622" s="193" t="s">
        <v>429</v>
      </c>
      <c r="D622" s="197"/>
      <c r="E622" s="208"/>
      <c r="F622" s="200"/>
      <c r="G622" s="202" t="s">
        <v>74</v>
      </c>
      <c r="H622" s="198"/>
      <c r="I622" s="128"/>
      <c r="J622" s="209"/>
      <c r="K622" s="197"/>
    </row>
    <row r="623" spans="2:11">
      <c r="D623" s="197"/>
      <c r="E623" s="208"/>
      <c r="F623" s="200"/>
      <c r="G623" s="196"/>
      <c r="H623" s="194"/>
      <c r="I623" s="128"/>
      <c r="J623" s="209"/>
      <c r="K623" s="197"/>
    </row>
    <row r="624" spans="2:11" ht="120">
      <c r="D624" s="197"/>
      <c r="E624" s="208"/>
      <c r="F624" s="200"/>
      <c r="G624" s="196"/>
      <c r="H624" s="201" t="s">
        <v>367</v>
      </c>
      <c r="I624" s="128"/>
      <c r="J624" s="209"/>
      <c r="K624" s="197"/>
    </row>
    <row r="625" spans="2:11">
      <c r="D625" s="197"/>
      <c r="E625" s="208"/>
      <c r="F625" s="200"/>
      <c r="G625" s="196"/>
      <c r="H625" s="194"/>
      <c r="I625" s="128"/>
      <c r="J625" s="209"/>
      <c r="K625" s="197"/>
    </row>
    <row r="626" spans="2:11" ht="1.5" customHeight="1">
      <c r="D626" s="197"/>
      <c r="E626" s="210"/>
      <c r="F626" s="213"/>
      <c r="G626" s="214"/>
      <c r="H626" s="215"/>
      <c r="I626" s="213"/>
      <c r="J626" s="211"/>
      <c r="K626" s="197"/>
    </row>
    <row r="627" spans="2:11" ht="345">
      <c r="B627" s="193" t="s">
        <v>428</v>
      </c>
      <c r="D627" s="197"/>
      <c r="E627" s="197"/>
      <c r="F627" s="212"/>
      <c r="G627" s="216"/>
      <c r="H627" s="199"/>
      <c r="I627" s="212"/>
      <c r="J627" s="197"/>
      <c r="K627" s="197"/>
    </row>
    <row r="628" spans="2:11" ht="150">
      <c r="B628" s="193" t="s">
        <v>427</v>
      </c>
      <c r="D628" s="197"/>
      <c r="E628" s="212"/>
      <c r="F628" s="212"/>
      <c r="G628" s="216"/>
      <c r="H628" s="199"/>
      <c r="I628" s="212"/>
      <c r="J628" s="212"/>
      <c r="K628" s="197"/>
    </row>
    <row r="629" spans="2:11" ht="1.5" customHeight="1">
      <c r="D629" s="197"/>
      <c r="E629" s="203"/>
      <c r="F629" s="204"/>
      <c r="G629" s="205"/>
      <c r="H629" s="206"/>
      <c r="I629" s="204"/>
      <c r="J629" s="207"/>
      <c r="K629" s="197"/>
    </row>
    <row r="630" spans="2:11" ht="30">
      <c r="B630" s="193" t="s">
        <v>429</v>
      </c>
      <c r="D630" s="197"/>
      <c r="E630" s="208"/>
      <c r="F630" s="200"/>
      <c r="G630" s="202" t="s">
        <v>381</v>
      </c>
      <c r="H630" s="198"/>
      <c r="I630" s="128"/>
      <c r="J630" s="209"/>
      <c r="K630" s="197"/>
    </row>
    <row r="631" spans="2:11">
      <c r="D631" s="197"/>
      <c r="E631" s="208"/>
      <c r="F631" s="200"/>
      <c r="G631" s="196"/>
      <c r="H631" s="194"/>
      <c r="I631" s="128"/>
      <c r="J631" s="209"/>
      <c r="K631" s="197"/>
    </row>
    <row r="632" spans="2:11" ht="135">
      <c r="D632" s="197"/>
      <c r="E632" s="208"/>
      <c r="F632" s="200"/>
      <c r="G632" s="196"/>
      <c r="H632" s="201" t="s">
        <v>383</v>
      </c>
      <c r="I632" s="128"/>
      <c r="J632" s="209"/>
      <c r="K632" s="197"/>
    </row>
    <row r="633" spans="2:11">
      <c r="D633" s="197"/>
      <c r="E633" s="208"/>
      <c r="F633" s="200"/>
      <c r="G633" s="196"/>
      <c r="H633" s="194"/>
      <c r="I633" s="128"/>
      <c r="J633" s="209"/>
      <c r="K633" s="197"/>
    </row>
    <row r="634" spans="2:11" ht="1.5" customHeight="1">
      <c r="D634" s="197"/>
      <c r="E634" s="210"/>
      <c r="F634" s="213"/>
      <c r="G634" s="214"/>
      <c r="H634" s="215"/>
      <c r="I634" s="213"/>
      <c r="J634" s="211"/>
      <c r="K634" s="197"/>
    </row>
    <row r="635" spans="2:11" ht="345">
      <c r="B635" s="193" t="s">
        <v>428</v>
      </c>
      <c r="D635" s="197"/>
      <c r="E635" s="197"/>
      <c r="F635" s="212"/>
      <c r="G635" s="216"/>
      <c r="H635" s="199"/>
      <c r="I635" s="212"/>
      <c r="J635" s="197"/>
      <c r="K635" s="197"/>
    </row>
    <row r="636" spans="2:11" ht="150">
      <c r="B636" s="193" t="s">
        <v>427</v>
      </c>
      <c r="D636" s="197"/>
      <c r="E636" s="212"/>
      <c r="F636" s="212"/>
      <c r="G636" s="216"/>
      <c r="H636" s="199"/>
      <c r="I636" s="212"/>
      <c r="J636" s="212"/>
      <c r="K636" s="197"/>
    </row>
    <row r="637" spans="2:11" ht="1.5" customHeight="1">
      <c r="D637" s="197"/>
      <c r="E637" s="203"/>
      <c r="F637" s="204"/>
      <c r="G637" s="205"/>
      <c r="H637" s="206"/>
      <c r="I637" s="204"/>
      <c r="J637" s="207"/>
      <c r="K637" s="197"/>
    </row>
    <row r="638" spans="2:11" ht="30">
      <c r="B638" s="193" t="s">
        <v>429</v>
      </c>
      <c r="D638" s="197"/>
      <c r="E638" s="208"/>
      <c r="F638" s="200"/>
      <c r="G638" s="219" t="s">
        <v>380</v>
      </c>
      <c r="H638" s="198"/>
      <c r="I638" s="128"/>
      <c r="J638" s="209"/>
      <c r="K638" s="197"/>
    </row>
    <row r="639" spans="2:11">
      <c r="D639" s="197"/>
      <c r="E639" s="208"/>
      <c r="F639" s="200"/>
      <c r="G639" s="196"/>
      <c r="H639" s="194"/>
      <c r="I639" s="128"/>
      <c r="J639" s="209"/>
      <c r="K639" s="197"/>
    </row>
    <row r="640" spans="2:11" ht="180">
      <c r="D640" s="197"/>
      <c r="E640" s="208"/>
      <c r="F640" s="200"/>
      <c r="G640" s="196"/>
      <c r="H640" s="201" t="s">
        <v>382</v>
      </c>
      <c r="I640" s="128"/>
      <c r="J640" s="209"/>
      <c r="K640" s="197"/>
    </row>
    <row r="641" spans="2:11">
      <c r="D641" s="197"/>
      <c r="E641" s="208"/>
      <c r="F641" s="200"/>
      <c r="G641" s="196"/>
      <c r="H641" s="194"/>
      <c r="I641" s="128"/>
      <c r="J641" s="209"/>
      <c r="K641" s="197"/>
    </row>
    <row r="642" spans="2:11" ht="1.5" customHeight="1">
      <c r="D642" s="197"/>
      <c r="E642" s="210"/>
      <c r="F642" s="213"/>
      <c r="G642" s="214"/>
      <c r="H642" s="215"/>
      <c r="I642" s="213"/>
      <c r="J642" s="211"/>
      <c r="K642" s="197"/>
    </row>
    <row r="643" spans="2:11" ht="345">
      <c r="B643" s="193" t="s">
        <v>428</v>
      </c>
      <c r="D643" s="197"/>
      <c r="E643" s="197"/>
      <c r="F643" s="212"/>
      <c r="G643" s="216"/>
      <c r="H643" s="199"/>
      <c r="I643" s="212"/>
      <c r="J643" s="197"/>
      <c r="K643" s="197"/>
    </row>
    <row r="644" spans="2:11" ht="150">
      <c r="B644" s="193" t="s">
        <v>427</v>
      </c>
      <c r="D644" s="197"/>
      <c r="E644" s="212"/>
      <c r="F644" s="212"/>
      <c r="G644" s="216"/>
      <c r="H644" s="199"/>
      <c r="I644" s="212"/>
      <c r="J644" s="212"/>
      <c r="K644" s="197"/>
    </row>
    <row r="645" spans="2:11" ht="1.5" customHeight="1">
      <c r="D645" s="197"/>
      <c r="E645" s="203"/>
      <c r="F645" s="204"/>
      <c r="G645" s="205"/>
      <c r="H645" s="206"/>
      <c r="I645" s="204"/>
      <c r="J645" s="207"/>
      <c r="K645" s="197"/>
    </row>
    <row r="646" spans="2:11" ht="30">
      <c r="B646" s="193" t="s">
        <v>429</v>
      </c>
      <c r="D646" s="197"/>
      <c r="E646" s="208"/>
      <c r="F646" s="200"/>
      <c r="G646" s="202" t="s">
        <v>393</v>
      </c>
      <c r="H646" s="198"/>
      <c r="I646" s="128"/>
      <c r="J646" s="209"/>
      <c r="K646" s="197"/>
    </row>
    <row r="647" spans="2:11">
      <c r="D647" s="197"/>
      <c r="E647" s="208"/>
      <c r="F647" s="200"/>
      <c r="G647" s="196"/>
      <c r="H647" s="194"/>
      <c r="I647" s="128"/>
      <c r="J647" s="209"/>
      <c r="K647" s="197"/>
    </row>
    <row r="648" spans="2:11" ht="30">
      <c r="D648" s="197"/>
      <c r="E648" s="208"/>
      <c r="F648" s="200"/>
      <c r="G648" s="196"/>
      <c r="H648" s="201" t="s">
        <v>416</v>
      </c>
      <c r="I648" s="128"/>
      <c r="J648" s="209"/>
      <c r="K648" s="197"/>
    </row>
    <row r="649" spans="2:11">
      <c r="D649" s="197"/>
      <c r="E649" s="208"/>
      <c r="F649" s="200"/>
      <c r="G649" s="196"/>
      <c r="H649" s="194"/>
      <c r="I649" s="128"/>
      <c r="J649" s="209"/>
      <c r="K649" s="197"/>
    </row>
    <row r="650" spans="2:11" ht="1.5" customHeight="1">
      <c r="D650" s="197"/>
      <c r="E650" s="210"/>
      <c r="F650" s="213"/>
      <c r="G650" s="214"/>
      <c r="H650" s="215"/>
      <c r="I650" s="213"/>
      <c r="J650" s="211"/>
      <c r="K650" s="197"/>
    </row>
    <row r="651" spans="2:11" ht="345">
      <c r="B651" s="193" t="s">
        <v>428</v>
      </c>
      <c r="D651" s="197"/>
      <c r="E651" s="197"/>
      <c r="F651" s="212"/>
      <c r="G651" s="216"/>
      <c r="H651" s="199"/>
      <c r="I651" s="212"/>
      <c r="J651" s="197"/>
      <c r="K651" s="197"/>
    </row>
    <row r="652" spans="2:11" ht="150">
      <c r="B652" s="193" t="s">
        <v>427</v>
      </c>
      <c r="D652" s="197"/>
      <c r="E652" s="212"/>
      <c r="F652" s="212"/>
      <c r="G652" s="216"/>
      <c r="H652" s="199"/>
      <c r="I652" s="212"/>
      <c r="J652" s="212"/>
      <c r="K652" s="197"/>
    </row>
    <row r="653" spans="2:11" ht="1.5" customHeight="1">
      <c r="D653" s="197"/>
      <c r="E653" s="203"/>
      <c r="F653" s="204"/>
      <c r="G653" s="205"/>
      <c r="H653" s="206"/>
      <c r="I653" s="204"/>
      <c r="J653" s="207"/>
      <c r="K653" s="197"/>
    </row>
    <row r="654" spans="2:11" ht="30">
      <c r="B654" s="193" t="s">
        <v>429</v>
      </c>
      <c r="D654" s="197"/>
      <c r="E654" s="208"/>
      <c r="F654" s="200"/>
      <c r="G654" s="202" t="s">
        <v>417</v>
      </c>
      <c r="H654" s="198"/>
      <c r="I654" s="128"/>
      <c r="J654" s="209"/>
      <c r="K654" s="197"/>
    </row>
    <row r="655" spans="2:11">
      <c r="D655" s="197"/>
      <c r="E655" s="208"/>
      <c r="F655" s="200"/>
      <c r="G655" s="196"/>
      <c r="H655" s="194"/>
      <c r="I655" s="128"/>
      <c r="J655" s="209"/>
      <c r="K655" s="197"/>
    </row>
    <row r="656" spans="2:11" ht="30">
      <c r="D656" s="197"/>
      <c r="E656" s="208"/>
      <c r="F656" s="200"/>
      <c r="G656" s="196"/>
      <c r="H656" s="201" t="s">
        <v>418</v>
      </c>
      <c r="I656" s="128"/>
      <c r="J656" s="209"/>
      <c r="K656" s="197"/>
    </row>
    <row r="657" spans="2:11">
      <c r="D657" s="197"/>
      <c r="E657" s="208"/>
      <c r="F657" s="200"/>
      <c r="G657" s="196"/>
      <c r="H657" s="194"/>
      <c r="I657" s="128"/>
      <c r="J657" s="209"/>
      <c r="K657" s="197"/>
    </row>
    <row r="658" spans="2:11" ht="1.5" customHeight="1">
      <c r="D658" s="197"/>
      <c r="E658" s="210"/>
      <c r="F658" s="213"/>
      <c r="G658" s="214"/>
      <c r="H658" s="215"/>
      <c r="I658" s="213"/>
      <c r="J658" s="211"/>
      <c r="K658" s="197"/>
    </row>
    <row r="659" spans="2:11" ht="345">
      <c r="B659" s="193" t="s">
        <v>428</v>
      </c>
      <c r="D659" s="197"/>
      <c r="E659" s="197"/>
      <c r="F659" s="212"/>
      <c r="G659" s="216"/>
      <c r="H659" s="199"/>
      <c r="I659" s="212"/>
      <c r="J659" s="197"/>
      <c r="K659" s="197"/>
    </row>
    <row r="660" spans="2:11" ht="150">
      <c r="B660" s="193" t="s">
        <v>427</v>
      </c>
      <c r="D660" s="197"/>
      <c r="E660" s="212"/>
      <c r="F660" s="212"/>
      <c r="G660" s="216"/>
      <c r="H660" s="199"/>
      <c r="I660" s="212"/>
      <c r="J660" s="212"/>
      <c r="K660" s="197"/>
    </row>
    <row r="661" spans="2:11" ht="1.5" customHeight="1">
      <c r="D661" s="197"/>
      <c r="E661" s="203"/>
      <c r="F661" s="204"/>
      <c r="G661" s="205"/>
      <c r="H661" s="206"/>
      <c r="I661" s="204"/>
      <c r="J661" s="207"/>
      <c r="K661" s="197"/>
    </row>
    <row r="662" spans="2:11" ht="30">
      <c r="B662" s="193" t="s">
        <v>429</v>
      </c>
      <c r="D662" s="197"/>
      <c r="E662" s="208"/>
      <c r="F662" s="200"/>
      <c r="G662" s="202" t="s">
        <v>419</v>
      </c>
      <c r="H662" s="198"/>
      <c r="I662" s="128"/>
      <c r="J662" s="209"/>
      <c r="K662" s="197"/>
    </row>
    <row r="663" spans="2:11">
      <c r="D663" s="197"/>
      <c r="E663" s="208"/>
      <c r="F663" s="200"/>
      <c r="G663" s="196"/>
      <c r="H663" s="194"/>
      <c r="I663" s="128"/>
      <c r="J663" s="209"/>
      <c r="K663" s="197"/>
    </row>
    <row r="664" spans="2:11">
      <c r="D664" s="197"/>
      <c r="E664" s="208"/>
      <c r="F664" s="200"/>
      <c r="G664" s="196"/>
      <c r="H664" s="201"/>
      <c r="I664" s="128"/>
      <c r="J664" s="209"/>
      <c r="K664" s="197"/>
    </row>
    <row r="665" spans="2:11">
      <c r="D665" s="197"/>
      <c r="E665" s="208"/>
      <c r="F665" s="200"/>
      <c r="G665" s="196"/>
      <c r="H665" s="194"/>
      <c r="I665" s="128"/>
      <c r="J665" s="209"/>
      <c r="K665" s="197"/>
    </row>
    <row r="666" spans="2:11" ht="1.5" customHeight="1">
      <c r="D666" s="197"/>
      <c r="E666" s="210"/>
      <c r="F666" s="213"/>
      <c r="G666" s="214"/>
      <c r="H666" s="215"/>
      <c r="I666" s="213"/>
      <c r="J666" s="211"/>
      <c r="K666" s="197"/>
    </row>
    <row r="667" spans="2:11" ht="345">
      <c r="B667" s="193" t="s">
        <v>428</v>
      </c>
      <c r="D667" s="197"/>
      <c r="E667" s="197"/>
      <c r="F667" s="212"/>
      <c r="G667" s="216"/>
      <c r="H667" s="199"/>
      <c r="I667" s="212"/>
      <c r="J667" s="197"/>
      <c r="K667" s="197"/>
    </row>
    <row r="668" spans="2:11" ht="150">
      <c r="B668" s="193" t="s">
        <v>427</v>
      </c>
      <c r="D668" s="197"/>
      <c r="E668" s="212"/>
      <c r="F668" s="212"/>
      <c r="G668" s="216"/>
      <c r="H668" s="199"/>
      <c r="I668" s="212"/>
      <c r="J668" s="212"/>
      <c r="K668" s="197"/>
    </row>
    <row r="669" spans="2:11" ht="1.5" customHeight="1">
      <c r="D669" s="197"/>
      <c r="E669" s="203"/>
      <c r="F669" s="204"/>
      <c r="G669" s="205"/>
      <c r="H669" s="206"/>
      <c r="I669" s="204"/>
      <c r="J669" s="207"/>
      <c r="K669" s="197"/>
    </row>
    <row r="670" spans="2:11" ht="30">
      <c r="B670" s="193" t="s">
        <v>429</v>
      </c>
      <c r="D670" s="197"/>
      <c r="E670" s="208"/>
      <c r="F670" s="200"/>
      <c r="G670" s="202" t="s">
        <v>420</v>
      </c>
      <c r="H670" s="198"/>
      <c r="I670" s="128"/>
      <c r="J670" s="209"/>
      <c r="K670" s="197"/>
    </row>
    <row r="671" spans="2:11">
      <c r="D671" s="197"/>
      <c r="E671" s="208"/>
      <c r="F671" s="200"/>
      <c r="G671" s="196"/>
      <c r="H671" s="194"/>
      <c r="I671" s="128"/>
      <c r="J671" s="209"/>
      <c r="K671" s="197"/>
    </row>
    <row r="672" spans="2:11">
      <c r="D672" s="197"/>
      <c r="E672" s="208"/>
      <c r="F672" s="200"/>
      <c r="G672" s="196"/>
      <c r="H672" s="201"/>
      <c r="I672" s="128"/>
      <c r="J672" s="209"/>
      <c r="K672" s="197"/>
    </row>
    <row r="673" spans="2:11">
      <c r="D673" s="197"/>
      <c r="E673" s="208"/>
      <c r="F673" s="200"/>
      <c r="G673" s="196"/>
      <c r="H673" s="194"/>
      <c r="I673" s="128"/>
      <c r="J673" s="209"/>
      <c r="K673" s="197"/>
    </row>
    <row r="674" spans="2:11" ht="1.5" customHeight="1">
      <c r="D674" s="197"/>
      <c r="E674" s="210"/>
      <c r="F674" s="213"/>
      <c r="G674" s="214"/>
      <c r="H674" s="215"/>
      <c r="I674" s="213"/>
      <c r="J674" s="211"/>
      <c r="K674" s="197"/>
    </row>
    <row r="675" spans="2:11" ht="345">
      <c r="B675" s="193" t="s">
        <v>428</v>
      </c>
      <c r="D675" s="197"/>
      <c r="E675" s="197"/>
      <c r="F675" s="212"/>
      <c r="G675" s="216"/>
      <c r="H675" s="199"/>
      <c r="I675" s="212"/>
      <c r="J675" s="197"/>
      <c r="K675" s="197"/>
    </row>
    <row r="676" spans="2:11" ht="150">
      <c r="B676" s="193" t="s">
        <v>427</v>
      </c>
      <c r="D676" s="197"/>
      <c r="E676" s="212"/>
      <c r="F676" s="212"/>
      <c r="G676" s="216"/>
      <c r="H676" s="199"/>
      <c r="I676" s="212"/>
      <c r="J676" s="212"/>
      <c r="K676" s="197"/>
    </row>
    <row r="677" spans="2:11" ht="1.5" customHeight="1">
      <c r="D677" s="197"/>
      <c r="E677" s="203"/>
      <c r="F677" s="204"/>
      <c r="G677" s="205"/>
      <c r="H677" s="206"/>
      <c r="I677" s="204"/>
      <c r="J677" s="207"/>
      <c r="K677" s="197"/>
    </row>
    <row r="678" spans="2:11" ht="30">
      <c r="B678" s="193" t="s">
        <v>429</v>
      </c>
      <c r="D678" s="197"/>
      <c r="E678" s="208"/>
      <c r="F678" s="200"/>
      <c r="G678" s="202" t="s">
        <v>421</v>
      </c>
      <c r="H678" s="198"/>
      <c r="I678" s="128"/>
      <c r="J678" s="209"/>
      <c r="K678" s="197"/>
    </row>
    <row r="679" spans="2:11">
      <c r="D679" s="197"/>
      <c r="E679" s="208"/>
      <c r="F679" s="200"/>
      <c r="G679" s="196"/>
      <c r="H679" s="194"/>
      <c r="I679" s="128"/>
      <c r="J679" s="209"/>
      <c r="K679" s="197"/>
    </row>
    <row r="680" spans="2:11">
      <c r="D680" s="197"/>
      <c r="E680" s="208"/>
      <c r="F680" s="200"/>
      <c r="G680" s="196"/>
      <c r="H680" s="201"/>
      <c r="I680" s="128"/>
      <c r="J680" s="209"/>
      <c r="K680" s="197"/>
    </row>
    <row r="681" spans="2:11">
      <c r="D681" s="197"/>
      <c r="E681" s="208"/>
      <c r="F681" s="200"/>
      <c r="G681" s="196"/>
      <c r="H681" s="194"/>
      <c r="I681" s="128"/>
      <c r="J681" s="209"/>
      <c r="K681" s="197"/>
    </row>
    <row r="682" spans="2:11" ht="1.5" customHeight="1">
      <c r="D682" s="197"/>
      <c r="E682" s="210"/>
      <c r="F682" s="213"/>
      <c r="G682" s="214"/>
      <c r="H682" s="215"/>
      <c r="I682" s="213"/>
      <c r="J682" s="211"/>
      <c r="K682" s="197"/>
    </row>
    <row r="683" spans="2:11" ht="345">
      <c r="B683" s="193" t="s">
        <v>428</v>
      </c>
      <c r="D683" s="197"/>
      <c r="E683" s="197"/>
      <c r="F683" s="212"/>
      <c r="G683" s="216"/>
      <c r="H683" s="199"/>
      <c r="I683" s="212"/>
      <c r="J683" s="197"/>
      <c r="K683" s="197"/>
    </row>
    <row r="684" spans="2:11" ht="150">
      <c r="B684" s="193" t="s">
        <v>427</v>
      </c>
      <c r="D684" s="197"/>
      <c r="E684" s="212"/>
      <c r="F684" s="212"/>
      <c r="G684" s="216"/>
      <c r="H684" s="199"/>
      <c r="I684" s="212"/>
      <c r="J684" s="212"/>
      <c r="K684" s="197"/>
    </row>
    <row r="685" spans="2:11" ht="1.5" customHeight="1">
      <c r="D685" s="197"/>
      <c r="E685" s="203"/>
      <c r="F685" s="204"/>
      <c r="G685" s="205"/>
      <c r="H685" s="206"/>
      <c r="I685" s="204"/>
      <c r="J685" s="207"/>
      <c r="K685" s="197"/>
    </row>
    <row r="686" spans="2:11" ht="30">
      <c r="B686" s="193" t="s">
        <v>429</v>
      </c>
      <c r="D686" s="197"/>
      <c r="E686" s="208"/>
      <c r="F686" s="200"/>
      <c r="G686" s="202" t="s">
        <v>422</v>
      </c>
      <c r="H686" s="198"/>
      <c r="I686" s="128"/>
      <c r="J686" s="209"/>
      <c r="K686" s="197"/>
    </row>
    <row r="687" spans="2:11">
      <c r="D687" s="197"/>
      <c r="E687" s="208"/>
      <c r="F687" s="200"/>
      <c r="G687" s="196"/>
      <c r="H687" s="194"/>
      <c r="I687" s="128"/>
      <c r="J687" s="209"/>
      <c r="K687" s="197"/>
    </row>
    <row r="688" spans="2:11">
      <c r="D688" s="197"/>
      <c r="E688" s="208"/>
      <c r="F688" s="200"/>
      <c r="G688" s="196"/>
      <c r="H688" s="201"/>
      <c r="I688" s="128"/>
      <c r="J688" s="209"/>
      <c r="K688" s="197"/>
    </row>
    <row r="689" spans="2:11">
      <c r="D689" s="197"/>
      <c r="E689" s="208"/>
      <c r="F689" s="200"/>
      <c r="G689" s="196"/>
      <c r="H689" s="194"/>
      <c r="I689" s="128"/>
      <c r="J689" s="209"/>
      <c r="K689" s="197"/>
    </row>
    <row r="690" spans="2:11" ht="1.5" customHeight="1">
      <c r="D690" s="197"/>
      <c r="E690" s="210"/>
      <c r="F690" s="213"/>
      <c r="G690" s="214"/>
      <c r="H690" s="215"/>
      <c r="I690" s="213"/>
      <c r="J690" s="211"/>
      <c r="K690" s="197"/>
    </row>
    <row r="691" spans="2:11" ht="345">
      <c r="B691" s="193" t="s">
        <v>428</v>
      </c>
      <c r="D691" s="197"/>
      <c r="E691" s="197"/>
      <c r="F691" s="212"/>
      <c r="G691" s="216"/>
      <c r="H691" s="199"/>
      <c r="I691" s="212"/>
      <c r="J691" s="197"/>
      <c r="K691" s="197"/>
    </row>
    <row r="692" spans="2:11" ht="150">
      <c r="B692" s="193" t="s">
        <v>427</v>
      </c>
      <c r="D692" s="197"/>
      <c r="E692" s="212"/>
      <c r="F692" s="212"/>
      <c r="G692" s="216"/>
      <c r="H692" s="199"/>
      <c r="I692" s="212"/>
      <c r="J692" s="212"/>
      <c r="K692" s="197"/>
    </row>
    <row r="693" spans="2:11" ht="1.5" customHeight="1">
      <c r="D693" s="197"/>
      <c r="E693" s="203"/>
      <c r="F693" s="204"/>
      <c r="G693" s="205"/>
      <c r="H693" s="206"/>
      <c r="I693" s="204"/>
      <c r="J693" s="207"/>
      <c r="K693" s="197"/>
    </row>
    <row r="694" spans="2:11" ht="30">
      <c r="B694" s="193" t="s">
        <v>429</v>
      </c>
      <c r="D694" s="197"/>
      <c r="E694" s="208"/>
      <c r="F694" s="200"/>
      <c r="G694" s="202" t="s">
        <v>423</v>
      </c>
      <c r="H694" s="198"/>
      <c r="I694" s="128"/>
      <c r="J694" s="209"/>
      <c r="K694" s="197"/>
    </row>
    <row r="695" spans="2:11">
      <c r="D695" s="197"/>
      <c r="E695" s="208"/>
      <c r="F695" s="200"/>
      <c r="G695" s="196"/>
      <c r="H695" s="194"/>
      <c r="I695" s="128"/>
      <c r="J695" s="209"/>
      <c r="K695" s="197"/>
    </row>
    <row r="696" spans="2:11">
      <c r="D696" s="197"/>
      <c r="E696" s="208"/>
      <c r="F696" s="200"/>
      <c r="G696" s="196"/>
      <c r="H696" s="201"/>
      <c r="I696" s="128"/>
      <c r="J696" s="209"/>
      <c r="K696" s="197"/>
    </row>
    <row r="697" spans="2:11">
      <c r="D697" s="197"/>
      <c r="E697" s="208"/>
      <c r="F697" s="200"/>
      <c r="G697" s="196"/>
      <c r="H697" s="194"/>
      <c r="I697" s="128"/>
      <c r="J697" s="209"/>
      <c r="K697" s="197"/>
    </row>
    <row r="698" spans="2:11" ht="1.5" customHeight="1">
      <c r="D698" s="197"/>
      <c r="E698" s="210"/>
      <c r="F698" s="213"/>
      <c r="G698" s="214"/>
      <c r="H698" s="215"/>
      <c r="I698" s="213"/>
      <c r="J698" s="211"/>
      <c r="K698" s="197"/>
    </row>
    <row r="699" spans="2:11" ht="345">
      <c r="B699" s="193" t="s">
        <v>428</v>
      </c>
      <c r="D699" s="197"/>
      <c r="E699" s="197"/>
      <c r="F699" s="212"/>
      <c r="G699" s="216"/>
      <c r="H699" s="199"/>
      <c r="I699" s="212"/>
      <c r="J699" s="197"/>
      <c r="K699" s="197"/>
    </row>
    <row r="700" spans="2:11" ht="150">
      <c r="B700" s="193" t="s">
        <v>427</v>
      </c>
      <c r="D700" s="197"/>
      <c r="E700" s="212"/>
      <c r="F700" s="212"/>
      <c r="G700" s="216"/>
      <c r="H700" s="199"/>
      <c r="I700" s="212"/>
      <c r="J700" s="212"/>
      <c r="K700" s="197"/>
    </row>
    <row r="701" spans="2:11" ht="1.5" customHeight="1">
      <c r="D701" s="197"/>
      <c r="E701" s="203"/>
      <c r="F701" s="204"/>
      <c r="G701" s="205"/>
      <c r="H701" s="206"/>
      <c r="I701" s="204"/>
      <c r="J701" s="207"/>
      <c r="K701" s="197"/>
    </row>
    <row r="702" spans="2:11" ht="30">
      <c r="B702" s="193" t="s">
        <v>429</v>
      </c>
      <c r="D702" s="197"/>
      <c r="E702" s="208"/>
      <c r="F702" s="200"/>
      <c r="G702" s="202" t="s">
        <v>424</v>
      </c>
      <c r="H702" s="198"/>
      <c r="I702" s="128"/>
      <c r="J702" s="209"/>
      <c r="K702" s="197"/>
    </row>
    <row r="703" spans="2:11">
      <c r="D703" s="197"/>
      <c r="E703" s="208"/>
      <c r="F703" s="200"/>
      <c r="G703" s="196"/>
      <c r="H703" s="194"/>
      <c r="I703" s="128"/>
      <c r="J703" s="209"/>
      <c r="K703" s="197"/>
    </row>
    <row r="704" spans="2:11">
      <c r="D704" s="197"/>
      <c r="E704" s="208"/>
      <c r="F704" s="200"/>
      <c r="G704" s="196"/>
      <c r="H704" s="201"/>
      <c r="I704" s="128"/>
      <c r="J704" s="209"/>
      <c r="K704" s="197"/>
    </row>
    <row r="705" spans="2:11">
      <c r="D705" s="197"/>
      <c r="E705" s="208"/>
      <c r="F705" s="200"/>
      <c r="G705" s="196"/>
      <c r="H705" s="194"/>
      <c r="I705" s="128"/>
      <c r="J705" s="209"/>
      <c r="K705" s="197"/>
    </row>
    <row r="706" spans="2:11" ht="1.5" customHeight="1">
      <c r="D706" s="197"/>
      <c r="E706" s="210"/>
      <c r="F706" s="213"/>
      <c r="G706" s="214"/>
      <c r="H706" s="215"/>
      <c r="I706" s="213"/>
      <c r="J706" s="211"/>
      <c r="K706" s="197"/>
    </row>
    <row r="707" spans="2:11" ht="345">
      <c r="B707" s="193" t="s">
        <v>428</v>
      </c>
      <c r="D707" s="197"/>
      <c r="E707" s="197"/>
      <c r="F707" s="212"/>
      <c r="G707" s="216"/>
      <c r="H707" s="199"/>
      <c r="I707" s="212"/>
      <c r="J707" s="197"/>
      <c r="K707" s="197"/>
    </row>
    <row r="708" spans="2:11" ht="150">
      <c r="B708" s="193" t="s">
        <v>427</v>
      </c>
      <c r="D708" s="197"/>
      <c r="E708" s="212"/>
      <c r="F708" s="212"/>
      <c r="G708" s="216"/>
      <c r="H708" s="199"/>
      <c r="I708" s="212"/>
      <c r="J708" s="212"/>
      <c r="K708" s="197"/>
    </row>
    <row r="709" spans="2:11" ht="1.5" customHeight="1">
      <c r="D709" s="197"/>
      <c r="E709" s="203"/>
      <c r="F709" s="204"/>
      <c r="G709" s="205"/>
      <c r="H709" s="206"/>
      <c r="I709" s="204"/>
      <c r="J709" s="207"/>
      <c r="K709" s="197"/>
    </row>
    <row r="710" spans="2:11" ht="30">
      <c r="B710" s="193" t="s">
        <v>429</v>
      </c>
      <c r="D710" s="197"/>
      <c r="E710" s="208"/>
      <c r="F710" s="200"/>
      <c r="G710" s="202" t="s">
        <v>436</v>
      </c>
      <c r="H710" s="198"/>
      <c r="I710" s="128"/>
      <c r="J710" s="209"/>
      <c r="K710" s="197"/>
    </row>
    <row r="711" spans="2:11">
      <c r="D711" s="197"/>
      <c r="E711" s="208"/>
      <c r="F711" s="200"/>
      <c r="G711" s="196"/>
      <c r="H711" s="194"/>
      <c r="I711" s="128"/>
      <c r="J711" s="209"/>
      <c r="K711" s="197"/>
    </row>
    <row r="712" spans="2:11">
      <c r="D712" s="197"/>
      <c r="E712" s="208"/>
      <c r="F712" s="200"/>
      <c r="G712" s="196"/>
      <c r="H712" s="201" t="s">
        <v>437</v>
      </c>
      <c r="I712" s="128"/>
      <c r="J712" s="209"/>
      <c r="K712" s="197"/>
    </row>
    <row r="713" spans="2:11">
      <c r="D713" s="197"/>
      <c r="E713" s="208"/>
      <c r="F713" s="200"/>
      <c r="G713" s="196"/>
      <c r="H713" s="194"/>
      <c r="I713" s="128"/>
      <c r="J713" s="209"/>
      <c r="K713" s="197"/>
    </row>
    <row r="714" spans="2:11" ht="1.5" customHeight="1">
      <c r="D714" s="197"/>
      <c r="E714" s="210"/>
      <c r="F714" s="213"/>
      <c r="G714" s="214"/>
      <c r="H714" s="215"/>
      <c r="I714" s="213"/>
      <c r="J714" s="211"/>
      <c r="K714" s="197"/>
    </row>
    <row r="715" spans="2:11" ht="345">
      <c r="B715" s="193" t="s">
        <v>428</v>
      </c>
      <c r="D715" s="197"/>
      <c r="E715" s="197"/>
      <c r="F715" s="212"/>
      <c r="G715" s="216"/>
      <c r="H715" s="199"/>
      <c r="I715" s="212"/>
      <c r="J715" s="197"/>
      <c r="K715" s="197"/>
    </row>
    <row r="716" spans="2:11" ht="150">
      <c r="B716" s="193" t="s">
        <v>427</v>
      </c>
      <c r="D716" s="197"/>
      <c r="E716" s="212"/>
      <c r="F716" s="212"/>
      <c r="G716" s="216"/>
      <c r="H716" s="199"/>
      <c r="I716" s="212"/>
      <c r="J716" s="212"/>
      <c r="K716" s="197"/>
    </row>
    <row r="717" spans="2:11" ht="1.5" customHeight="1">
      <c r="D717" s="197"/>
      <c r="E717" s="203"/>
      <c r="F717" s="204"/>
      <c r="G717" s="205"/>
      <c r="H717" s="206"/>
      <c r="I717" s="204"/>
      <c r="J717" s="207"/>
      <c r="K717" s="197"/>
    </row>
    <row r="718" spans="2:11" ht="30">
      <c r="B718" s="193" t="s">
        <v>429</v>
      </c>
      <c r="D718" s="197"/>
      <c r="E718" s="208"/>
      <c r="F718" s="200"/>
      <c r="G718" s="202" t="s">
        <v>425</v>
      </c>
      <c r="H718" s="198"/>
      <c r="I718" s="128"/>
      <c r="J718" s="209"/>
      <c r="K718" s="197"/>
    </row>
    <row r="719" spans="2:11">
      <c r="D719" s="197"/>
      <c r="E719" s="208"/>
      <c r="F719" s="200"/>
      <c r="G719" s="196"/>
      <c r="H719" s="194"/>
      <c r="I719" s="128"/>
      <c r="J719" s="209"/>
      <c r="K719" s="197"/>
    </row>
    <row r="720" spans="2:11">
      <c r="D720" s="197"/>
      <c r="E720" s="208"/>
      <c r="F720" s="200"/>
      <c r="G720" s="196"/>
      <c r="H720" s="201"/>
      <c r="I720" s="128"/>
      <c r="J720" s="209"/>
      <c r="K720" s="197"/>
    </row>
    <row r="721" spans="2:11">
      <c r="D721" s="197"/>
      <c r="E721" s="208"/>
      <c r="F721" s="200"/>
      <c r="G721" s="196"/>
      <c r="H721" s="194"/>
      <c r="I721" s="128"/>
      <c r="J721" s="209"/>
      <c r="K721" s="197"/>
    </row>
    <row r="722" spans="2:11" ht="1.5" customHeight="1">
      <c r="D722" s="197"/>
      <c r="E722" s="210"/>
      <c r="F722" s="213"/>
      <c r="G722" s="214"/>
      <c r="H722" s="215"/>
      <c r="I722" s="213"/>
      <c r="J722" s="211"/>
      <c r="K722" s="197"/>
    </row>
    <row r="723" spans="2:11" ht="345">
      <c r="B723" s="193" t="s">
        <v>428</v>
      </c>
      <c r="D723" s="197"/>
      <c r="E723" s="197"/>
      <c r="F723" s="212"/>
      <c r="G723" s="216"/>
      <c r="H723" s="199"/>
      <c r="I723" s="212"/>
      <c r="J723" s="197"/>
      <c r="K723" s="197"/>
    </row>
    <row r="724" spans="2:11" ht="150">
      <c r="B724" s="193" t="s">
        <v>427</v>
      </c>
      <c r="D724" s="197"/>
      <c r="E724" s="212"/>
      <c r="F724" s="212"/>
      <c r="G724" s="216"/>
      <c r="H724" s="199"/>
      <c r="I724" s="212"/>
      <c r="J724" s="212"/>
      <c r="K724" s="197"/>
    </row>
    <row r="725" spans="2:11" ht="1.5" customHeight="1">
      <c r="D725" s="197"/>
      <c r="E725" s="203"/>
      <c r="F725" s="204"/>
      <c r="G725" s="205"/>
      <c r="H725" s="206"/>
      <c r="I725" s="204"/>
      <c r="J725" s="207"/>
      <c r="K725" s="197"/>
    </row>
    <row r="726" spans="2:11" ht="30">
      <c r="B726" s="193" t="s">
        <v>429</v>
      </c>
      <c r="D726" s="197"/>
      <c r="E726" s="208"/>
      <c r="F726" s="200"/>
      <c r="G726" s="202" t="s">
        <v>78</v>
      </c>
      <c r="H726" s="198"/>
      <c r="I726" s="128"/>
      <c r="J726" s="209"/>
      <c r="K726" s="197"/>
    </row>
    <row r="727" spans="2:11">
      <c r="D727" s="197"/>
      <c r="E727" s="208"/>
      <c r="F727" s="200"/>
      <c r="G727" s="196"/>
      <c r="H727" s="194"/>
      <c r="I727" s="128"/>
      <c r="J727" s="209"/>
      <c r="K727" s="197"/>
    </row>
    <row r="728" spans="2:11" ht="30">
      <c r="D728" s="197"/>
      <c r="E728" s="208"/>
      <c r="F728" s="200"/>
      <c r="G728" s="196"/>
      <c r="H728" s="201" t="s">
        <v>131</v>
      </c>
      <c r="I728" s="128"/>
      <c r="J728" s="209"/>
      <c r="K728" s="197"/>
    </row>
    <row r="729" spans="2:11">
      <c r="D729" s="197"/>
      <c r="E729" s="208"/>
      <c r="F729" s="200"/>
      <c r="G729" s="196"/>
      <c r="H729" s="194"/>
      <c r="I729" s="128"/>
      <c r="J729" s="209"/>
      <c r="K729" s="197"/>
    </row>
    <row r="730" spans="2:11" ht="1.5" customHeight="1">
      <c r="D730" s="197"/>
      <c r="E730" s="210"/>
      <c r="F730" s="213"/>
      <c r="G730" s="214"/>
      <c r="H730" s="215"/>
      <c r="I730" s="213"/>
      <c r="J730" s="211"/>
      <c r="K730" s="197"/>
    </row>
    <row r="731" spans="2:11" ht="345">
      <c r="B731" s="193" t="s">
        <v>428</v>
      </c>
      <c r="D731" s="197"/>
      <c r="E731" s="197"/>
      <c r="F731" s="212"/>
      <c r="G731" s="216"/>
      <c r="H731" s="199"/>
      <c r="I731" s="212"/>
      <c r="J731" s="197"/>
      <c r="K731" s="197"/>
    </row>
    <row r="732" spans="2:11" ht="150">
      <c r="B732" s="193" t="s">
        <v>427</v>
      </c>
      <c r="D732" s="197"/>
      <c r="E732" s="212"/>
      <c r="F732" s="212"/>
      <c r="G732" s="216"/>
      <c r="H732" s="199"/>
      <c r="I732" s="212"/>
      <c r="J732" s="212"/>
      <c r="K732" s="197"/>
    </row>
    <row r="733" spans="2:11" ht="1.5" customHeight="1">
      <c r="D733" s="197"/>
      <c r="E733" s="203"/>
      <c r="F733" s="204"/>
      <c r="G733" s="205"/>
      <c r="H733" s="206"/>
      <c r="I733" s="204"/>
      <c r="J733" s="207"/>
      <c r="K733" s="197"/>
    </row>
    <row r="734" spans="2:11" ht="30">
      <c r="B734" s="193" t="s">
        <v>429</v>
      </c>
      <c r="D734" s="197"/>
      <c r="E734" s="208"/>
      <c r="F734" s="200"/>
      <c r="G734" s="202" t="s">
        <v>79</v>
      </c>
      <c r="H734" s="198"/>
      <c r="I734" s="128"/>
      <c r="J734" s="209"/>
      <c r="K734" s="197"/>
    </row>
    <row r="735" spans="2:11">
      <c r="D735" s="197"/>
      <c r="E735" s="208"/>
      <c r="F735" s="200"/>
      <c r="G735" s="196"/>
      <c r="H735" s="194"/>
      <c r="I735" s="128"/>
      <c r="J735" s="209"/>
      <c r="K735" s="197"/>
    </row>
    <row r="736" spans="2:11" ht="45">
      <c r="D736" s="197"/>
      <c r="E736" s="208"/>
      <c r="F736" s="200"/>
      <c r="G736" s="196"/>
      <c r="H736" s="201" t="s">
        <v>245</v>
      </c>
      <c r="I736" s="128"/>
      <c r="J736" s="209"/>
      <c r="K736" s="197"/>
    </row>
    <row r="737" spans="2:11">
      <c r="D737" s="197"/>
      <c r="E737" s="208"/>
      <c r="F737" s="200"/>
      <c r="G737" s="196"/>
      <c r="H737" s="194"/>
      <c r="I737" s="128"/>
      <c r="J737" s="209"/>
      <c r="K737" s="197"/>
    </row>
    <row r="738" spans="2:11" ht="1.5" customHeight="1">
      <c r="D738" s="197"/>
      <c r="E738" s="210"/>
      <c r="F738" s="213"/>
      <c r="G738" s="214"/>
      <c r="H738" s="215"/>
      <c r="I738" s="213"/>
      <c r="J738" s="211"/>
      <c r="K738" s="197"/>
    </row>
    <row r="739" spans="2:11" ht="345">
      <c r="B739" s="193" t="s">
        <v>428</v>
      </c>
      <c r="D739" s="197"/>
      <c r="E739" s="197"/>
      <c r="F739" s="212"/>
      <c r="G739" s="216"/>
      <c r="H739" s="199"/>
      <c r="I739" s="212"/>
      <c r="J739" s="197"/>
      <c r="K739" s="197"/>
    </row>
    <row r="740" spans="2:11" ht="150">
      <c r="B740" s="193" t="s">
        <v>427</v>
      </c>
      <c r="D740" s="197"/>
      <c r="E740" s="212"/>
      <c r="F740" s="212"/>
      <c r="G740" s="216"/>
      <c r="H740" s="199"/>
      <c r="I740" s="212"/>
      <c r="J740" s="212"/>
      <c r="K740" s="197"/>
    </row>
    <row r="741" spans="2:11" ht="1.5" customHeight="1">
      <c r="D741" s="197"/>
      <c r="E741" s="203"/>
      <c r="F741" s="204"/>
      <c r="G741" s="205"/>
      <c r="H741" s="206"/>
      <c r="I741" s="204"/>
      <c r="J741" s="207"/>
      <c r="K741" s="197"/>
    </row>
    <row r="742" spans="2:11" ht="30">
      <c r="B742" s="193" t="s">
        <v>429</v>
      </c>
      <c r="D742" s="197"/>
      <c r="E742" s="208"/>
      <c r="F742" s="200"/>
      <c r="G742" s="202" t="s">
        <v>130</v>
      </c>
      <c r="H742" s="198"/>
      <c r="I742" s="128"/>
      <c r="J742" s="209"/>
      <c r="K742" s="197"/>
    </row>
    <row r="743" spans="2:11">
      <c r="D743" s="197"/>
      <c r="E743" s="208"/>
      <c r="F743" s="200"/>
      <c r="G743" s="196"/>
      <c r="H743" s="194"/>
      <c r="I743" s="128"/>
      <c r="J743" s="209"/>
      <c r="K743" s="197"/>
    </row>
    <row r="744" spans="2:11">
      <c r="D744" s="197"/>
      <c r="E744" s="208"/>
      <c r="F744" s="200"/>
      <c r="G744" s="196"/>
      <c r="H744" s="201" t="s">
        <v>246</v>
      </c>
      <c r="I744" s="128"/>
      <c r="J744" s="209"/>
      <c r="K744" s="197"/>
    </row>
    <row r="745" spans="2:11">
      <c r="D745" s="197"/>
      <c r="E745" s="208"/>
      <c r="F745" s="200"/>
      <c r="G745" s="196"/>
      <c r="H745" s="194"/>
      <c r="I745" s="128"/>
      <c r="J745" s="209"/>
      <c r="K745" s="197"/>
    </row>
    <row r="746" spans="2:11" ht="1.5" customHeight="1">
      <c r="D746" s="197"/>
      <c r="E746" s="210"/>
      <c r="F746" s="213"/>
      <c r="G746" s="214"/>
      <c r="H746" s="215"/>
      <c r="I746" s="213"/>
      <c r="J746" s="211"/>
      <c r="K746" s="197"/>
    </row>
    <row r="747" spans="2:11" ht="345">
      <c r="B747" s="193" t="s">
        <v>428</v>
      </c>
      <c r="D747" s="197"/>
      <c r="E747" s="197"/>
      <c r="F747" s="212"/>
      <c r="G747" s="216"/>
      <c r="H747" s="199"/>
      <c r="I747" s="212"/>
      <c r="J747" s="197"/>
      <c r="K747" s="197"/>
    </row>
    <row r="748" spans="2:11" ht="150">
      <c r="B748" s="193" t="s">
        <v>427</v>
      </c>
      <c r="D748" s="197"/>
      <c r="E748" s="212"/>
      <c r="F748" s="212"/>
      <c r="G748" s="216"/>
      <c r="H748" s="199"/>
      <c r="I748" s="212"/>
      <c r="J748" s="212"/>
      <c r="K748" s="197"/>
    </row>
    <row r="749" spans="2:11" ht="1.5" customHeight="1">
      <c r="D749" s="197"/>
      <c r="E749" s="203"/>
      <c r="F749" s="204"/>
      <c r="G749" s="205"/>
      <c r="H749" s="206"/>
      <c r="I749" s="204"/>
      <c r="J749" s="207"/>
      <c r="K749" s="197"/>
    </row>
    <row r="750" spans="2:11" ht="30">
      <c r="B750" s="193" t="s">
        <v>429</v>
      </c>
      <c r="D750" s="197"/>
      <c r="E750" s="208"/>
      <c r="F750" s="200"/>
      <c r="G750" s="202" t="s">
        <v>80</v>
      </c>
      <c r="H750" s="198"/>
      <c r="I750" s="128"/>
      <c r="J750" s="209"/>
      <c r="K750" s="197"/>
    </row>
    <row r="751" spans="2:11">
      <c r="D751" s="197"/>
      <c r="E751" s="208"/>
      <c r="F751" s="200"/>
      <c r="G751" s="196"/>
      <c r="H751" s="194"/>
      <c r="I751" s="128"/>
      <c r="J751" s="209"/>
      <c r="K751" s="197"/>
    </row>
    <row r="752" spans="2:11" ht="30">
      <c r="D752" s="197"/>
      <c r="E752" s="208"/>
      <c r="F752" s="200"/>
      <c r="G752" s="196"/>
      <c r="H752" s="201" t="s">
        <v>132</v>
      </c>
      <c r="I752" s="128"/>
      <c r="J752" s="209"/>
      <c r="K752" s="197"/>
    </row>
    <row r="753" spans="2:11">
      <c r="D753" s="197"/>
      <c r="E753" s="208"/>
      <c r="F753" s="200"/>
      <c r="G753" s="196"/>
      <c r="H753" s="194"/>
      <c r="I753" s="128"/>
      <c r="J753" s="209"/>
      <c r="K753" s="197"/>
    </row>
    <row r="754" spans="2:11" ht="1.5" customHeight="1">
      <c r="D754" s="197"/>
      <c r="E754" s="210"/>
      <c r="F754" s="213"/>
      <c r="G754" s="214"/>
      <c r="H754" s="215"/>
      <c r="I754" s="213"/>
      <c r="J754" s="211"/>
      <c r="K754" s="197"/>
    </row>
    <row r="755" spans="2:11" ht="345">
      <c r="B755" s="193" t="s">
        <v>428</v>
      </c>
      <c r="D755" s="197"/>
      <c r="E755" s="197"/>
      <c r="F755" s="212"/>
      <c r="G755" s="216"/>
      <c r="H755" s="199"/>
      <c r="I755" s="212"/>
      <c r="J755" s="197"/>
      <c r="K755" s="197"/>
    </row>
    <row r="756" spans="2:11" ht="150">
      <c r="B756" s="193" t="s">
        <v>427</v>
      </c>
      <c r="D756" s="197"/>
      <c r="E756" s="212"/>
      <c r="F756" s="212"/>
      <c r="G756" s="216"/>
      <c r="H756" s="199"/>
      <c r="I756" s="212"/>
      <c r="J756" s="212"/>
      <c r="K756" s="197"/>
    </row>
    <row r="757" spans="2:11" ht="1.5" customHeight="1">
      <c r="D757" s="197"/>
      <c r="E757" s="203"/>
      <c r="F757" s="204"/>
      <c r="G757" s="205"/>
      <c r="H757" s="206"/>
      <c r="I757" s="204"/>
      <c r="J757" s="207"/>
      <c r="K757" s="197"/>
    </row>
    <row r="758" spans="2:11" ht="30">
      <c r="B758" s="193" t="s">
        <v>429</v>
      </c>
      <c r="D758" s="197"/>
      <c r="E758" s="208"/>
      <c r="F758" s="200"/>
      <c r="G758" s="202" t="s">
        <v>133</v>
      </c>
      <c r="H758" s="198"/>
      <c r="I758" s="128"/>
      <c r="J758" s="209"/>
      <c r="K758" s="197"/>
    </row>
    <row r="759" spans="2:11">
      <c r="D759" s="197"/>
      <c r="E759" s="208"/>
      <c r="F759" s="200"/>
      <c r="G759" s="196"/>
      <c r="H759" s="194"/>
      <c r="I759" s="128"/>
      <c r="J759" s="209"/>
      <c r="K759" s="197"/>
    </row>
    <row r="760" spans="2:11" ht="105">
      <c r="D760" s="197"/>
      <c r="E760" s="208"/>
      <c r="F760" s="200"/>
      <c r="G760" s="196"/>
      <c r="H760" s="201" t="s">
        <v>282</v>
      </c>
      <c r="I760" s="128"/>
      <c r="J760" s="209"/>
      <c r="K760" s="197"/>
    </row>
    <row r="761" spans="2:11">
      <c r="D761" s="197"/>
      <c r="E761" s="208"/>
      <c r="F761" s="200"/>
      <c r="G761" s="196"/>
      <c r="H761" s="194"/>
      <c r="I761" s="128"/>
      <c r="J761" s="209"/>
      <c r="K761" s="197"/>
    </row>
    <row r="762" spans="2:11" ht="1.5" customHeight="1">
      <c r="D762" s="197"/>
      <c r="E762" s="210"/>
      <c r="F762" s="213"/>
      <c r="G762" s="214"/>
      <c r="H762" s="215"/>
      <c r="I762" s="213"/>
      <c r="J762" s="211"/>
      <c r="K762" s="197"/>
    </row>
    <row r="763" spans="2:11" ht="345">
      <c r="B763" s="193" t="s">
        <v>428</v>
      </c>
      <c r="D763" s="197"/>
      <c r="E763" s="197"/>
      <c r="F763" s="212"/>
      <c r="G763" s="216"/>
      <c r="H763" s="199"/>
      <c r="I763" s="212"/>
      <c r="J763" s="197"/>
      <c r="K763" s="197"/>
    </row>
    <row r="764" spans="2:11" ht="150">
      <c r="B764" s="193" t="s">
        <v>427</v>
      </c>
      <c r="D764" s="197"/>
      <c r="E764" s="212"/>
      <c r="F764" s="212"/>
      <c r="G764" s="216"/>
      <c r="H764" s="199"/>
      <c r="I764" s="212"/>
      <c r="J764" s="212"/>
      <c r="K764" s="197"/>
    </row>
    <row r="765" spans="2:11" ht="1.5" customHeight="1">
      <c r="D765" s="197"/>
      <c r="E765" s="203"/>
      <c r="F765" s="204"/>
      <c r="G765" s="205"/>
      <c r="H765" s="206"/>
      <c r="I765" s="204"/>
      <c r="J765" s="207"/>
      <c r="K765" s="197"/>
    </row>
    <row r="766" spans="2:11" ht="30">
      <c r="B766" s="193" t="s">
        <v>429</v>
      </c>
      <c r="D766" s="197"/>
      <c r="E766" s="208"/>
      <c r="F766" s="200"/>
      <c r="G766" s="202" t="s">
        <v>81</v>
      </c>
      <c r="H766" s="198"/>
      <c r="I766" s="128"/>
      <c r="J766" s="209"/>
      <c r="K766" s="197"/>
    </row>
    <row r="767" spans="2:11">
      <c r="D767" s="197"/>
      <c r="E767" s="208"/>
      <c r="F767" s="200"/>
      <c r="G767" s="196"/>
      <c r="H767" s="194"/>
      <c r="I767" s="128"/>
      <c r="J767" s="209"/>
      <c r="K767" s="197"/>
    </row>
    <row r="768" spans="2:11" ht="45">
      <c r="D768" s="197"/>
      <c r="E768" s="208"/>
      <c r="F768" s="200"/>
      <c r="G768" s="196"/>
      <c r="H768" s="201" t="s">
        <v>248</v>
      </c>
      <c r="I768" s="128"/>
      <c r="J768" s="209"/>
      <c r="K768" s="197"/>
    </row>
    <row r="769" spans="2:11">
      <c r="D769" s="197"/>
      <c r="E769" s="208"/>
      <c r="F769" s="200"/>
      <c r="G769" s="196"/>
      <c r="H769" s="194"/>
      <c r="I769" s="128"/>
      <c r="J769" s="209"/>
      <c r="K769" s="197"/>
    </row>
    <row r="770" spans="2:11" ht="1.5" customHeight="1">
      <c r="D770" s="197"/>
      <c r="E770" s="210"/>
      <c r="F770" s="213"/>
      <c r="G770" s="214"/>
      <c r="H770" s="215"/>
      <c r="I770" s="213"/>
      <c r="J770" s="211"/>
      <c r="K770" s="197"/>
    </row>
    <row r="771" spans="2:11" ht="345">
      <c r="B771" s="193" t="s">
        <v>428</v>
      </c>
      <c r="D771" s="197"/>
      <c r="E771" s="197"/>
      <c r="F771" s="212"/>
      <c r="G771" s="216"/>
      <c r="H771" s="199"/>
      <c r="I771" s="212"/>
      <c r="J771" s="197"/>
      <c r="K771" s="197"/>
    </row>
    <row r="772" spans="2:11" ht="150">
      <c r="B772" s="193" t="s">
        <v>427</v>
      </c>
      <c r="D772" s="197"/>
      <c r="E772" s="212"/>
      <c r="F772" s="212"/>
      <c r="G772" s="216"/>
      <c r="H772" s="199"/>
      <c r="I772" s="212"/>
      <c r="J772" s="212"/>
      <c r="K772" s="197"/>
    </row>
    <row r="773" spans="2:11" ht="1.5" customHeight="1">
      <c r="D773" s="197"/>
      <c r="E773" s="203"/>
      <c r="F773" s="204"/>
      <c r="G773" s="205"/>
      <c r="H773" s="206"/>
      <c r="I773" s="204"/>
      <c r="J773" s="207"/>
      <c r="K773" s="197"/>
    </row>
    <row r="774" spans="2:11" ht="30">
      <c r="B774" s="193" t="s">
        <v>429</v>
      </c>
      <c r="D774" s="197"/>
      <c r="E774" s="208"/>
      <c r="F774" s="200"/>
      <c r="G774" s="202" t="s">
        <v>134</v>
      </c>
      <c r="H774" s="198"/>
      <c r="I774" s="128"/>
      <c r="J774" s="209"/>
      <c r="K774" s="197"/>
    </row>
    <row r="775" spans="2:11">
      <c r="D775" s="197"/>
      <c r="E775" s="208"/>
      <c r="F775" s="200"/>
      <c r="G775" s="196"/>
      <c r="H775" s="194"/>
      <c r="I775" s="128"/>
      <c r="J775" s="209"/>
      <c r="K775" s="197"/>
    </row>
    <row r="776" spans="2:11" ht="60">
      <c r="D776" s="197"/>
      <c r="E776" s="208"/>
      <c r="F776" s="200"/>
      <c r="G776" s="196"/>
      <c r="H776" s="201" t="s">
        <v>283</v>
      </c>
      <c r="I776" s="128"/>
      <c r="J776" s="209"/>
      <c r="K776" s="197"/>
    </row>
    <row r="777" spans="2:11">
      <c r="D777" s="197"/>
      <c r="E777" s="208"/>
      <c r="F777" s="200"/>
      <c r="G777" s="196"/>
      <c r="H777" s="194"/>
      <c r="I777" s="128"/>
      <c r="J777" s="209"/>
      <c r="K777" s="197"/>
    </row>
    <row r="778" spans="2:11" ht="1.5" customHeight="1">
      <c r="D778" s="197"/>
      <c r="E778" s="210"/>
      <c r="F778" s="213"/>
      <c r="G778" s="214"/>
      <c r="H778" s="215"/>
      <c r="I778" s="213"/>
      <c r="J778" s="211"/>
      <c r="K778" s="197"/>
    </row>
    <row r="779" spans="2:11" ht="345">
      <c r="B779" s="193" t="s">
        <v>428</v>
      </c>
      <c r="D779" s="197"/>
      <c r="E779" s="197"/>
      <c r="F779" s="212"/>
      <c r="G779" s="216"/>
      <c r="H779" s="199"/>
      <c r="I779" s="212"/>
      <c r="J779" s="197"/>
      <c r="K779" s="197"/>
    </row>
    <row r="780" spans="2:11" ht="150">
      <c r="B780" s="193" t="s">
        <v>427</v>
      </c>
      <c r="D780" s="197"/>
      <c r="E780" s="212"/>
      <c r="F780" s="212"/>
      <c r="G780" s="216"/>
      <c r="H780" s="199"/>
      <c r="I780" s="212"/>
      <c r="J780" s="212"/>
      <c r="K780" s="197"/>
    </row>
    <row r="781" spans="2:11" ht="1.5" customHeight="1">
      <c r="D781" s="197"/>
      <c r="E781" s="203"/>
      <c r="F781" s="204"/>
      <c r="G781" s="205"/>
      <c r="H781" s="206"/>
      <c r="I781" s="204"/>
      <c r="J781" s="207"/>
      <c r="K781" s="197"/>
    </row>
    <row r="782" spans="2:11" ht="30">
      <c r="B782" s="193" t="s">
        <v>429</v>
      </c>
      <c r="D782" s="197"/>
      <c r="E782" s="208"/>
      <c r="F782" s="200"/>
      <c r="G782" s="202" t="s">
        <v>82</v>
      </c>
      <c r="H782" s="198"/>
      <c r="I782" s="128"/>
      <c r="J782" s="209"/>
      <c r="K782" s="197"/>
    </row>
    <row r="783" spans="2:11">
      <c r="D783" s="197"/>
      <c r="E783" s="208"/>
      <c r="F783" s="200"/>
      <c r="G783" s="196"/>
      <c r="H783" s="194"/>
      <c r="I783" s="128"/>
      <c r="J783" s="209"/>
      <c r="K783" s="197"/>
    </row>
    <row r="784" spans="2:11">
      <c r="D784" s="197"/>
      <c r="E784" s="208"/>
      <c r="F784" s="200"/>
      <c r="G784" s="196"/>
      <c r="H784" s="201" t="s">
        <v>135</v>
      </c>
      <c r="I784" s="128"/>
      <c r="J784" s="209"/>
      <c r="K784" s="197"/>
    </row>
    <row r="785" spans="2:11">
      <c r="D785" s="197"/>
      <c r="E785" s="208"/>
      <c r="F785" s="200"/>
      <c r="G785" s="196"/>
      <c r="H785" s="194"/>
      <c r="I785" s="128"/>
      <c r="J785" s="209"/>
      <c r="K785" s="197"/>
    </row>
    <row r="786" spans="2:11" ht="1.5" customHeight="1">
      <c r="D786" s="197"/>
      <c r="E786" s="210"/>
      <c r="F786" s="213"/>
      <c r="G786" s="214"/>
      <c r="H786" s="215"/>
      <c r="I786" s="213"/>
      <c r="J786" s="211"/>
      <c r="K786" s="197"/>
    </row>
    <row r="787" spans="2:11" ht="345">
      <c r="B787" s="193" t="s">
        <v>428</v>
      </c>
      <c r="D787" s="197"/>
      <c r="E787" s="197"/>
      <c r="F787" s="212"/>
      <c r="G787" s="216"/>
      <c r="H787" s="199"/>
      <c r="I787" s="212"/>
      <c r="J787" s="197"/>
      <c r="K787" s="197"/>
    </row>
    <row r="788" spans="2:11" ht="150">
      <c r="B788" s="193" t="s">
        <v>427</v>
      </c>
      <c r="D788" s="197"/>
      <c r="E788" s="212"/>
      <c r="F788" s="212"/>
      <c r="G788" s="216"/>
      <c r="H788" s="199"/>
      <c r="I788" s="212"/>
      <c r="J788" s="212"/>
      <c r="K788" s="197"/>
    </row>
    <row r="789" spans="2:11" ht="1.5" customHeight="1">
      <c r="D789" s="197"/>
      <c r="E789" s="203"/>
      <c r="F789" s="204"/>
      <c r="G789" s="205"/>
      <c r="H789" s="206"/>
      <c r="I789" s="204"/>
      <c r="J789" s="207"/>
      <c r="K789" s="197"/>
    </row>
    <row r="790" spans="2:11" ht="30">
      <c r="B790" s="193" t="s">
        <v>429</v>
      </c>
      <c r="D790" s="197"/>
      <c r="E790" s="208"/>
      <c r="F790" s="200"/>
      <c r="G790" s="202" t="s">
        <v>83</v>
      </c>
      <c r="H790" s="198"/>
      <c r="I790" s="128"/>
      <c r="J790" s="209"/>
      <c r="K790" s="197"/>
    </row>
    <row r="791" spans="2:11">
      <c r="D791" s="197"/>
      <c r="E791" s="208"/>
      <c r="F791" s="200"/>
      <c r="G791" s="196"/>
      <c r="H791" s="194"/>
      <c r="I791" s="128"/>
      <c r="J791" s="209"/>
      <c r="K791" s="197"/>
    </row>
    <row r="792" spans="2:11" ht="120">
      <c r="D792" s="197"/>
      <c r="E792" s="208"/>
      <c r="F792" s="200"/>
      <c r="G792" s="196"/>
      <c r="H792" s="201" t="s">
        <v>247</v>
      </c>
      <c r="I792" s="128"/>
      <c r="J792" s="209"/>
      <c r="K792" s="197"/>
    </row>
    <row r="793" spans="2:11">
      <c r="D793" s="197"/>
      <c r="E793" s="208"/>
      <c r="F793" s="200"/>
      <c r="G793" s="196"/>
      <c r="H793" s="194"/>
      <c r="I793" s="128"/>
      <c r="J793" s="209"/>
      <c r="K793" s="197"/>
    </row>
    <row r="794" spans="2:11" ht="1.5" customHeight="1">
      <c r="D794" s="197"/>
      <c r="E794" s="210"/>
      <c r="F794" s="213"/>
      <c r="G794" s="214"/>
      <c r="H794" s="215"/>
      <c r="I794" s="213"/>
      <c r="J794" s="211"/>
      <c r="K794" s="197"/>
    </row>
    <row r="795" spans="2:11" ht="345">
      <c r="B795" s="193" t="s">
        <v>428</v>
      </c>
      <c r="D795" s="197"/>
      <c r="E795" s="197"/>
      <c r="F795" s="212"/>
      <c r="G795" s="216"/>
      <c r="H795" s="199"/>
      <c r="I795" s="212"/>
      <c r="J795" s="197"/>
      <c r="K795" s="197"/>
    </row>
    <row r="796" spans="2:11" ht="150">
      <c r="B796" s="193" t="s">
        <v>427</v>
      </c>
      <c r="D796" s="197"/>
      <c r="E796" s="212"/>
      <c r="F796" s="212"/>
      <c r="G796" s="216"/>
      <c r="H796" s="199"/>
      <c r="I796" s="212"/>
      <c r="J796" s="212"/>
      <c r="K796" s="197"/>
    </row>
    <row r="797" spans="2:11" ht="1.5" customHeight="1">
      <c r="D797" s="197"/>
      <c r="E797" s="203"/>
      <c r="F797" s="204"/>
      <c r="G797" s="205"/>
      <c r="H797" s="206"/>
      <c r="I797" s="204"/>
      <c r="J797" s="207"/>
      <c r="K797" s="197"/>
    </row>
    <row r="798" spans="2:11" ht="30">
      <c r="B798" s="193" t="s">
        <v>429</v>
      </c>
      <c r="D798" s="197"/>
      <c r="E798" s="208"/>
      <c r="F798" s="200"/>
      <c r="G798" s="202" t="s">
        <v>84</v>
      </c>
      <c r="H798" s="198"/>
      <c r="I798" s="128"/>
      <c r="J798" s="209"/>
      <c r="K798" s="197"/>
    </row>
    <row r="799" spans="2:11">
      <c r="D799" s="197"/>
      <c r="E799" s="208"/>
      <c r="F799" s="200"/>
      <c r="G799" s="196"/>
      <c r="H799" s="194"/>
      <c r="I799" s="128"/>
      <c r="J799" s="209"/>
      <c r="K799" s="197"/>
    </row>
    <row r="800" spans="2:11" ht="120">
      <c r="D800" s="197"/>
      <c r="E800" s="208"/>
      <c r="F800" s="200"/>
      <c r="G800" s="196"/>
      <c r="H800" s="201" t="s">
        <v>247</v>
      </c>
      <c r="I800" s="128"/>
      <c r="J800" s="209"/>
      <c r="K800" s="197"/>
    </row>
    <row r="801" spans="2:11">
      <c r="D801" s="197"/>
      <c r="E801" s="208"/>
      <c r="F801" s="200"/>
      <c r="G801" s="196"/>
      <c r="H801" s="194"/>
      <c r="I801" s="128"/>
      <c r="J801" s="209"/>
      <c r="K801" s="197"/>
    </row>
    <row r="802" spans="2:11" ht="1.5" customHeight="1">
      <c r="D802" s="197"/>
      <c r="E802" s="210"/>
      <c r="F802" s="213"/>
      <c r="G802" s="214"/>
      <c r="H802" s="215"/>
      <c r="I802" s="213"/>
      <c r="J802" s="211"/>
      <c r="K802" s="197"/>
    </row>
    <row r="803" spans="2:11" ht="345">
      <c r="B803" s="193" t="s">
        <v>428</v>
      </c>
      <c r="D803" s="197"/>
      <c r="E803" s="197"/>
      <c r="F803" s="212"/>
      <c r="G803" s="216"/>
      <c r="H803" s="199"/>
      <c r="I803" s="212"/>
      <c r="J803" s="197"/>
      <c r="K803" s="197"/>
    </row>
    <row r="804" spans="2:11" ht="150">
      <c r="B804" s="193" t="s">
        <v>427</v>
      </c>
      <c r="D804" s="197"/>
      <c r="E804" s="212"/>
      <c r="F804" s="212"/>
      <c r="G804" s="216"/>
      <c r="H804" s="199"/>
      <c r="I804" s="212"/>
      <c r="J804" s="212"/>
      <c r="K804" s="197"/>
    </row>
    <row r="805" spans="2:11" ht="1.5" customHeight="1">
      <c r="D805" s="197"/>
      <c r="E805" s="203"/>
      <c r="F805" s="204"/>
      <c r="G805" s="205"/>
      <c r="H805" s="206"/>
      <c r="I805" s="204"/>
      <c r="J805" s="207"/>
      <c r="K805" s="197"/>
    </row>
    <row r="806" spans="2:11" ht="30">
      <c r="B806" s="193" t="s">
        <v>429</v>
      </c>
      <c r="D806" s="197"/>
      <c r="E806" s="208"/>
      <c r="F806" s="200"/>
      <c r="G806" s="218" t="s">
        <v>136</v>
      </c>
      <c r="H806" s="198"/>
      <c r="I806" s="128"/>
      <c r="J806" s="209"/>
      <c r="K806" s="197"/>
    </row>
    <row r="807" spans="2:11">
      <c r="D807" s="197"/>
      <c r="E807" s="208"/>
      <c r="F807" s="200"/>
      <c r="G807" s="196"/>
      <c r="H807" s="194"/>
      <c r="I807" s="128"/>
      <c r="J807" s="209"/>
      <c r="K807" s="197"/>
    </row>
    <row r="808" spans="2:11" ht="150">
      <c r="D808" s="197"/>
      <c r="E808" s="208"/>
      <c r="F808" s="200"/>
      <c r="G808" s="196"/>
      <c r="H808" s="201" t="s">
        <v>249</v>
      </c>
      <c r="I808" s="128"/>
      <c r="J808" s="209"/>
      <c r="K808" s="197"/>
    </row>
    <row r="809" spans="2:11">
      <c r="D809" s="197"/>
      <c r="E809" s="208"/>
      <c r="F809" s="200"/>
      <c r="G809" s="196"/>
      <c r="H809" s="194"/>
      <c r="I809" s="128"/>
      <c r="J809" s="209"/>
      <c r="K809" s="197"/>
    </row>
    <row r="810" spans="2:11" ht="1.5" customHeight="1">
      <c r="D810" s="197"/>
      <c r="E810" s="210"/>
      <c r="F810" s="213"/>
      <c r="G810" s="214"/>
      <c r="H810" s="215"/>
      <c r="I810" s="213"/>
      <c r="J810" s="211"/>
      <c r="K810" s="197"/>
    </row>
    <row r="811" spans="2:11" ht="345">
      <c r="B811" s="193" t="s">
        <v>428</v>
      </c>
      <c r="D811" s="197"/>
      <c r="E811" s="197"/>
      <c r="F811" s="212"/>
      <c r="G811" s="216"/>
      <c r="H811" s="199"/>
      <c r="I811" s="212"/>
      <c r="J811" s="197"/>
      <c r="K811" s="197"/>
    </row>
    <row r="812" spans="2:11" ht="150">
      <c r="B812" s="193" t="s">
        <v>427</v>
      </c>
      <c r="D812" s="197"/>
      <c r="E812" s="212"/>
      <c r="F812" s="212"/>
      <c r="G812" s="216"/>
      <c r="H812" s="199"/>
      <c r="I812" s="212"/>
      <c r="J812" s="212"/>
      <c r="K812" s="197"/>
    </row>
    <row r="813" spans="2:11" ht="1.5" customHeight="1">
      <c r="D813" s="197"/>
      <c r="E813" s="203"/>
      <c r="F813" s="204"/>
      <c r="G813" s="205"/>
      <c r="H813" s="206"/>
      <c r="I813" s="204"/>
      <c r="J813" s="207"/>
      <c r="K813" s="197"/>
    </row>
    <row r="814" spans="2:11" ht="30">
      <c r="B814" s="193" t="s">
        <v>429</v>
      </c>
      <c r="D814" s="197"/>
      <c r="E814" s="208"/>
      <c r="F814" s="200"/>
      <c r="G814" s="202" t="s">
        <v>85</v>
      </c>
      <c r="H814" s="198"/>
      <c r="I814" s="128"/>
      <c r="J814" s="209"/>
      <c r="K814" s="197"/>
    </row>
    <row r="815" spans="2:11">
      <c r="D815" s="197"/>
      <c r="E815" s="208"/>
      <c r="F815" s="200"/>
      <c r="G815" s="196"/>
      <c r="H815" s="194"/>
      <c r="I815" s="128"/>
      <c r="J815" s="209"/>
      <c r="K815" s="197"/>
    </row>
    <row r="816" spans="2:11" ht="165">
      <c r="D816" s="197"/>
      <c r="E816" s="208"/>
      <c r="F816" s="200"/>
      <c r="G816" s="196"/>
      <c r="H816" s="201" t="s">
        <v>250</v>
      </c>
      <c r="I816" s="128"/>
      <c r="J816" s="209"/>
      <c r="K816" s="197"/>
    </row>
    <row r="817" spans="2:11">
      <c r="D817" s="197"/>
      <c r="E817" s="208"/>
      <c r="F817" s="200"/>
      <c r="G817" s="196"/>
      <c r="H817" s="194"/>
      <c r="I817" s="128"/>
      <c r="J817" s="209"/>
      <c r="K817" s="197"/>
    </row>
    <row r="818" spans="2:11" ht="1.5" customHeight="1">
      <c r="D818" s="197"/>
      <c r="E818" s="210"/>
      <c r="F818" s="213"/>
      <c r="G818" s="214"/>
      <c r="H818" s="215"/>
      <c r="I818" s="213"/>
      <c r="J818" s="211"/>
      <c r="K818" s="197"/>
    </row>
    <row r="819" spans="2:11" ht="345">
      <c r="B819" s="193" t="s">
        <v>428</v>
      </c>
      <c r="D819" s="197"/>
      <c r="E819" s="197"/>
      <c r="F819" s="212"/>
      <c r="G819" s="216"/>
      <c r="H819" s="199"/>
      <c r="I819" s="212"/>
      <c r="J819" s="197"/>
      <c r="K819" s="197"/>
    </row>
    <row r="820" spans="2:11" ht="150">
      <c r="B820" s="193" t="s">
        <v>427</v>
      </c>
      <c r="D820" s="197"/>
      <c r="E820" s="212"/>
      <c r="F820" s="212"/>
      <c r="G820" s="216"/>
      <c r="H820" s="199"/>
      <c r="I820" s="212"/>
      <c r="J820" s="212"/>
      <c r="K820" s="197"/>
    </row>
    <row r="821" spans="2:11" ht="1.5" customHeight="1">
      <c r="D821" s="197"/>
      <c r="E821" s="203"/>
      <c r="F821" s="204"/>
      <c r="G821" s="205"/>
      <c r="H821" s="206"/>
      <c r="I821" s="204"/>
      <c r="J821" s="207"/>
      <c r="K821" s="197"/>
    </row>
    <row r="822" spans="2:11" ht="30">
      <c r="B822" s="193" t="s">
        <v>429</v>
      </c>
      <c r="D822" s="197"/>
      <c r="E822" s="208"/>
      <c r="F822" s="200"/>
      <c r="G822" s="202" t="s">
        <v>86</v>
      </c>
      <c r="H822" s="198"/>
      <c r="I822" s="128"/>
      <c r="J822" s="209"/>
      <c r="K822" s="197"/>
    </row>
    <row r="823" spans="2:11">
      <c r="D823" s="197"/>
      <c r="E823" s="208"/>
      <c r="F823" s="200"/>
      <c r="G823" s="196"/>
      <c r="H823" s="194"/>
      <c r="I823" s="128"/>
      <c r="J823" s="209"/>
      <c r="K823" s="197"/>
    </row>
    <row r="824" spans="2:11" ht="120">
      <c r="D824" s="197"/>
      <c r="E824" s="208"/>
      <c r="F824" s="200"/>
      <c r="G824" s="196"/>
      <c r="H824" s="201" t="s">
        <v>247</v>
      </c>
      <c r="I824" s="128"/>
      <c r="J824" s="209"/>
      <c r="K824" s="197"/>
    </row>
    <row r="825" spans="2:11">
      <c r="D825" s="197"/>
      <c r="E825" s="208"/>
      <c r="F825" s="200"/>
      <c r="G825" s="196"/>
      <c r="H825" s="194"/>
      <c r="I825" s="128"/>
      <c r="J825" s="209"/>
      <c r="K825" s="197"/>
    </row>
    <row r="826" spans="2:11" ht="1.5" customHeight="1">
      <c r="D826" s="197"/>
      <c r="E826" s="210"/>
      <c r="F826" s="213"/>
      <c r="G826" s="214"/>
      <c r="H826" s="215"/>
      <c r="I826" s="213"/>
      <c r="J826" s="211"/>
      <c r="K826" s="197"/>
    </row>
    <row r="827" spans="2:11" ht="345">
      <c r="B827" s="193" t="s">
        <v>428</v>
      </c>
      <c r="D827" s="197"/>
      <c r="E827" s="197"/>
      <c r="F827" s="212"/>
      <c r="G827" s="216"/>
      <c r="H827" s="199"/>
      <c r="I827" s="212"/>
      <c r="J827" s="197"/>
      <c r="K827" s="197"/>
    </row>
    <row r="828" spans="2:11" ht="150">
      <c r="B828" s="193" t="s">
        <v>427</v>
      </c>
      <c r="D828" s="197"/>
      <c r="E828" s="212"/>
      <c r="F828" s="212"/>
      <c r="G828" s="216"/>
      <c r="H828" s="199"/>
      <c r="I828" s="212"/>
      <c r="J828" s="212"/>
      <c r="K828" s="197"/>
    </row>
    <row r="829" spans="2:11" ht="1.5" customHeight="1">
      <c r="D829" s="197"/>
      <c r="E829" s="203"/>
      <c r="F829" s="204"/>
      <c r="G829" s="205"/>
      <c r="H829" s="206"/>
      <c r="I829" s="204"/>
      <c r="J829" s="207"/>
      <c r="K829" s="197"/>
    </row>
    <row r="830" spans="2:11" ht="30">
      <c r="B830" s="193" t="s">
        <v>429</v>
      </c>
      <c r="D830" s="197"/>
      <c r="E830" s="208"/>
      <c r="F830" s="200"/>
      <c r="G830" s="202" t="s">
        <v>87</v>
      </c>
      <c r="H830" s="198"/>
      <c r="I830" s="128"/>
      <c r="J830" s="209"/>
      <c r="K830" s="197"/>
    </row>
    <row r="831" spans="2:11">
      <c r="D831" s="197"/>
      <c r="E831" s="208"/>
      <c r="F831" s="200"/>
      <c r="G831" s="196"/>
      <c r="H831" s="194"/>
      <c r="I831" s="128"/>
      <c r="J831" s="209"/>
      <c r="K831" s="197"/>
    </row>
    <row r="832" spans="2:11">
      <c r="D832" s="197"/>
      <c r="E832" s="208"/>
      <c r="F832" s="200"/>
      <c r="G832" s="196"/>
      <c r="H832" s="201" t="s">
        <v>221</v>
      </c>
      <c r="I832" s="128"/>
      <c r="J832" s="209"/>
      <c r="K832" s="197"/>
    </row>
    <row r="833" spans="2:11">
      <c r="D833" s="197"/>
      <c r="E833" s="208"/>
      <c r="F833" s="200"/>
      <c r="G833" s="196"/>
      <c r="H833" s="194"/>
      <c r="I833" s="128"/>
      <c r="J833" s="209"/>
      <c r="K833" s="197"/>
    </row>
    <row r="834" spans="2:11" ht="1.5" customHeight="1">
      <c r="D834" s="197"/>
      <c r="E834" s="210"/>
      <c r="F834" s="213"/>
      <c r="G834" s="214"/>
      <c r="H834" s="215"/>
      <c r="I834" s="213"/>
      <c r="J834" s="211"/>
      <c r="K834" s="197"/>
    </row>
    <row r="835" spans="2:11" ht="345">
      <c r="B835" s="193" t="s">
        <v>428</v>
      </c>
      <c r="D835" s="197"/>
      <c r="E835" s="197"/>
      <c r="F835" s="212"/>
      <c r="G835" s="216"/>
      <c r="H835" s="199"/>
      <c r="I835" s="212"/>
      <c r="J835" s="197"/>
      <c r="K835" s="197"/>
    </row>
    <row r="836" spans="2:11" ht="150">
      <c r="B836" s="193" t="s">
        <v>427</v>
      </c>
      <c r="D836" s="197"/>
      <c r="E836" s="212"/>
      <c r="F836" s="212"/>
      <c r="G836" s="216"/>
      <c r="H836" s="199"/>
      <c r="I836" s="212"/>
      <c r="J836" s="212"/>
      <c r="K836" s="197"/>
    </row>
    <row r="837" spans="2:11" ht="1.5" customHeight="1">
      <c r="D837" s="197"/>
      <c r="E837" s="203"/>
      <c r="F837" s="204"/>
      <c r="G837" s="205"/>
      <c r="H837" s="206"/>
      <c r="I837" s="204"/>
      <c r="J837" s="207"/>
      <c r="K837" s="197"/>
    </row>
    <row r="838" spans="2:11" ht="30">
      <c r="B838" s="193" t="s">
        <v>429</v>
      </c>
      <c r="D838" s="197"/>
      <c r="E838" s="208"/>
      <c r="F838" s="200"/>
      <c r="G838" s="202" t="s">
        <v>435</v>
      </c>
      <c r="H838" s="198"/>
      <c r="I838" s="128"/>
      <c r="J838" s="209"/>
      <c r="K838" s="197"/>
    </row>
    <row r="839" spans="2:11">
      <c r="D839" s="197"/>
      <c r="E839" s="208"/>
      <c r="F839" s="200"/>
      <c r="G839" s="196"/>
      <c r="H839" s="194"/>
      <c r="I839" s="128"/>
      <c r="J839" s="209"/>
      <c r="K839" s="197"/>
    </row>
    <row r="840" spans="2:11" ht="270">
      <c r="D840" s="197"/>
      <c r="E840" s="208"/>
      <c r="F840" s="200"/>
      <c r="G840" s="196"/>
      <c r="H840" s="201" t="s">
        <v>294</v>
      </c>
      <c r="I840" s="128"/>
      <c r="J840" s="209"/>
      <c r="K840" s="197"/>
    </row>
    <row r="841" spans="2:11">
      <c r="D841" s="197"/>
      <c r="E841" s="208"/>
      <c r="F841" s="200"/>
      <c r="G841" s="196"/>
      <c r="H841" s="194"/>
      <c r="I841" s="128"/>
      <c r="J841" s="209"/>
      <c r="K841" s="197"/>
    </row>
    <row r="842" spans="2:11" ht="1.5" customHeight="1">
      <c r="D842" s="197"/>
      <c r="E842" s="210"/>
      <c r="F842" s="213"/>
      <c r="G842" s="214"/>
      <c r="H842" s="215"/>
      <c r="I842" s="213"/>
      <c r="J842" s="211"/>
      <c r="K842" s="197"/>
    </row>
    <row r="843" spans="2:11" ht="345">
      <c r="B843" s="193" t="s">
        <v>428</v>
      </c>
      <c r="D843" s="197"/>
      <c r="E843" s="197"/>
      <c r="F843" s="212"/>
      <c r="G843" s="216"/>
      <c r="H843" s="199"/>
      <c r="I843" s="212"/>
      <c r="J843" s="197"/>
      <c r="K843" s="197"/>
    </row>
    <row r="844" spans="2:11" ht="150">
      <c r="B844" s="193" t="s">
        <v>427</v>
      </c>
      <c r="D844" s="197"/>
      <c r="E844" s="212"/>
      <c r="F844" s="212"/>
      <c r="G844" s="216"/>
      <c r="H844" s="199"/>
      <c r="I844" s="212"/>
      <c r="J844" s="212"/>
      <c r="K844" s="197"/>
    </row>
    <row r="845" spans="2:11" ht="1.5" customHeight="1">
      <c r="D845" s="197"/>
      <c r="E845" s="203"/>
      <c r="F845" s="204"/>
      <c r="G845" s="205"/>
      <c r="H845" s="206"/>
      <c r="I845" s="204"/>
      <c r="J845" s="207"/>
      <c r="K845" s="197"/>
    </row>
    <row r="846" spans="2:11" ht="30">
      <c r="B846" s="193" t="s">
        <v>429</v>
      </c>
      <c r="D846" s="197"/>
      <c r="E846" s="208"/>
      <c r="F846" s="200"/>
      <c r="G846" s="202" t="s">
        <v>214</v>
      </c>
      <c r="H846" s="198"/>
      <c r="I846" s="128"/>
      <c r="J846" s="209"/>
      <c r="K846" s="197"/>
    </row>
    <row r="847" spans="2:11">
      <c r="D847" s="197"/>
      <c r="E847" s="208"/>
      <c r="F847" s="200"/>
      <c r="G847" s="196"/>
      <c r="H847" s="194"/>
      <c r="I847" s="128"/>
      <c r="J847" s="209"/>
      <c r="K847" s="197"/>
    </row>
    <row r="848" spans="2:11" ht="180">
      <c r="D848" s="197"/>
      <c r="E848" s="208"/>
      <c r="F848" s="200"/>
      <c r="G848" s="196"/>
      <c r="H848" s="201" t="s">
        <v>295</v>
      </c>
      <c r="I848" s="128"/>
      <c r="J848" s="209"/>
      <c r="K848" s="197"/>
    </row>
    <row r="849" spans="2:11">
      <c r="D849" s="197"/>
      <c r="E849" s="208"/>
      <c r="F849" s="200"/>
      <c r="G849" s="196"/>
      <c r="H849" s="194"/>
      <c r="I849" s="128"/>
      <c r="J849" s="209"/>
      <c r="K849" s="197"/>
    </row>
    <row r="850" spans="2:11" ht="1.5" customHeight="1">
      <c r="D850" s="197"/>
      <c r="E850" s="210"/>
      <c r="F850" s="213"/>
      <c r="G850" s="214"/>
      <c r="H850" s="215"/>
      <c r="I850" s="213"/>
      <c r="J850" s="211"/>
      <c r="K850" s="197"/>
    </row>
    <row r="851" spans="2:11" ht="345">
      <c r="B851" s="193" t="s">
        <v>428</v>
      </c>
      <c r="D851" s="197"/>
      <c r="E851" s="197"/>
      <c r="F851" s="212"/>
      <c r="G851" s="216"/>
      <c r="H851" s="199"/>
      <c r="I851" s="212"/>
      <c r="J851" s="197"/>
      <c r="K851" s="197"/>
    </row>
    <row r="852" spans="2:11" ht="150">
      <c r="B852" s="193" t="s">
        <v>427</v>
      </c>
      <c r="D852" s="197"/>
      <c r="E852" s="212"/>
      <c r="F852" s="212"/>
      <c r="G852" s="216"/>
      <c r="H852" s="199"/>
      <c r="I852" s="212"/>
      <c r="J852" s="212"/>
      <c r="K852" s="197"/>
    </row>
    <row r="853" spans="2:11" ht="1.5" customHeight="1">
      <c r="D853" s="197"/>
      <c r="E853" s="203"/>
      <c r="F853" s="204"/>
      <c r="G853" s="205"/>
      <c r="H853" s="206"/>
      <c r="I853" s="204"/>
      <c r="J853" s="207"/>
      <c r="K853" s="197"/>
    </row>
    <row r="854" spans="2:11" ht="30">
      <c r="B854" s="193" t="s">
        <v>429</v>
      </c>
      <c r="D854" s="197"/>
      <c r="E854" s="208"/>
      <c r="F854" s="200"/>
      <c r="G854" s="202" t="s">
        <v>137</v>
      </c>
      <c r="H854" s="198"/>
      <c r="I854" s="128"/>
      <c r="J854" s="209"/>
      <c r="K854" s="197"/>
    </row>
    <row r="855" spans="2:11">
      <c r="D855" s="197"/>
      <c r="E855" s="208"/>
      <c r="F855" s="200"/>
      <c r="G855" s="196"/>
      <c r="H855" s="194"/>
      <c r="I855" s="128"/>
      <c r="J855" s="209"/>
      <c r="K855" s="197"/>
    </row>
    <row r="856" spans="2:11" ht="75">
      <c r="D856" s="197"/>
      <c r="E856" s="208"/>
      <c r="F856" s="200"/>
      <c r="G856" s="196"/>
      <c r="H856" s="201" t="s">
        <v>296</v>
      </c>
      <c r="I856" s="128"/>
      <c r="J856" s="209"/>
      <c r="K856" s="197"/>
    </row>
    <row r="857" spans="2:11">
      <c r="D857" s="197"/>
      <c r="E857" s="208"/>
      <c r="F857" s="200"/>
      <c r="G857" s="196"/>
      <c r="H857" s="194"/>
      <c r="I857" s="128"/>
      <c r="J857" s="209"/>
      <c r="K857" s="197"/>
    </row>
    <row r="858" spans="2:11" ht="1.5" customHeight="1">
      <c r="D858" s="197"/>
      <c r="E858" s="210"/>
      <c r="F858" s="213"/>
      <c r="G858" s="214"/>
      <c r="H858" s="215"/>
      <c r="I858" s="213"/>
      <c r="J858" s="211"/>
      <c r="K858" s="197"/>
    </row>
    <row r="859" spans="2:11" ht="345">
      <c r="B859" s="193" t="s">
        <v>428</v>
      </c>
      <c r="D859" s="197"/>
      <c r="E859" s="197"/>
      <c r="F859" s="212"/>
      <c r="G859" s="216"/>
      <c r="H859" s="199"/>
      <c r="I859" s="212"/>
      <c r="J859" s="197"/>
      <c r="K859" s="197"/>
    </row>
    <row r="860" spans="2:11" ht="150">
      <c r="B860" s="193" t="s">
        <v>427</v>
      </c>
      <c r="D860" s="197"/>
      <c r="E860" s="212"/>
      <c r="F860" s="212"/>
      <c r="G860" s="216"/>
      <c r="H860" s="199"/>
      <c r="I860" s="212"/>
      <c r="J860" s="212"/>
      <c r="K860" s="197"/>
    </row>
    <row r="861" spans="2:11" ht="1.5" customHeight="1">
      <c r="D861" s="197"/>
      <c r="E861" s="203"/>
      <c r="F861" s="204"/>
      <c r="G861" s="205"/>
      <c r="H861" s="206"/>
      <c r="I861" s="204"/>
      <c r="J861" s="207"/>
      <c r="K861" s="197"/>
    </row>
    <row r="862" spans="2:11" ht="30">
      <c r="B862" s="193" t="s">
        <v>429</v>
      </c>
      <c r="D862" s="197"/>
      <c r="E862" s="208"/>
      <c r="F862" s="200"/>
      <c r="G862" s="202" t="s">
        <v>88</v>
      </c>
      <c r="H862" s="198"/>
      <c r="I862" s="128"/>
      <c r="J862" s="209"/>
      <c r="K862" s="197"/>
    </row>
    <row r="863" spans="2:11">
      <c r="D863" s="197"/>
      <c r="E863" s="208"/>
      <c r="F863" s="200"/>
      <c r="G863" s="196"/>
      <c r="H863" s="194"/>
      <c r="I863" s="128"/>
      <c r="J863" s="209"/>
      <c r="K863" s="197"/>
    </row>
    <row r="864" spans="2:11" ht="30">
      <c r="D864" s="197"/>
      <c r="E864" s="208"/>
      <c r="F864" s="200"/>
      <c r="G864" s="196"/>
      <c r="H864" s="201" t="s">
        <v>138</v>
      </c>
      <c r="I864" s="128"/>
      <c r="J864" s="209"/>
      <c r="K864" s="197"/>
    </row>
    <row r="865" spans="2:11">
      <c r="D865" s="197"/>
      <c r="E865" s="208"/>
      <c r="F865" s="200"/>
      <c r="G865" s="196"/>
      <c r="H865" s="194"/>
      <c r="I865" s="128"/>
      <c r="J865" s="209"/>
      <c r="K865" s="197"/>
    </row>
    <row r="866" spans="2:11" ht="1.5" customHeight="1">
      <c r="D866" s="197"/>
      <c r="E866" s="210"/>
      <c r="F866" s="213"/>
      <c r="G866" s="214"/>
      <c r="H866" s="215"/>
      <c r="I866" s="213"/>
      <c r="J866" s="211"/>
      <c r="K866" s="197"/>
    </row>
    <row r="867" spans="2:11" ht="345">
      <c r="B867" s="193" t="s">
        <v>428</v>
      </c>
      <c r="D867" s="197"/>
      <c r="E867" s="197"/>
      <c r="F867" s="212"/>
      <c r="G867" s="216"/>
      <c r="H867" s="199"/>
      <c r="I867" s="212"/>
      <c r="J867" s="197"/>
      <c r="K867" s="197"/>
    </row>
    <row r="868" spans="2:11" ht="150">
      <c r="B868" s="193" t="s">
        <v>427</v>
      </c>
      <c r="D868" s="197"/>
      <c r="E868" s="212"/>
      <c r="F868" s="212"/>
      <c r="G868" s="216"/>
      <c r="H868" s="199"/>
      <c r="I868" s="212"/>
      <c r="J868" s="212"/>
      <c r="K868" s="197"/>
    </row>
    <row r="869" spans="2:11" ht="1.5" customHeight="1">
      <c r="D869" s="197"/>
      <c r="E869" s="203"/>
      <c r="F869" s="204"/>
      <c r="G869" s="205"/>
      <c r="H869" s="206"/>
      <c r="I869" s="204"/>
      <c r="J869" s="207"/>
      <c r="K869" s="197"/>
    </row>
    <row r="870" spans="2:11" ht="30">
      <c r="B870" s="193" t="s">
        <v>429</v>
      </c>
      <c r="D870" s="197"/>
      <c r="E870" s="208"/>
      <c r="F870" s="200"/>
      <c r="G870" s="202" t="s">
        <v>356</v>
      </c>
      <c r="H870" s="198"/>
      <c r="I870" s="128"/>
      <c r="J870" s="209"/>
      <c r="K870" s="197"/>
    </row>
    <row r="871" spans="2:11">
      <c r="D871" s="197"/>
      <c r="E871" s="208"/>
      <c r="F871" s="200"/>
      <c r="G871" s="196"/>
      <c r="H871" s="194"/>
      <c r="I871" s="128"/>
      <c r="J871" s="209"/>
      <c r="K871" s="197"/>
    </row>
    <row r="872" spans="2:11" ht="105">
      <c r="D872" s="197"/>
      <c r="E872" s="208"/>
      <c r="F872" s="200"/>
      <c r="G872" s="196"/>
      <c r="H872" s="201" t="s">
        <v>357</v>
      </c>
      <c r="I872" s="128"/>
      <c r="J872" s="209"/>
      <c r="K872" s="197"/>
    </row>
    <row r="873" spans="2:11">
      <c r="D873" s="197"/>
      <c r="E873" s="208"/>
      <c r="F873" s="200"/>
      <c r="G873" s="196"/>
      <c r="H873" s="194"/>
      <c r="I873" s="128"/>
      <c r="J873" s="209"/>
      <c r="K873" s="197"/>
    </row>
    <row r="874" spans="2:11" ht="1.5" customHeight="1">
      <c r="D874" s="197"/>
      <c r="E874" s="210"/>
      <c r="F874" s="213"/>
      <c r="G874" s="214"/>
      <c r="H874" s="215"/>
      <c r="I874" s="213"/>
      <c r="J874" s="211"/>
      <c r="K874" s="197"/>
    </row>
    <row r="875" spans="2:11" ht="345">
      <c r="B875" s="193" t="s">
        <v>428</v>
      </c>
      <c r="D875" s="197"/>
      <c r="E875" s="197"/>
      <c r="F875" s="212"/>
      <c r="G875" s="216"/>
      <c r="H875" s="199"/>
      <c r="I875" s="212"/>
      <c r="J875" s="197"/>
      <c r="K875" s="197"/>
    </row>
    <row r="876" spans="2:11" ht="150">
      <c r="B876" s="193" t="s">
        <v>427</v>
      </c>
      <c r="D876" s="197"/>
      <c r="E876" s="212"/>
      <c r="F876" s="212"/>
      <c r="G876" s="216"/>
      <c r="H876" s="199"/>
      <c r="I876" s="212"/>
      <c r="J876" s="212"/>
      <c r="K876" s="197"/>
    </row>
    <row r="877" spans="2:11" ht="1.5" customHeight="1">
      <c r="D877" s="197"/>
      <c r="E877" s="203"/>
      <c r="F877" s="204"/>
      <c r="G877" s="205"/>
      <c r="H877" s="206"/>
      <c r="I877" s="204"/>
      <c r="J877" s="207"/>
      <c r="K877" s="197"/>
    </row>
    <row r="878" spans="2:11" ht="30">
      <c r="B878" s="193" t="s">
        <v>429</v>
      </c>
      <c r="D878" s="197"/>
      <c r="E878" s="208"/>
      <c r="F878" s="200"/>
      <c r="G878" s="202" t="s">
        <v>89</v>
      </c>
      <c r="H878" s="198"/>
      <c r="I878" s="128"/>
      <c r="J878" s="209"/>
      <c r="K878" s="197"/>
    </row>
    <row r="879" spans="2:11">
      <c r="D879" s="197"/>
      <c r="E879" s="208"/>
      <c r="F879" s="200"/>
      <c r="G879" s="196"/>
      <c r="H879" s="194"/>
      <c r="I879" s="128"/>
      <c r="J879" s="209"/>
      <c r="K879" s="197"/>
    </row>
    <row r="880" spans="2:11" ht="105">
      <c r="D880" s="197"/>
      <c r="E880" s="208"/>
      <c r="F880" s="200"/>
      <c r="G880" s="196"/>
      <c r="H880" s="201" t="s">
        <v>318</v>
      </c>
      <c r="I880" s="128"/>
      <c r="J880" s="209"/>
      <c r="K880" s="197"/>
    </row>
    <row r="881" spans="2:11" ht="45">
      <c r="D881" s="197"/>
      <c r="E881" s="208"/>
      <c r="F881" s="200"/>
      <c r="G881" s="196"/>
      <c r="H881" s="217" t="s">
        <v>107</v>
      </c>
      <c r="I881" s="128"/>
      <c r="J881" s="209"/>
      <c r="K881" s="197"/>
    </row>
    <row r="882" spans="2:11">
      <c r="D882" s="197"/>
      <c r="E882" s="208"/>
      <c r="F882" s="200"/>
      <c r="G882" s="196"/>
      <c r="H882" s="120"/>
      <c r="I882" s="128"/>
      <c r="J882" s="209"/>
      <c r="K882" s="197"/>
    </row>
    <row r="883" spans="2:11" ht="1.5" customHeight="1">
      <c r="D883" s="197"/>
      <c r="E883" s="210"/>
      <c r="F883" s="213"/>
      <c r="G883" s="214"/>
      <c r="H883" s="215"/>
      <c r="I883" s="213"/>
      <c r="J883" s="211"/>
      <c r="K883" s="197"/>
    </row>
    <row r="884" spans="2:11" ht="345">
      <c r="B884" s="193" t="s">
        <v>428</v>
      </c>
      <c r="D884" s="197"/>
      <c r="E884" s="197"/>
      <c r="F884" s="212"/>
      <c r="G884" s="216"/>
      <c r="H884" s="199"/>
      <c r="I884" s="212"/>
      <c r="J884" s="197"/>
      <c r="K884" s="197"/>
    </row>
    <row r="885" spans="2:11" ht="150">
      <c r="B885" s="193" t="s">
        <v>427</v>
      </c>
      <c r="D885" s="197"/>
      <c r="E885" s="212"/>
      <c r="F885" s="212"/>
      <c r="G885" s="216"/>
      <c r="H885" s="199"/>
      <c r="I885" s="212"/>
      <c r="J885" s="212"/>
      <c r="K885" s="197"/>
    </row>
    <row r="886" spans="2:11" ht="1.5" customHeight="1">
      <c r="D886" s="197"/>
      <c r="E886" s="203"/>
      <c r="F886" s="204"/>
      <c r="G886" s="205"/>
      <c r="H886" s="206"/>
      <c r="I886" s="204"/>
      <c r="J886" s="207"/>
      <c r="K886" s="197"/>
    </row>
    <row r="887" spans="2:11" ht="30">
      <c r="B887" s="193" t="s">
        <v>429</v>
      </c>
      <c r="D887" s="197"/>
      <c r="E887" s="208"/>
      <c r="F887" s="200"/>
      <c r="G887" s="202" t="s">
        <v>92</v>
      </c>
      <c r="H887" s="198"/>
      <c r="I887" s="128"/>
      <c r="J887" s="209"/>
      <c r="K887" s="197"/>
    </row>
    <row r="888" spans="2:11">
      <c r="D888" s="197"/>
      <c r="E888" s="208"/>
      <c r="F888" s="200"/>
      <c r="G888" s="196"/>
      <c r="H888" s="194"/>
      <c r="I888" s="128"/>
      <c r="J888" s="209"/>
      <c r="K888" s="197"/>
    </row>
    <row r="889" spans="2:11">
      <c r="D889" s="197"/>
      <c r="E889" s="208"/>
      <c r="F889" s="200"/>
      <c r="G889" s="196"/>
      <c r="H889" s="201" t="s">
        <v>297</v>
      </c>
      <c r="I889" s="128"/>
      <c r="J889" s="209"/>
      <c r="K889" s="197"/>
    </row>
    <row r="890" spans="2:11">
      <c r="D890" s="197"/>
      <c r="E890" s="208"/>
      <c r="F890" s="200"/>
      <c r="G890" s="196"/>
      <c r="H890" s="194"/>
      <c r="I890" s="128"/>
      <c r="J890" s="209"/>
      <c r="K890" s="197"/>
    </row>
    <row r="891" spans="2:11" ht="1.5" customHeight="1">
      <c r="D891" s="197"/>
      <c r="E891" s="210"/>
      <c r="F891" s="213"/>
      <c r="G891" s="214"/>
      <c r="H891" s="215"/>
      <c r="I891" s="213"/>
      <c r="J891" s="211"/>
      <c r="K891" s="197"/>
    </row>
    <row r="892" spans="2:11" ht="345">
      <c r="B892" s="193" t="s">
        <v>428</v>
      </c>
      <c r="D892" s="197"/>
      <c r="E892" s="197"/>
      <c r="F892" s="212"/>
      <c r="G892" s="216"/>
      <c r="H892" s="199"/>
      <c r="I892" s="212"/>
      <c r="J892" s="197"/>
      <c r="K892" s="197"/>
    </row>
    <row r="893" spans="2:11" ht="150">
      <c r="B893" s="193" t="s">
        <v>427</v>
      </c>
      <c r="D893" s="197"/>
      <c r="E893" s="212"/>
      <c r="F893" s="212"/>
      <c r="G893" s="216"/>
      <c r="H893" s="199"/>
      <c r="I893" s="212"/>
      <c r="J893" s="212"/>
      <c r="K893" s="197"/>
    </row>
    <row r="894" spans="2:11" ht="1.5" customHeight="1">
      <c r="D894" s="197"/>
      <c r="E894" s="203"/>
      <c r="F894" s="204"/>
      <c r="G894" s="205"/>
      <c r="H894" s="206"/>
      <c r="I894" s="204"/>
      <c r="J894" s="207"/>
      <c r="K894" s="197"/>
    </row>
    <row r="895" spans="2:11" ht="30">
      <c r="B895" s="193" t="s">
        <v>429</v>
      </c>
      <c r="D895" s="197"/>
      <c r="E895" s="208"/>
      <c r="F895" s="200"/>
      <c r="G895" s="202" t="s">
        <v>159</v>
      </c>
      <c r="H895" s="198"/>
      <c r="I895" s="128"/>
      <c r="J895" s="209"/>
      <c r="K895" s="197"/>
    </row>
    <row r="896" spans="2:11">
      <c r="D896" s="197"/>
      <c r="E896" s="208"/>
      <c r="F896" s="200"/>
      <c r="G896" s="196"/>
      <c r="H896" s="194"/>
      <c r="I896" s="128"/>
      <c r="J896" s="209"/>
      <c r="K896" s="197"/>
    </row>
    <row r="897" spans="2:11" ht="30">
      <c r="D897" s="197"/>
      <c r="E897" s="208"/>
      <c r="F897" s="200"/>
      <c r="G897" s="196"/>
      <c r="H897" s="201" t="s">
        <v>251</v>
      </c>
      <c r="I897" s="128"/>
      <c r="J897" s="209"/>
      <c r="K897" s="197"/>
    </row>
    <row r="898" spans="2:11">
      <c r="D898" s="197"/>
      <c r="E898" s="208"/>
      <c r="F898" s="200"/>
      <c r="G898" s="196"/>
      <c r="H898" s="194"/>
      <c r="I898" s="128"/>
      <c r="J898" s="209"/>
      <c r="K898" s="197"/>
    </row>
    <row r="899" spans="2:11" ht="1.5" customHeight="1">
      <c r="D899" s="197"/>
      <c r="E899" s="210"/>
      <c r="F899" s="213"/>
      <c r="G899" s="214"/>
      <c r="H899" s="215"/>
      <c r="I899" s="213"/>
      <c r="J899" s="211"/>
      <c r="K899" s="197"/>
    </row>
    <row r="900" spans="2:11" ht="345">
      <c r="B900" s="193" t="s">
        <v>428</v>
      </c>
      <c r="D900" s="197"/>
      <c r="E900" s="197"/>
      <c r="F900" s="212"/>
      <c r="G900" s="216"/>
      <c r="H900" s="199"/>
      <c r="I900" s="212"/>
      <c r="J900" s="197"/>
      <c r="K900" s="197"/>
    </row>
    <row r="901" spans="2:11" ht="150">
      <c r="B901" s="193" t="s">
        <v>427</v>
      </c>
      <c r="D901" s="197"/>
      <c r="E901" s="212"/>
      <c r="F901" s="212"/>
      <c r="G901" s="216"/>
      <c r="H901" s="199"/>
      <c r="I901" s="212"/>
      <c r="J901" s="212"/>
      <c r="K901" s="197"/>
    </row>
    <row r="902" spans="2:11" ht="1.5" customHeight="1">
      <c r="D902" s="197"/>
      <c r="E902" s="203"/>
      <c r="F902" s="204"/>
      <c r="G902" s="205"/>
      <c r="H902" s="206"/>
      <c r="I902" s="204"/>
      <c r="J902" s="207"/>
      <c r="K902" s="197"/>
    </row>
    <row r="903" spans="2:11" ht="30">
      <c r="B903" s="193" t="s">
        <v>429</v>
      </c>
      <c r="D903" s="197"/>
      <c r="E903" s="208"/>
      <c r="F903" s="200"/>
      <c r="G903" s="202" t="s">
        <v>90</v>
      </c>
      <c r="H903" s="198"/>
      <c r="I903" s="128"/>
      <c r="J903" s="209"/>
      <c r="K903" s="197"/>
    </row>
    <row r="904" spans="2:11">
      <c r="D904" s="197"/>
      <c r="E904" s="208"/>
      <c r="F904" s="200"/>
      <c r="G904" s="196"/>
      <c r="H904" s="194"/>
      <c r="I904" s="128"/>
      <c r="J904" s="209"/>
      <c r="K904" s="197"/>
    </row>
    <row r="905" spans="2:11">
      <c r="D905" s="197"/>
      <c r="E905" s="208"/>
      <c r="F905" s="200"/>
      <c r="G905" s="196"/>
      <c r="H905" s="201" t="s">
        <v>252</v>
      </c>
      <c r="I905" s="128"/>
      <c r="J905" s="209"/>
      <c r="K905" s="197"/>
    </row>
    <row r="906" spans="2:11">
      <c r="D906" s="197"/>
      <c r="E906" s="208"/>
      <c r="F906" s="200"/>
      <c r="G906" s="196"/>
      <c r="H906" s="194"/>
      <c r="I906" s="128"/>
      <c r="J906" s="209"/>
      <c r="K906" s="197"/>
    </row>
    <row r="907" spans="2:11" ht="1.5" customHeight="1">
      <c r="D907" s="197"/>
      <c r="E907" s="210"/>
      <c r="F907" s="213"/>
      <c r="G907" s="214"/>
      <c r="H907" s="215"/>
      <c r="I907" s="213"/>
      <c r="J907" s="211"/>
      <c r="K907" s="197"/>
    </row>
    <row r="908" spans="2:11" ht="345">
      <c r="B908" s="193" t="s">
        <v>428</v>
      </c>
      <c r="D908" s="197"/>
      <c r="E908" s="197"/>
      <c r="F908" s="212"/>
      <c r="G908" s="216"/>
      <c r="H908" s="199"/>
      <c r="I908" s="212"/>
      <c r="J908" s="197"/>
      <c r="K908" s="197"/>
    </row>
    <row r="909" spans="2:11" ht="150">
      <c r="B909" s="193" t="s">
        <v>427</v>
      </c>
      <c r="D909" s="197"/>
      <c r="E909" s="212"/>
      <c r="F909" s="212"/>
      <c r="G909" s="216"/>
      <c r="H909" s="199"/>
      <c r="I909" s="212"/>
      <c r="J909" s="212"/>
      <c r="K909" s="197"/>
    </row>
    <row r="910" spans="2:11" ht="1.5" customHeight="1">
      <c r="D910" s="197"/>
      <c r="E910" s="203"/>
      <c r="F910" s="204"/>
      <c r="G910" s="205"/>
      <c r="H910" s="206"/>
      <c r="I910" s="204"/>
      <c r="J910" s="207"/>
      <c r="K910" s="197"/>
    </row>
    <row r="911" spans="2:11" ht="30">
      <c r="B911" s="193" t="s">
        <v>429</v>
      </c>
      <c r="D911" s="197"/>
      <c r="E911" s="208"/>
      <c r="F911" s="200"/>
      <c r="G911" s="202" t="s">
        <v>434</v>
      </c>
      <c r="H911" s="198"/>
      <c r="I911" s="128"/>
      <c r="J911" s="209"/>
      <c r="K911" s="197"/>
    </row>
    <row r="912" spans="2:11">
      <c r="D912" s="197"/>
      <c r="E912" s="208"/>
      <c r="F912" s="200"/>
      <c r="G912" s="196"/>
      <c r="H912" s="194"/>
      <c r="I912" s="128"/>
      <c r="J912" s="209"/>
      <c r="K912" s="197"/>
    </row>
    <row r="913" spans="2:11" ht="75">
      <c r="D913" s="197"/>
      <c r="E913" s="208"/>
      <c r="F913" s="200"/>
      <c r="G913" s="196"/>
      <c r="H913" s="201" t="s">
        <v>253</v>
      </c>
      <c r="I913" s="128"/>
      <c r="J913" s="209"/>
      <c r="K913" s="197"/>
    </row>
    <row r="914" spans="2:11">
      <c r="D914" s="197"/>
      <c r="E914" s="208"/>
      <c r="F914" s="200"/>
      <c r="G914" s="196"/>
      <c r="H914" s="194"/>
      <c r="I914" s="128"/>
      <c r="J914" s="209"/>
      <c r="K914" s="197"/>
    </row>
    <row r="915" spans="2:11" ht="1.5" customHeight="1">
      <c r="D915" s="197"/>
      <c r="E915" s="210"/>
      <c r="F915" s="213"/>
      <c r="G915" s="214"/>
      <c r="H915" s="215"/>
      <c r="I915" s="213"/>
      <c r="J915" s="211"/>
      <c r="K915" s="197"/>
    </row>
    <row r="916" spans="2:11" ht="345">
      <c r="B916" s="193" t="s">
        <v>428</v>
      </c>
      <c r="D916" s="197"/>
      <c r="E916" s="197"/>
      <c r="F916" s="212"/>
      <c r="G916" s="216"/>
      <c r="H916" s="199"/>
      <c r="I916" s="212"/>
      <c r="J916" s="197"/>
      <c r="K916" s="197"/>
    </row>
    <row r="917" spans="2:11" ht="150">
      <c r="B917" s="193" t="s">
        <v>427</v>
      </c>
      <c r="D917" s="197"/>
      <c r="E917" s="212"/>
      <c r="F917" s="212"/>
      <c r="G917" s="216"/>
      <c r="H917" s="199"/>
      <c r="I917" s="212"/>
      <c r="J917" s="212"/>
      <c r="K917" s="197"/>
    </row>
    <row r="918" spans="2:11" ht="1.5" customHeight="1">
      <c r="D918" s="197"/>
      <c r="E918" s="203"/>
      <c r="F918" s="204"/>
      <c r="G918" s="205"/>
      <c r="H918" s="206"/>
      <c r="I918" s="204"/>
      <c r="J918" s="207"/>
      <c r="K918" s="197"/>
    </row>
    <row r="919" spans="2:11" ht="30">
      <c r="B919" s="193" t="s">
        <v>429</v>
      </c>
      <c r="D919" s="197"/>
      <c r="E919" s="208"/>
      <c r="F919" s="200"/>
      <c r="G919" s="202" t="s">
        <v>254</v>
      </c>
      <c r="H919" s="198"/>
      <c r="I919" s="128"/>
      <c r="J919" s="209"/>
      <c r="K919" s="197"/>
    </row>
    <row r="920" spans="2:11">
      <c r="D920" s="197"/>
      <c r="E920" s="208"/>
      <c r="F920" s="200"/>
      <c r="G920" s="196"/>
      <c r="H920" s="194"/>
      <c r="I920" s="128"/>
      <c r="J920" s="209"/>
      <c r="K920" s="197"/>
    </row>
    <row r="921" spans="2:11" ht="30">
      <c r="D921" s="197"/>
      <c r="E921" s="208"/>
      <c r="F921" s="200"/>
      <c r="G921" s="196"/>
      <c r="H921" s="201" t="s">
        <v>374</v>
      </c>
      <c r="I921" s="128"/>
      <c r="J921" s="209"/>
      <c r="K921" s="197"/>
    </row>
    <row r="922" spans="2:11">
      <c r="D922" s="197"/>
      <c r="E922" s="208"/>
      <c r="F922" s="200"/>
      <c r="G922" s="196"/>
      <c r="H922" s="194"/>
      <c r="I922" s="128"/>
      <c r="J922" s="209"/>
      <c r="K922" s="197"/>
    </row>
    <row r="923" spans="2:11" ht="1.5" customHeight="1">
      <c r="D923" s="197"/>
      <c r="E923" s="210"/>
      <c r="F923" s="213"/>
      <c r="G923" s="214"/>
      <c r="H923" s="215"/>
      <c r="I923" s="213"/>
      <c r="J923" s="211"/>
      <c r="K923" s="197"/>
    </row>
    <row r="924" spans="2:11" ht="345">
      <c r="B924" s="193" t="s">
        <v>428</v>
      </c>
      <c r="D924" s="197"/>
      <c r="E924" s="197"/>
      <c r="F924" s="212"/>
      <c r="G924" s="216"/>
      <c r="H924" s="199"/>
      <c r="I924" s="212"/>
      <c r="J924" s="197"/>
      <c r="K924" s="197"/>
    </row>
    <row r="925" spans="2:11" ht="150">
      <c r="B925" s="193" t="s">
        <v>427</v>
      </c>
      <c r="D925" s="197"/>
      <c r="E925" s="212"/>
      <c r="F925" s="212"/>
      <c r="G925" s="216"/>
      <c r="H925" s="199"/>
      <c r="I925" s="212"/>
      <c r="J925" s="212"/>
      <c r="K925" s="197"/>
    </row>
    <row r="926" spans="2:11" ht="1.5" customHeight="1">
      <c r="D926" s="197"/>
      <c r="E926" s="203"/>
      <c r="F926" s="204"/>
      <c r="G926" s="205"/>
      <c r="H926" s="206"/>
      <c r="I926" s="204"/>
      <c r="J926" s="207"/>
      <c r="K926" s="197"/>
    </row>
    <row r="927" spans="2:11" ht="30">
      <c r="B927" s="193" t="s">
        <v>429</v>
      </c>
      <c r="D927" s="197"/>
      <c r="E927" s="208"/>
      <c r="F927" s="200"/>
      <c r="G927" s="202" t="s">
        <v>91</v>
      </c>
      <c r="H927" s="198"/>
      <c r="I927" s="128"/>
      <c r="J927" s="209"/>
      <c r="K927" s="197"/>
    </row>
    <row r="928" spans="2:11">
      <c r="D928" s="197"/>
      <c r="E928" s="208"/>
      <c r="F928" s="200"/>
      <c r="G928" s="196"/>
      <c r="H928" s="194"/>
      <c r="I928" s="128"/>
      <c r="J928" s="209"/>
      <c r="K928" s="197"/>
    </row>
    <row r="929" spans="2:11" ht="150">
      <c r="D929" s="197"/>
      <c r="E929" s="208"/>
      <c r="F929" s="200"/>
      <c r="G929" s="196"/>
      <c r="H929" s="201" t="s">
        <v>319</v>
      </c>
      <c r="I929" s="128"/>
      <c r="J929" s="209"/>
      <c r="K929" s="197"/>
    </row>
    <row r="930" spans="2:11">
      <c r="D930" s="197"/>
      <c r="E930" s="208"/>
      <c r="F930" s="200"/>
      <c r="G930" s="196"/>
      <c r="H930" s="194"/>
      <c r="I930" s="128"/>
      <c r="J930" s="209"/>
      <c r="K930" s="197"/>
    </row>
    <row r="931" spans="2:11" ht="1.5" customHeight="1">
      <c r="D931" s="197"/>
      <c r="E931" s="210"/>
      <c r="F931" s="213"/>
      <c r="G931" s="214"/>
      <c r="H931" s="215"/>
      <c r="I931" s="213"/>
      <c r="J931" s="211"/>
      <c r="K931" s="197"/>
    </row>
    <row r="932" spans="2:11" ht="345">
      <c r="B932" s="193" t="s">
        <v>428</v>
      </c>
      <c r="D932" s="197"/>
      <c r="E932" s="197"/>
      <c r="F932" s="212"/>
      <c r="G932" s="216"/>
      <c r="H932" s="199"/>
      <c r="I932" s="212"/>
      <c r="J932" s="197"/>
      <c r="K932" s="197"/>
    </row>
    <row r="933" spans="2:11" ht="150">
      <c r="B933" s="193" t="s">
        <v>427</v>
      </c>
      <c r="D933" s="197"/>
      <c r="E933" s="212"/>
      <c r="F933" s="212"/>
      <c r="G933" s="216"/>
      <c r="H933" s="199"/>
      <c r="I933" s="212"/>
      <c r="J933" s="212"/>
      <c r="K933" s="197"/>
    </row>
    <row r="934" spans="2:11" ht="1.5" customHeight="1">
      <c r="D934" s="197"/>
      <c r="E934" s="203"/>
      <c r="F934" s="204"/>
      <c r="G934" s="205"/>
      <c r="H934" s="206"/>
      <c r="I934" s="204"/>
      <c r="J934" s="207"/>
      <c r="K934" s="197"/>
    </row>
    <row r="935" spans="2:11" ht="30">
      <c r="B935" s="193" t="s">
        <v>429</v>
      </c>
      <c r="D935" s="197"/>
      <c r="E935" s="208"/>
      <c r="F935" s="200"/>
      <c r="G935" s="202" t="s">
        <v>37</v>
      </c>
      <c r="H935" s="198"/>
      <c r="I935" s="128"/>
      <c r="J935" s="209"/>
      <c r="K935" s="197"/>
    </row>
    <row r="936" spans="2:11">
      <c r="D936" s="197"/>
      <c r="E936" s="208"/>
      <c r="F936" s="200"/>
      <c r="G936" s="196"/>
      <c r="H936" s="194"/>
      <c r="I936" s="128"/>
      <c r="J936" s="209"/>
      <c r="K936" s="197"/>
    </row>
    <row r="937" spans="2:11" ht="45">
      <c r="D937" s="197"/>
      <c r="E937" s="208"/>
      <c r="F937" s="200"/>
      <c r="G937" s="196"/>
      <c r="H937" s="201" t="s">
        <v>320</v>
      </c>
      <c r="I937" s="128"/>
      <c r="J937" s="209"/>
      <c r="K937" s="197"/>
    </row>
    <row r="938" spans="2:11">
      <c r="D938" s="197"/>
      <c r="E938" s="208"/>
      <c r="F938" s="200"/>
      <c r="G938" s="196"/>
      <c r="H938" s="194"/>
      <c r="I938" s="128"/>
      <c r="J938" s="209"/>
      <c r="K938" s="197"/>
    </row>
    <row r="939" spans="2:11" ht="1.5" customHeight="1">
      <c r="D939" s="197"/>
      <c r="E939" s="210"/>
      <c r="F939" s="213"/>
      <c r="G939" s="214"/>
      <c r="H939" s="215"/>
      <c r="I939" s="213"/>
      <c r="J939" s="211"/>
      <c r="K939" s="197"/>
    </row>
    <row r="940" spans="2:11" ht="345">
      <c r="B940" s="193" t="s">
        <v>428</v>
      </c>
      <c r="D940" s="197"/>
      <c r="E940" s="197"/>
      <c r="F940" s="212"/>
      <c r="G940" s="216"/>
      <c r="H940" s="199"/>
      <c r="I940" s="212"/>
      <c r="J940" s="197"/>
      <c r="K940" s="197"/>
    </row>
    <row r="941" spans="2:11" ht="150">
      <c r="B941" s="193" t="s">
        <v>427</v>
      </c>
      <c r="D941" s="197"/>
      <c r="E941" s="212"/>
      <c r="F941" s="212"/>
      <c r="G941" s="216"/>
      <c r="H941" s="199"/>
      <c r="I941" s="212"/>
      <c r="J941" s="212"/>
      <c r="K941" s="197"/>
    </row>
    <row r="942" spans="2:11" ht="1.5" customHeight="1">
      <c r="D942" s="197"/>
      <c r="E942" s="203"/>
      <c r="F942" s="204"/>
      <c r="G942" s="205"/>
      <c r="H942" s="206"/>
      <c r="I942" s="204"/>
      <c r="J942" s="207"/>
      <c r="K942" s="197"/>
    </row>
    <row r="943" spans="2:11" ht="30">
      <c r="B943" s="193" t="s">
        <v>429</v>
      </c>
      <c r="D943" s="197"/>
      <c r="E943" s="208"/>
      <c r="F943" s="200"/>
      <c r="G943" s="202" t="s">
        <v>321</v>
      </c>
      <c r="H943" s="198"/>
      <c r="I943" s="128"/>
      <c r="J943" s="209"/>
      <c r="K943" s="197"/>
    </row>
    <row r="944" spans="2:11">
      <c r="D944" s="197"/>
      <c r="E944" s="208"/>
      <c r="F944" s="200"/>
      <c r="G944" s="196"/>
      <c r="H944" s="194"/>
      <c r="I944" s="128"/>
      <c r="J944" s="209"/>
      <c r="K944" s="197"/>
    </row>
    <row r="945" spans="2:11">
      <c r="D945" s="197"/>
      <c r="E945" s="208"/>
      <c r="F945" s="200"/>
      <c r="G945" s="196"/>
      <c r="H945" s="201" t="s">
        <v>255</v>
      </c>
      <c r="I945" s="128"/>
      <c r="J945" s="209"/>
      <c r="K945" s="197"/>
    </row>
    <row r="946" spans="2:11">
      <c r="D946" s="197"/>
      <c r="E946" s="208"/>
      <c r="F946" s="200"/>
      <c r="G946" s="196"/>
      <c r="H946" s="194"/>
      <c r="I946" s="128"/>
      <c r="J946" s="209"/>
      <c r="K946" s="197"/>
    </row>
    <row r="947" spans="2:11" ht="1.5" customHeight="1">
      <c r="D947" s="197"/>
      <c r="E947" s="210"/>
      <c r="F947" s="213"/>
      <c r="G947" s="214"/>
      <c r="H947" s="215"/>
      <c r="I947" s="213"/>
      <c r="J947" s="211"/>
      <c r="K947" s="197"/>
    </row>
    <row r="948" spans="2:11" ht="345">
      <c r="B948" s="193" t="s">
        <v>428</v>
      </c>
      <c r="D948" s="197"/>
      <c r="E948" s="197"/>
      <c r="F948" s="212"/>
      <c r="G948" s="216"/>
      <c r="H948" s="199"/>
      <c r="I948" s="212"/>
      <c r="J948" s="197"/>
      <c r="K948" s="197"/>
    </row>
    <row r="949" spans="2:11" ht="150">
      <c r="B949" s="193" t="s">
        <v>427</v>
      </c>
      <c r="D949" s="197"/>
      <c r="E949" s="212"/>
      <c r="F949" s="212"/>
      <c r="G949" s="216"/>
      <c r="H949" s="199"/>
      <c r="I949" s="212"/>
      <c r="J949" s="212"/>
      <c r="K949" s="197"/>
    </row>
    <row r="950" spans="2:11" ht="1.5" customHeight="1">
      <c r="D950" s="197"/>
      <c r="E950" s="203"/>
      <c r="F950" s="204"/>
      <c r="G950" s="205"/>
      <c r="H950" s="206"/>
      <c r="I950" s="204"/>
      <c r="J950" s="207"/>
      <c r="K950" s="197"/>
    </row>
    <row r="951" spans="2:11" ht="30">
      <c r="B951" s="193" t="s">
        <v>429</v>
      </c>
      <c r="D951" s="197"/>
      <c r="E951" s="208"/>
      <c r="F951" s="200"/>
      <c r="G951" s="202" t="s">
        <v>140</v>
      </c>
      <c r="H951" s="198"/>
      <c r="I951" s="128"/>
      <c r="J951" s="209"/>
      <c r="K951" s="197"/>
    </row>
    <row r="952" spans="2:11">
      <c r="D952" s="197"/>
      <c r="E952" s="208"/>
      <c r="F952" s="200"/>
      <c r="G952" s="196"/>
      <c r="H952" s="194"/>
      <c r="I952" s="128"/>
      <c r="J952" s="209"/>
      <c r="K952" s="197"/>
    </row>
    <row r="953" spans="2:11" ht="45">
      <c r="D953" s="197"/>
      <c r="E953" s="208"/>
      <c r="F953" s="200"/>
      <c r="G953" s="196"/>
      <c r="H953" s="201" t="s">
        <v>256</v>
      </c>
      <c r="I953" s="128"/>
      <c r="J953" s="209"/>
      <c r="K953" s="197"/>
    </row>
    <row r="954" spans="2:11">
      <c r="D954" s="197"/>
      <c r="E954" s="208"/>
      <c r="F954" s="200"/>
      <c r="G954" s="196"/>
      <c r="H954" s="194"/>
      <c r="I954" s="128"/>
      <c r="J954" s="209"/>
      <c r="K954" s="197"/>
    </row>
    <row r="955" spans="2:11" ht="1.5" customHeight="1">
      <c r="D955" s="197"/>
      <c r="E955" s="210"/>
      <c r="F955" s="213"/>
      <c r="G955" s="214"/>
      <c r="H955" s="215"/>
      <c r="I955" s="213"/>
      <c r="J955" s="211"/>
      <c r="K955" s="197"/>
    </row>
    <row r="956" spans="2:11" ht="345">
      <c r="B956" s="193" t="s">
        <v>428</v>
      </c>
      <c r="D956" s="197"/>
      <c r="E956" s="197"/>
      <c r="F956" s="212"/>
      <c r="G956" s="216"/>
      <c r="H956" s="199"/>
      <c r="I956" s="212"/>
      <c r="J956" s="197"/>
      <c r="K956" s="197"/>
    </row>
    <row r="957" spans="2:11" ht="150">
      <c r="B957" s="193" t="s">
        <v>427</v>
      </c>
      <c r="D957" s="197"/>
      <c r="E957" s="212"/>
      <c r="F957" s="212"/>
      <c r="G957" s="216"/>
      <c r="H957" s="199"/>
      <c r="I957" s="212"/>
      <c r="J957" s="212"/>
      <c r="K957" s="197"/>
    </row>
    <row r="958" spans="2:11" ht="1.5" customHeight="1">
      <c r="D958" s="197"/>
      <c r="E958" s="203"/>
      <c r="F958" s="204"/>
      <c r="G958" s="205"/>
      <c r="H958" s="206"/>
      <c r="I958" s="204"/>
      <c r="J958" s="207"/>
      <c r="K958" s="197"/>
    </row>
    <row r="959" spans="2:11" ht="30">
      <c r="B959" s="193" t="s">
        <v>429</v>
      </c>
      <c r="D959" s="197"/>
      <c r="E959" s="208"/>
      <c r="F959" s="200"/>
      <c r="G959" s="202" t="s">
        <v>139</v>
      </c>
      <c r="H959" s="198"/>
      <c r="I959" s="128"/>
      <c r="J959" s="209"/>
      <c r="K959" s="197"/>
    </row>
    <row r="960" spans="2:11">
      <c r="D960" s="197"/>
      <c r="E960" s="208"/>
      <c r="F960" s="200"/>
      <c r="G960" s="196"/>
      <c r="H960" s="194"/>
      <c r="I960" s="128"/>
      <c r="J960" s="209"/>
      <c r="K960" s="197"/>
    </row>
    <row r="961" spans="2:11" ht="45">
      <c r="D961" s="197"/>
      <c r="E961" s="208"/>
      <c r="F961" s="200"/>
      <c r="G961" s="196"/>
      <c r="H961" s="201" t="s">
        <v>256</v>
      </c>
      <c r="I961" s="128"/>
      <c r="J961" s="209"/>
      <c r="K961" s="197"/>
    </row>
    <row r="962" spans="2:11">
      <c r="D962" s="197"/>
      <c r="E962" s="208"/>
      <c r="F962" s="200"/>
      <c r="G962" s="196"/>
      <c r="H962" s="194"/>
      <c r="I962" s="128"/>
      <c r="J962" s="209"/>
      <c r="K962" s="197"/>
    </row>
    <row r="963" spans="2:11" ht="1.5" customHeight="1">
      <c r="D963" s="197"/>
      <c r="E963" s="210"/>
      <c r="F963" s="213"/>
      <c r="G963" s="214"/>
      <c r="H963" s="215"/>
      <c r="I963" s="213"/>
      <c r="J963" s="211"/>
      <c r="K963" s="197"/>
    </row>
    <row r="964" spans="2:11" ht="345">
      <c r="B964" s="193" t="s">
        <v>428</v>
      </c>
      <c r="D964" s="197"/>
      <c r="E964" s="197"/>
      <c r="F964" s="212"/>
      <c r="G964" s="216"/>
      <c r="H964" s="199"/>
      <c r="I964" s="212"/>
      <c r="J964" s="197"/>
      <c r="K964" s="197"/>
    </row>
    <row r="965" spans="2:11" ht="150">
      <c r="B965" s="193" t="s">
        <v>427</v>
      </c>
      <c r="D965" s="197"/>
      <c r="E965" s="212"/>
      <c r="F965" s="212"/>
      <c r="G965" s="216"/>
      <c r="H965" s="199"/>
      <c r="I965" s="212"/>
      <c r="J965" s="212"/>
      <c r="K965" s="197"/>
    </row>
    <row r="966" spans="2:11" ht="1.5" customHeight="1">
      <c r="D966" s="197"/>
      <c r="E966" s="203"/>
      <c r="F966" s="204"/>
      <c r="G966" s="205"/>
      <c r="H966" s="206"/>
      <c r="I966" s="204"/>
      <c r="J966" s="207"/>
      <c r="K966" s="197"/>
    </row>
    <row r="967" spans="2:11" ht="30">
      <c r="B967" s="193" t="s">
        <v>429</v>
      </c>
      <c r="D967" s="197"/>
      <c r="E967" s="208"/>
      <c r="F967" s="200"/>
      <c r="G967" s="202" t="s">
        <v>433</v>
      </c>
      <c r="H967" s="198"/>
      <c r="I967" s="128"/>
      <c r="J967" s="209"/>
      <c r="K967" s="197"/>
    </row>
    <row r="968" spans="2:11">
      <c r="D968" s="197"/>
      <c r="E968" s="208"/>
      <c r="F968" s="200"/>
      <c r="G968" s="196"/>
      <c r="H968" s="194"/>
      <c r="I968" s="128"/>
      <c r="J968" s="209"/>
      <c r="K968" s="197"/>
    </row>
    <row r="969" spans="2:11" ht="75">
      <c r="D969" s="197"/>
      <c r="E969" s="208"/>
      <c r="F969" s="200"/>
      <c r="G969" s="196"/>
      <c r="H969" s="201" t="s">
        <v>257</v>
      </c>
      <c r="I969" s="128"/>
      <c r="J969" s="209"/>
      <c r="K969" s="197"/>
    </row>
    <row r="970" spans="2:11">
      <c r="D970" s="197"/>
      <c r="E970" s="208"/>
      <c r="F970" s="200"/>
      <c r="G970" s="196"/>
      <c r="H970" s="194"/>
      <c r="I970" s="128"/>
      <c r="J970" s="209"/>
      <c r="K970" s="197"/>
    </row>
    <row r="971" spans="2:11" ht="1.5" customHeight="1">
      <c r="D971" s="197"/>
      <c r="E971" s="210"/>
      <c r="F971" s="213"/>
      <c r="G971" s="214"/>
      <c r="H971" s="215"/>
      <c r="I971" s="213"/>
      <c r="J971" s="211"/>
      <c r="K971" s="197"/>
    </row>
    <row r="972" spans="2:11" ht="345">
      <c r="B972" s="193" t="s">
        <v>428</v>
      </c>
      <c r="D972" s="197"/>
      <c r="E972" s="197"/>
      <c r="F972" s="212"/>
      <c r="G972" s="216"/>
      <c r="H972" s="199"/>
      <c r="I972" s="212"/>
      <c r="J972" s="197"/>
      <c r="K972" s="197"/>
    </row>
    <row r="973" spans="2:11" ht="150">
      <c r="B973" s="193" t="s">
        <v>427</v>
      </c>
      <c r="D973" s="197"/>
      <c r="E973" s="212"/>
      <c r="F973" s="212"/>
      <c r="G973" s="216"/>
      <c r="H973" s="199"/>
      <c r="I973" s="212"/>
      <c r="J973" s="212"/>
      <c r="K973" s="197"/>
    </row>
    <row r="974" spans="2:11" ht="1.5" customHeight="1">
      <c r="D974" s="197"/>
      <c r="E974" s="203"/>
      <c r="F974" s="204"/>
      <c r="G974" s="205"/>
      <c r="H974" s="206"/>
      <c r="I974" s="204"/>
      <c r="J974" s="207"/>
      <c r="K974" s="197"/>
    </row>
    <row r="975" spans="2:11" ht="30">
      <c r="B975" s="193" t="s">
        <v>429</v>
      </c>
      <c r="D975" s="197"/>
      <c r="E975" s="208"/>
      <c r="F975" s="200"/>
      <c r="G975" s="202" t="s">
        <v>369</v>
      </c>
      <c r="H975" s="198"/>
      <c r="I975" s="128"/>
      <c r="J975" s="209"/>
      <c r="K975" s="197"/>
    </row>
    <row r="976" spans="2:11">
      <c r="D976" s="197"/>
      <c r="E976" s="208"/>
      <c r="F976" s="200"/>
      <c r="G976" s="196"/>
      <c r="H976" s="194"/>
      <c r="I976" s="128"/>
      <c r="J976" s="209"/>
      <c r="K976" s="197"/>
    </row>
    <row r="977" spans="2:11">
      <c r="D977" s="197"/>
      <c r="E977" s="208"/>
      <c r="F977" s="200"/>
      <c r="G977" s="196"/>
      <c r="H977" s="201"/>
      <c r="I977" s="128"/>
      <c r="J977" s="209"/>
      <c r="K977" s="197"/>
    </row>
    <row r="978" spans="2:11">
      <c r="D978" s="197"/>
      <c r="E978" s="208"/>
      <c r="F978" s="200"/>
      <c r="G978" s="196"/>
      <c r="H978" s="194"/>
      <c r="I978" s="128"/>
      <c r="J978" s="209"/>
      <c r="K978" s="197"/>
    </row>
    <row r="979" spans="2:11" ht="1.5" customHeight="1">
      <c r="D979" s="197"/>
      <c r="E979" s="210"/>
      <c r="F979" s="213"/>
      <c r="G979" s="214"/>
      <c r="H979" s="215"/>
      <c r="I979" s="213"/>
      <c r="J979" s="211"/>
      <c r="K979" s="197"/>
    </row>
    <row r="980" spans="2:11" ht="345">
      <c r="B980" s="193" t="s">
        <v>428</v>
      </c>
      <c r="D980" s="197"/>
      <c r="E980" s="197"/>
      <c r="F980" s="212"/>
      <c r="G980" s="216"/>
      <c r="H980" s="199"/>
      <c r="I980" s="212"/>
      <c r="J980" s="197"/>
      <c r="K980" s="197"/>
    </row>
    <row r="981" spans="2:11" ht="150">
      <c r="B981" s="193" t="s">
        <v>427</v>
      </c>
      <c r="D981" s="197"/>
      <c r="E981" s="212"/>
      <c r="F981" s="212"/>
      <c r="G981" s="216"/>
      <c r="H981" s="199"/>
      <c r="I981" s="212"/>
      <c r="J981" s="212"/>
      <c r="K981" s="197"/>
    </row>
    <row r="982" spans="2:11" ht="1.5" customHeight="1">
      <c r="D982" s="197"/>
      <c r="E982" s="203"/>
      <c r="F982" s="204"/>
      <c r="G982" s="205"/>
      <c r="H982" s="206"/>
      <c r="I982" s="204"/>
      <c r="J982" s="207"/>
      <c r="K982" s="197"/>
    </row>
    <row r="983" spans="2:11" ht="30">
      <c r="B983" s="193" t="s">
        <v>429</v>
      </c>
      <c r="D983" s="197"/>
      <c r="E983" s="208"/>
      <c r="F983" s="200"/>
      <c r="G983" s="202" t="s">
        <v>375</v>
      </c>
      <c r="H983" s="198"/>
      <c r="I983" s="128"/>
      <c r="J983" s="209"/>
      <c r="K983" s="197"/>
    </row>
    <row r="984" spans="2:11">
      <c r="D984" s="197"/>
      <c r="E984" s="208"/>
      <c r="F984" s="200"/>
      <c r="G984" s="196"/>
      <c r="H984" s="194"/>
      <c r="I984" s="128"/>
      <c r="J984" s="209"/>
      <c r="K984" s="197"/>
    </row>
    <row r="985" spans="2:11">
      <c r="D985" s="197"/>
      <c r="E985" s="208"/>
      <c r="F985" s="200"/>
      <c r="G985" s="196"/>
      <c r="H985" s="201"/>
      <c r="I985" s="128"/>
      <c r="J985" s="209"/>
      <c r="K985" s="197"/>
    </row>
    <row r="986" spans="2:11">
      <c r="D986" s="197"/>
      <c r="E986" s="208"/>
      <c r="F986" s="200"/>
      <c r="G986" s="196"/>
      <c r="H986" s="194"/>
      <c r="I986" s="128"/>
      <c r="J986" s="209"/>
      <c r="K986" s="197"/>
    </row>
    <row r="987" spans="2:11" ht="1.5" customHeight="1">
      <c r="D987" s="197"/>
      <c r="E987" s="210"/>
      <c r="F987" s="213"/>
      <c r="G987" s="214"/>
      <c r="H987" s="215"/>
      <c r="I987" s="213"/>
      <c r="J987" s="211"/>
      <c r="K987" s="197"/>
    </row>
    <row r="988" spans="2:11" ht="345">
      <c r="B988" s="193" t="s">
        <v>428</v>
      </c>
      <c r="D988" s="197"/>
      <c r="E988" s="197"/>
      <c r="F988" s="212"/>
      <c r="G988" s="216"/>
      <c r="H988" s="199"/>
      <c r="I988" s="212"/>
      <c r="J988" s="197"/>
      <c r="K988" s="197"/>
    </row>
    <row r="989" spans="2:11" ht="150">
      <c r="B989" s="193" t="s">
        <v>427</v>
      </c>
      <c r="D989" s="197"/>
      <c r="E989" s="212"/>
      <c r="F989" s="212"/>
      <c r="G989" s="216"/>
      <c r="H989" s="199"/>
      <c r="I989" s="212"/>
      <c r="J989" s="212"/>
      <c r="K989" s="197"/>
    </row>
    <row r="990" spans="2:11" ht="1.5" customHeight="1">
      <c r="D990" s="197"/>
      <c r="E990" s="203"/>
      <c r="F990" s="204"/>
      <c r="G990" s="205"/>
      <c r="H990" s="206"/>
      <c r="I990" s="204"/>
      <c r="J990" s="207"/>
      <c r="K990" s="197"/>
    </row>
    <row r="991" spans="2:11" ht="30">
      <c r="B991" s="193" t="s">
        <v>429</v>
      </c>
      <c r="D991" s="197"/>
      <c r="E991" s="208"/>
      <c r="F991" s="200"/>
      <c r="G991" s="202" t="s">
        <v>204</v>
      </c>
      <c r="H991" s="198"/>
      <c r="I991" s="128"/>
      <c r="J991" s="209"/>
      <c r="K991" s="197"/>
    </row>
    <row r="992" spans="2:11">
      <c r="D992" s="197"/>
      <c r="E992" s="208"/>
      <c r="F992" s="200"/>
      <c r="G992" s="196"/>
      <c r="H992" s="194"/>
      <c r="I992" s="128"/>
      <c r="J992" s="209"/>
      <c r="K992" s="197"/>
    </row>
    <row r="993" spans="2:11" ht="240">
      <c r="D993" s="197"/>
      <c r="E993" s="208"/>
      <c r="F993" s="200"/>
      <c r="G993" s="196"/>
      <c r="H993" s="201" t="s">
        <v>322</v>
      </c>
      <c r="I993" s="128"/>
      <c r="J993" s="209"/>
      <c r="K993" s="197"/>
    </row>
    <row r="994" spans="2:11">
      <c r="D994" s="197"/>
      <c r="E994" s="208"/>
      <c r="F994" s="200"/>
      <c r="G994" s="196"/>
      <c r="H994" s="194"/>
      <c r="I994" s="128"/>
      <c r="J994" s="209"/>
      <c r="K994" s="197"/>
    </row>
    <row r="995" spans="2:11" ht="1.5" customHeight="1">
      <c r="D995" s="197"/>
      <c r="E995" s="210"/>
      <c r="F995" s="213"/>
      <c r="G995" s="214"/>
      <c r="H995" s="215"/>
      <c r="I995" s="213"/>
      <c r="J995" s="211"/>
      <c r="K995" s="197"/>
    </row>
    <row r="996" spans="2:11" ht="345">
      <c r="B996" s="193" t="s">
        <v>428</v>
      </c>
      <c r="D996" s="197"/>
      <c r="E996" s="197"/>
      <c r="F996" s="212"/>
      <c r="G996" s="216"/>
      <c r="H996" s="199"/>
      <c r="I996" s="212"/>
      <c r="J996" s="197"/>
      <c r="K996" s="197"/>
    </row>
    <row r="997" spans="2:11" ht="150">
      <c r="B997" s="193" t="s">
        <v>427</v>
      </c>
      <c r="D997" s="197"/>
      <c r="E997" s="212"/>
      <c r="F997" s="212"/>
      <c r="G997" s="216"/>
      <c r="H997" s="199"/>
      <c r="I997" s="212"/>
      <c r="J997" s="212"/>
      <c r="K997" s="197"/>
    </row>
    <row r="998" spans="2:11" ht="1.5" customHeight="1">
      <c r="D998" s="197"/>
      <c r="E998" s="203"/>
      <c r="F998" s="204"/>
      <c r="G998" s="205"/>
      <c r="H998" s="206"/>
      <c r="I998" s="204"/>
      <c r="J998" s="207"/>
      <c r="K998" s="197"/>
    </row>
    <row r="999" spans="2:11" ht="30">
      <c r="B999" s="193" t="s">
        <v>429</v>
      </c>
      <c r="D999" s="197"/>
      <c r="E999" s="208"/>
      <c r="F999" s="200"/>
      <c r="G999" s="202" t="s">
        <v>431</v>
      </c>
      <c r="H999" s="198"/>
      <c r="I999" s="128"/>
      <c r="J999" s="209"/>
      <c r="K999" s="197"/>
    </row>
    <row r="1000" spans="2:11">
      <c r="D1000" s="197"/>
      <c r="E1000" s="208"/>
      <c r="F1000" s="200"/>
      <c r="G1000" s="196"/>
      <c r="H1000" s="194"/>
      <c r="I1000" s="128"/>
      <c r="J1000" s="209"/>
      <c r="K1000" s="197"/>
    </row>
    <row r="1001" spans="2:11">
      <c r="D1001" s="197"/>
      <c r="E1001" s="208"/>
      <c r="F1001" s="200"/>
      <c r="G1001" s="196"/>
      <c r="H1001" s="201" t="s">
        <v>432</v>
      </c>
      <c r="I1001" s="128"/>
      <c r="J1001" s="209"/>
      <c r="K1001" s="197"/>
    </row>
    <row r="1002" spans="2:11">
      <c r="D1002" s="197"/>
      <c r="E1002" s="208"/>
      <c r="F1002" s="200"/>
      <c r="G1002" s="196"/>
      <c r="H1002" s="194"/>
      <c r="I1002" s="128"/>
      <c r="J1002" s="209"/>
      <c r="K1002" s="197"/>
    </row>
    <row r="1003" spans="2:11" ht="1.5" customHeight="1">
      <c r="D1003" s="197"/>
      <c r="E1003" s="210"/>
      <c r="F1003" s="213"/>
      <c r="G1003" s="214"/>
      <c r="H1003" s="215"/>
      <c r="I1003" s="213"/>
      <c r="J1003" s="211"/>
      <c r="K1003" s="197"/>
    </row>
    <row r="1004" spans="2:11" ht="345">
      <c r="B1004" s="193" t="s">
        <v>428</v>
      </c>
      <c r="D1004" s="197"/>
      <c r="E1004" s="197"/>
      <c r="F1004" s="212"/>
      <c r="G1004" s="216"/>
      <c r="H1004" s="199"/>
      <c r="I1004" s="212"/>
      <c r="J1004" s="197"/>
      <c r="K1004" s="197"/>
    </row>
    <row r="1005" spans="2:11" ht="150">
      <c r="B1005" s="193" t="s">
        <v>427</v>
      </c>
      <c r="D1005" s="197"/>
      <c r="E1005" s="212"/>
      <c r="F1005" s="212"/>
      <c r="G1005" s="216"/>
      <c r="H1005" s="199"/>
      <c r="I1005" s="212"/>
      <c r="J1005" s="212"/>
      <c r="K1005" s="197"/>
    </row>
    <row r="1006" spans="2:11" ht="1.5" customHeight="1">
      <c r="D1006" s="197"/>
      <c r="E1006" s="203"/>
      <c r="F1006" s="204"/>
      <c r="G1006" s="205"/>
      <c r="H1006" s="206"/>
      <c r="I1006" s="204"/>
      <c r="J1006" s="207"/>
      <c r="K1006" s="197"/>
    </row>
    <row r="1007" spans="2:11" ht="30">
      <c r="B1007" s="193" t="s">
        <v>429</v>
      </c>
      <c r="D1007" s="197"/>
      <c r="E1007" s="208"/>
      <c r="F1007" s="200"/>
      <c r="G1007" s="202" t="s">
        <v>93</v>
      </c>
      <c r="H1007" s="198"/>
      <c r="I1007" s="128"/>
      <c r="J1007" s="209"/>
      <c r="K1007" s="197"/>
    </row>
    <row r="1008" spans="2:11">
      <c r="D1008" s="197"/>
      <c r="E1008" s="208"/>
      <c r="F1008" s="200"/>
      <c r="G1008" s="196"/>
      <c r="H1008" s="194"/>
      <c r="I1008" s="128"/>
      <c r="J1008" s="209"/>
      <c r="K1008" s="197"/>
    </row>
    <row r="1009" spans="2:11">
      <c r="D1009" s="197"/>
      <c r="E1009" s="208"/>
      <c r="F1009" s="200"/>
      <c r="G1009" s="196"/>
      <c r="H1009" s="201" t="s">
        <v>297</v>
      </c>
      <c r="I1009" s="128"/>
      <c r="J1009" s="209"/>
      <c r="K1009" s="197"/>
    </row>
    <row r="1010" spans="2:11">
      <c r="D1010" s="197"/>
      <c r="E1010" s="208"/>
      <c r="F1010" s="200"/>
      <c r="G1010" s="196"/>
      <c r="H1010" s="194"/>
      <c r="I1010" s="128"/>
      <c r="J1010" s="209"/>
      <c r="K1010" s="197"/>
    </row>
    <row r="1011" spans="2:11" ht="1.5" customHeight="1">
      <c r="D1011" s="197"/>
      <c r="E1011" s="210"/>
      <c r="F1011" s="213"/>
      <c r="G1011" s="214"/>
      <c r="H1011" s="215"/>
      <c r="I1011" s="213"/>
      <c r="J1011" s="211"/>
      <c r="K1011" s="197"/>
    </row>
    <row r="1012" spans="2:11" ht="345">
      <c r="B1012" s="193" t="s">
        <v>428</v>
      </c>
      <c r="D1012" s="197"/>
      <c r="E1012" s="197"/>
      <c r="F1012" s="212"/>
      <c r="G1012" s="216"/>
      <c r="H1012" s="199"/>
      <c r="I1012" s="212"/>
      <c r="J1012" s="197"/>
      <c r="K1012" s="197"/>
    </row>
    <row r="1013" spans="2:11" ht="150">
      <c r="B1013" s="193" t="s">
        <v>427</v>
      </c>
      <c r="D1013" s="197"/>
      <c r="E1013" s="212"/>
      <c r="F1013" s="212"/>
      <c r="G1013" s="216"/>
      <c r="H1013" s="199"/>
      <c r="I1013" s="212"/>
      <c r="J1013" s="212"/>
      <c r="K1013" s="197"/>
    </row>
    <row r="1014" spans="2:11" ht="1.5" customHeight="1">
      <c r="D1014" s="197"/>
      <c r="E1014" s="203"/>
      <c r="F1014" s="204"/>
      <c r="G1014" s="205"/>
      <c r="H1014" s="206"/>
      <c r="I1014" s="204"/>
      <c r="J1014" s="207"/>
      <c r="K1014" s="197"/>
    </row>
    <row r="1015" spans="2:11" ht="30">
      <c r="B1015" s="193" t="s">
        <v>429</v>
      </c>
      <c r="D1015" s="197"/>
      <c r="E1015" s="208"/>
      <c r="F1015" s="200"/>
      <c r="G1015" s="457" t="s">
        <v>165</v>
      </c>
      <c r="H1015" s="457"/>
      <c r="I1015" s="457"/>
      <c r="J1015" s="209"/>
      <c r="K1015" s="197"/>
    </row>
    <row r="1016" spans="2:11">
      <c r="D1016" s="197"/>
      <c r="E1016" s="208"/>
      <c r="F1016" s="200"/>
      <c r="G1016" s="196"/>
      <c r="H1016" s="194"/>
      <c r="I1016" s="128"/>
      <c r="J1016" s="209"/>
      <c r="K1016" s="197"/>
    </row>
    <row r="1017" spans="2:11">
      <c r="D1017" s="197"/>
      <c r="E1017" s="208"/>
      <c r="F1017" s="200"/>
      <c r="G1017" s="196"/>
      <c r="H1017" s="201" t="s">
        <v>297</v>
      </c>
      <c r="I1017" s="128"/>
      <c r="J1017" s="209"/>
      <c r="K1017" s="197"/>
    </row>
    <row r="1018" spans="2:11">
      <c r="D1018" s="197"/>
      <c r="E1018" s="208"/>
      <c r="F1018" s="200"/>
      <c r="G1018" s="196"/>
      <c r="H1018" s="194"/>
      <c r="I1018" s="128"/>
      <c r="J1018" s="209"/>
      <c r="K1018" s="197"/>
    </row>
    <row r="1019" spans="2:11" ht="1.5" customHeight="1">
      <c r="D1019" s="197"/>
      <c r="E1019" s="210"/>
      <c r="F1019" s="213"/>
      <c r="G1019" s="214"/>
      <c r="H1019" s="215"/>
      <c r="I1019" s="213"/>
      <c r="J1019" s="211"/>
      <c r="K1019" s="197"/>
    </row>
    <row r="1020" spans="2:11" ht="345">
      <c r="B1020" s="193" t="s">
        <v>428</v>
      </c>
      <c r="D1020" s="197"/>
      <c r="E1020" s="197"/>
      <c r="F1020" s="212"/>
      <c r="G1020" s="216"/>
      <c r="H1020" s="199"/>
      <c r="I1020" s="212"/>
      <c r="J1020" s="197"/>
      <c r="K1020" s="197"/>
    </row>
    <row r="1021" spans="2:11" ht="150">
      <c r="B1021" s="193" t="s">
        <v>427</v>
      </c>
      <c r="D1021" s="197"/>
      <c r="E1021" s="212"/>
      <c r="F1021" s="212"/>
      <c r="G1021" s="216"/>
      <c r="H1021" s="199"/>
      <c r="I1021" s="212"/>
      <c r="J1021" s="212"/>
      <c r="K1021" s="197"/>
    </row>
    <row r="1022" spans="2:11" ht="1.5" customHeight="1">
      <c r="D1022" s="197"/>
      <c r="E1022" s="203"/>
      <c r="F1022" s="204"/>
      <c r="G1022" s="205"/>
      <c r="H1022" s="206"/>
      <c r="I1022" s="204"/>
      <c r="J1022" s="207"/>
      <c r="K1022" s="197"/>
    </row>
    <row r="1023" spans="2:11" ht="30">
      <c r="B1023" s="193" t="s">
        <v>429</v>
      </c>
      <c r="D1023" s="197"/>
      <c r="E1023" s="208"/>
      <c r="F1023" s="200"/>
      <c r="G1023" s="202" t="s">
        <v>94</v>
      </c>
      <c r="H1023" s="198"/>
      <c r="I1023" s="128"/>
      <c r="J1023" s="209"/>
      <c r="K1023" s="197"/>
    </row>
    <row r="1024" spans="2:11">
      <c r="D1024" s="197"/>
      <c r="E1024" s="208"/>
      <c r="F1024" s="200"/>
      <c r="G1024" s="196"/>
      <c r="H1024" s="194"/>
      <c r="I1024" s="128"/>
      <c r="J1024" s="209"/>
      <c r="K1024" s="197"/>
    </row>
    <row r="1025" spans="2:11">
      <c r="D1025" s="197"/>
      <c r="E1025" s="208"/>
      <c r="F1025" s="200"/>
      <c r="G1025" s="196"/>
      <c r="H1025" s="201" t="s">
        <v>297</v>
      </c>
      <c r="I1025" s="128"/>
      <c r="J1025" s="209"/>
      <c r="K1025" s="197"/>
    </row>
    <row r="1026" spans="2:11">
      <c r="D1026" s="197"/>
      <c r="E1026" s="208"/>
      <c r="F1026" s="200"/>
      <c r="G1026" s="196"/>
      <c r="H1026" s="194"/>
      <c r="I1026" s="128"/>
      <c r="J1026" s="209"/>
      <c r="K1026" s="197"/>
    </row>
    <row r="1027" spans="2:11" ht="1.5" customHeight="1">
      <c r="D1027" s="197"/>
      <c r="E1027" s="210"/>
      <c r="F1027" s="213"/>
      <c r="G1027" s="214"/>
      <c r="H1027" s="215"/>
      <c r="I1027" s="213"/>
      <c r="J1027" s="211"/>
      <c r="K1027" s="197"/>
    </row>
    <row r="1028" spans="2:11" ht="345">
      <c r="B1028" s="193" t="s">
        <v>428</v>
      </c>
      <c r="D1028" s="197"/>
      <c r="E1028" s="197"/>
      <c r="F1028" s="212"/>
      <c r="G1028" s="216"/>
      <c r="H1028" s="199"/>
      <c r="I1028" s="212"/>
      <c r="J1028" s="197"/>
      <c r="K1028" s="197"/>
    </row>
    <row r="1029" spans="2:11" ht="150">
      <c r="B1029" s="193" t="s">
        <v>427</v>
      </c>
      <c r="D1029" s="197"/>
      <c r="E1029" s="212"/>
      <c r="F1029" s="212"/>
      <c r="G1029" s="216"/>
      <c r="H1029" s="199"/>
      <c r="I1029" s="212"/>
      <c r="J1029" s="212"/>
      <c r="K1029" s="197"/>
    </row>
    <row r="1030" spans="2:11" ht="1.5" customHeight="1">
      <c r="D1030" s="197"/>
      <c r="E1030" s="203"/>
      <c r="F1030" s="204"/>
      <c r="G1030" s="205"/>
      <c r="H1030" s="206"/>
      <c r="I1030" s="204"/>
      <c r="J1030" s="207"/>
      <c r="K1030" s="197"/>
    </row>
    <row r="1031" spans="2:11" ht="30">
      <c r="B1031" s="193" t="s">
        <v>429</v>
      </c>
      <c r="D1031" s="197"/>
      <c r="E1031" s="208"/>
      <c r="F1031" s="200"/>
      <c r="G1031" s="202" t="s">
        <v>95</v>
      </c>
      <c r="H1031" s="198"/>
      <c r="I1031" s="128"/>
      <c r="J1031" s="209"/>
      <c r="K1031" s="197"/>
    </row>
    <row r="1032" spans="2:11">
      <c r="D1032" s="197"/>
      <c r="E1032" s="208"/>
      <c r="F1032" s="200"/>
      <c r="G1032" s="196"/>
      <c r="H1032" s="194"/>
      <c r="I1032" s="128"/>
      <c r="J1032" s="209"/>
      <c r="K1032" s="197"/>
    </row>
    <row r="1033" spans="2:11">
      <c r="D1033" s="197"/>
      <c r="E1033" s="208"/>
      <c r="F1033" s="200"/>
      <c r="G1033" s="196"/>
      <c r="H1033" s="201" t="s">
        <v>297</v>
      </c>
      <c r="I1033" s="128"/>
      <c r="J1033" s="209"/>
      <c r="K1033" s="197"/>
    </row>
    <row r="1034" spans="2:11">
      <c r="D1034" s="197"/>
      <c r="E1034" s="208"/>
      <c r="F1034" s="200"/>
      <c r="G1034" s="196"/>
      <c r="H1034" s="194"/>
      <c r="I1034" s="128"/>
      <c r="J1034" s="209"/>
      <c r="K1034" s="197"/>
    </row>
    <row r="1035" spans="2:11" ht="1.5" customHeight="1">
      <c r="D1035" s="197"/>
      <c r="E1035" s="210"/>
      <c r="F1035" s="213"/>
      <c r="G1035" s="214"/>
      <c r="H1035" s="215"/>
      <c r="I1035" s="213"/>
      <c r="J1035" s="211"/>
      <c r="K1035" s="197"/>
    </row>
    <row r="1036" spans="2:11" ht="345">
      <c r="B1036" s="193" t="s">
        <v>428</v>
      </c>
      <c r="D1036" s="197"/>
      <c r="E1036" s="197"/>
      <c r="F1036" s="212"/>
      <c r="G1036" s="216"/>
      <c r="H1036" s="199"/>
      <c r="I1036" s="212"/>
      <c r="J1036" s="197"/>
      <c r="K1036" s="197"/>
    </row>
    <row r="1037" spans="2:11" ht="150">
      <c r="B1037" s="193" t="s">
        <v>427</v>
      </c>
      <c r="D1037" s="197"/>
      <c r="E1037" s="212"/>
      <c r="F1037" s="212"/>
      <c r="G1037" s="216"/>
      <c r="H1037" s="199"/>
      <c r="I1037" s="212"/>
      <c r="J1037" s="212"/>
      <c r="K1037" s="197"/>
    </row>
    <row r="1038" spans="2:11" ht="1.5" customHeight="1">
      <c r="D1038" s="197"/>
      <c r="E1038" s="203"/>
      <c r="F1038" s="204"/>
      <c r="G1038" s="205"/>
      <c r="H1038" s="206"/>
      <c r="I1038" s="204"/>
      <c r="J1038" s="207"/>
      <c r="K1038" s="197"/>
    </row>
    <row r="1039" spans="2:11" ht="30">
      <c r="B1039" s="193" t="s">
        <v>429</v>
      </c>
      <c r="D1039" s="197"/>
      <c r="E1039" s="208"/>
      <c r="F1039" s="200"/>
      <c r="G1039" s="202" t="s">
        <v>271</v>
      </c>
      <c r="H1039" s="198"/>
      <c r="I1039" s="128"/>
      <c r="J1039" s="209"/>
      <c r="K1039" s="197"/>
    </row>
    <row r="1040" spans="2:11">
      <c r="D1040" s="197"/>
      <c r="E1040" s="208"/>
      <c r="F1040" s="200"/>
      <c r="G1040" s="196"/>
      <c r="H1040" s="194"/>
      <c r="I1040" s="128"/>
      <c r="J1040" s="209"/>
      <c r="K1040" s="197"/>
    </row>
    <row r="1041" spans="2:11">
      <c r="D1041" s="197"/>
      <c r="E1041" s="208"/>
      <c r="F1041" s="200"/>
      <c r="G1041" s="196"/>
      <c r="H1041" s="201" t="s">
        <v>297</v>
      </c>
      <c r="I1041" s="128"/>
      <c r="J1041" s="209"/>
      <c r="K1041" s="197"/>
    </row>
    <row r="1042" spans="2:11">
      <c r="D1042" s="197"/>
      <c r="E1042" s="208"/>
      <c r="F1042" s="200"/>
      <c r="G1042" s="196"/>
      <c r="H1042" s="194"/>
      <c r="I1042" s="128"/>
      <c r="J1042" s="209"/>
      <c r="K1042" s="197"/>
    </row>
    <row r="1043" spans="2:11" ht="1.5" customHeight="1">
      <c r="D1043" s="197"/>
      <c r="E1043" s="210"/>
      <c r="F1043" s="213"/>
      <c r="G1043" s="214"/>
      <c r="H1043" s="215"/>
      <c r="I1043" s="213"/>
      <c r="J1043" s="211"/>
      <c r="K1043" s="197"/>
    </row>
    <row r="1044" spans="2:11" ht="345">
      <c r="B1044" s="193" t="s">
        <v>428</v>
      </c>
      <c r="D1044" s="197"/>
      <c r="E1044" s="197"/>
      <c r="F1044" s="212"/>
      <c r="G1044" s="216"/>
      <c r="H1044" s="199"/>
      <c r="I1044" s="212"/>
      <c r="J1044" s="197"/>
      <c r="K1044" s="197"/>
    </row>
    <row r="1045" spans="2:11" ht="150">
      <c r="B1045" s="193" t="s">
        <v>427</v>
      </c>
      <c r="D1045" s="197"/>
      <c r="E1045" s="212"/>
      <c r="F1045" s="212"/>
      <c r="G1045" s="216"/>
      <c r="H1045" s="199"/>
      <c r="I1045" s="212"/>
      <c r="J1045" s="212"/>
      <c r="K1045" s="197"/>
    </row>
    <row r="1046" spans="2:11" ht="1.5" customHeight="1">
      <c r="D1046" s="197"/>
      <c r="E1046" s="203"/>
      <c r="F1046" s="204"/>
      <c r="G1046" s="205"/>
      <c r="H1046" s="206"/>
      <c r="I1046" s="204"/>
      <c r="J1046" s="207"/>
      <c r="K1046" s="197"/>
    </row>
    <row r="1047" spans="2:11" ht="30">
      <c r="B1047" s="193" t="s">
        <v>429</v>
      </c>
      <c r="D1047" s="197"/>
      <c r="E1047" s="208"/>
      <c r="F1047" s="200"/>
      <c r="G1047" s="456" t="s">
        <v>352</v>
      </c>
      <c r="H1047" s="456"/>
      <c r="I1047" s="456"/>
      <c r="J1047" s="209"/>
      <c r="K1047" s="197"/>
    </row>
    <row r="1048" spans="2:11">
      <c r="D1048" s="197"/>
      <c r="E1048" s="208"/>
      <c r="F1048" s="200"/>
      <c r="G1048" s="196"/>
      <c r="H1048" s="194"/>
      <c r="I1048" s="128"/>
      <c r="J1048" s="209"/>
      <c r="K1048" s="197"/>
    </row>
    <row r="1049" spans="2:11" ht="30">
      <c r="D1049" s="197"/>
      <c r="E1049" s="208"/>
      <c r="F1049" s="200"/>
      <c r="G1049" s="196"/>
      <c r="H1049" s="201" t="s">
        <v>354</v>
      </c>
      <c r="I1049" s="128"/>
      <c r="J1049" s="209"/>
      <c r="K1049" s="197"/>
    </row>
    <row r="1050" spans="2:11">
      <c r="D1050" s="197"/>
      <c r="E1050" s="208"/>
      <c r="F1050" s="200"/>
      <c r="G1050" s="196"/>
      <c r="H1050" s="194"/>
      <c r="I1050" s="128"/>
      <c r="J1050" s="209"/>
      <c r="K1050" s="197"/>
    </row>
    <row r="1051" spans="2:11" ht="1.5" customHeight="1">
      <c r="D1051" s="197"/>
      <c r="E1051" s="210"/>
      <c r="F1051" s="213"/>
      <c r="G1051" s="214"/>
      <c r="H1051" s="215"/>
      <c r="I1051" s="213"/>
      <c r="J1051" s="211"/>
      <c r="K1051" s="197"/>
    </row>
    <row r="1052" spans="2:11" ht="345">
      <c r="B1052" s="193" t="s">
        <v>428</v>
      </c>
      <c r="D1052" s="197"/>
      <c r="E1052" s="197"/>
      <c r="F1052" s="212"/>
      <c r="G1052" s="216"/>
      <c r="H1052" s="199"/>
      <c r="I1052" s="212"/>
      <c r="J1052" s="197"/>
      <c r="K1052" s="197"/>
    </row>
    <row r="1053" spans="2:11" ht="150">
      <c r="B1053" s="193" t="s">
        <v>427</v>
      </c>
      <c r="D1053" s="197"/>
      <c r="E1053" s="212"/>
      <c r="F1053" s="212"/>
      <c r="G1053" s="216"/>
      <c r="H1053" s="199"/>
      <c r="I1053" s="212"/>
      <c r="J1053" s="212"/>
      <c r="K1053" s="197"/>
    </row>
    <row r="1054" spans="2:11" ht="1.5" customHeight="1">
      <c r="D1054" s="197"/>
      <c r="E1054" s="203"/>
      <c r="F1054" s="204"/>
      <c r="G1054" s="205"/>
      <c r="H1054" s="206"/>
      <c r="I1054" s="204"/>
      <c r="J1054" s="207"/>
      <c r="K1054" s="197"/>
    </row>
    <row r="1055" spans="2:11" ht="30">
      <c r="B1055" s="193" t="s">
        <v>429</v>
      </c>
      <c r="D1055" s="197"/>
      <c r="E1055" s="208"/>
      <c r="F1055" s="200"/>
      <c r="G1055" s="456" t="s">
        <v>96</v>
      </c>
      <c r="H1055" s="456"/>
      <c r="I1055" s="456"/>
      <c r="J1055" s="209"/>
      <c r="K1055" s="197"/>
    </row>
    <row r="1056" spans="2:11">
      <c r="D1056" s="197"/>
      <c r="E1056" s="208"/>
      <c r="F1056" s="200"/>
      <c r="G1056" s="196"/>
      <c r="H1056" s="194"/>
      <c r="I1056" s="128"/>
      <c r="J1056" s="209"/>
      <c r="K1056" s="197"/>
    </row>
    <row r="1057" spans="2:11">
      <c r="D1057" s="197"/>
      <c r="E1057" s="208"/>
      <c r="F1057" s="200"/>
      <c r="G1057" s="196"/>
      <c r="H1057" s="201" t="s">
        <v>297</v>
      </c>
      <c r="I1057" s="128"/>
      <c r="J1057" s="209"/>
      <c r="K1057" s="197"/>
    </row>
    <row r="1058" spans="2:11">
      <c r="D1058" s="197"/>
      <c r="E1058" s="208"/>
      <c r="F1058" s="200"/>
      <c r="G1058" s="196"/>
      <c r="H1058" s="194"/>
      <c r="I1058" s="128"/>
      <c r="J1058" s="209"/>
      <c r="K1058" s="197"/>
    </row>
    <row r="1059" spans="2:11" ht="1.5" customHeight="1">
      <c r="D1059" s="197"/>
      <c r="E1059" s="210"/>
      <c r="F1059" s="213"/>
      <c r="G1059" s="214"/>
      <c r="H1059" s="215"/>
      <c r="I1059" s="213"/>
      <c r="J1059" s="211"/>
      <c r="K1059" s="197"/>
    </row>
    <row r="1060" spans="2:11" ht="345">
      <c r="B1060" s="193" t="s">
        <v>428</v>
      </c>
      <c r="D1060" s="197"/>
      <c r="E1060" s="197"/>
      <c r="F1060" s="212"/>
      <c r="G1060" s="216"/>
      <c r="H1060" s="199"/>
      <c r="I1060" s="212"/>
      <c r="J1060" s="197"/>
      <c r="K1060" s="197"/>
    </row>
    <row r="1061" spans="2:11" ht="150">
      <c r="B1061" s="193" t="s">
        <v>427</v>
      </c>
      <c r="D1061" s="197"/>
      <c r="E1061" s="212"/>
      <c r="F1061" s="212"/>
      <c r="G1061" s="216"/>
      <c r="H1061" s="199"/>
      <c r="I1061" s="212"/>
      <c r="J1061" s="212"/>
      <c r="K1061" s="197"/>
    </row>
    <row r="1062" spans="2:11" ht="1.5" customHeight="1">
      <c r="D1062" s="197"/>
      <c r="E1062" s="203"/>
      <c r="F1062" s="204"/>
      <c r="G1062" s="205"/>
      <c r="H1062" s="206"/>
      <c r="I1062" s="204"/>
      <c r="J1062" s="207"/>
      <c r="K1062" s="197"/>
    </row>
    <row r="1063" spans="2:11" ht="30">
      <c r="B1063" s="193" t="s">
        <v>429</v>
      </c>
      <c r="D1063" s="197"/>
      <c r="E1063" s="208"/>
      <c r="F1063" s="200"/>
      <c r="G1063" s="202" t="s">
        <v>97</v>
      </c>
      <c r="H1063" s="198"/>
      <c r="I1063" s="128"/>
      <c r="J1063" s="209"/>
      <c r="K1063" s="197"/>
    </row>
    <row r="1064" spans="2:11">
      <c r="D1064" s="197"/>
      <c r="E1064" s="208"/>
      <c r="F1064" s="200"/>
      <c r="G1064" s="196"/>
      <c r="H1064" s="194"/>
      <c r="I1064" s="128"/>
      <c r="J1064" s="209"/>
      <c r="K1064" s="197"/>
    </row>
    <row r="1065" spans="2:11" ht="180">
      <c r="D1065" s="197"/>
      <c r="E1065" s="208"/>
      <c r="F1065" s="200"/>
      <c r="G1065" s="196"/>
      <c r="H1065" s="201" t="s">
        <v>323</v>
      </c>
      <c r="I1065" s="128"/>
      <c r="J1065" s="209"/>
      <c r="K1065" s="197"/>
    </row>
    <row r="1066" spans="2:11">
      <c r="D1066" s="197"/>
      <c r="E1066" s="208"/>
      <c r="F1066" s="200"/>
      <c r="G1066" s="196"/>
      <c r="H1066" s="194"/>
      <c r="I1066" s="128"/>
      <c r="J1066" s="209"/>
      <c r="K1066" s="197"/>
    </row>
    <row r="1067" spans="2:11" ht="1.5" customHeight="1">
      <c r="D1067" s="197"/>
      <c r="E1067" s="210"/>
      <c r="F1067" s="213"/>
      <c r="G1067" s="214"/>
      <c r="H1067" s="215"/>
      <c r="I1067" s="213"/>
      <c r="J1067" s="211"/>
      <c r="K1067" s="197"/>
    </row>
    <row r="1068" spans="2:11" ht="345">
      <c r="B1068" s="193" t="s">
        <v>428</v>
      </c>
      <c r="D1068" s="197"/>
      <c r="E1068" s="197"/>
      <c r="F1068" s="212"/>
      <c r="G1068" s="216"/>
      <c r="H1068" s="199"/>
      <c r="I1068" s="212"/>
      <c r="J1068" s="197"/>
      <c r="K1068" s="197"/>
    </row>
    <row r="1069" spans="2:11" ht="150">
      <c r="B1069" s="193" t="s">
        <v>427</v>
      </c>
      <c r="D1069" s="197"/>
      <c r="E1069" s="212"/>
      <c r="F1069" s="212"/>
      <c r="G1069" s="216"/>
      <c r="H1069" s="199"/>
      <c r="I1069" s="212"/>
      <c r="J1069" s="212"/>
      <c r="K1069" s="197"/>
    </row>
    <row r="1070" spans="2:11" ht="1.5" customHeight="1">
      <c r="D1070" s="197"/>
      <c r="E1070" s="203"/>
      <c r="F1070" s="204"/>
      <c r="G1070" s="205"/>
      <c r="H1070" s="206"/>
      <c r="I1070" s="204"/>
      <c r="J1070" s="207"/>
      <c r="K1070" s="197"/>
    </row>
    <row r="1071" spans="2:11" ht="30">
      <c r="B1071" s="193" t="s">
        <v>429</v>
      </c>
      <c r="D1071" s="197"/>
      <c r="E1071" s="208"/>
      <c r="F1071" s="200"/>
      <c r="G1071" s="202" t="s">
        <v>36</v>
      </c>
      <c r="H1071" s="198"/>
      <c r="I1071" s="128"/>
      <c r="J1071" s="209"/>
      <c r="K1071" s="197"/>
    </row>
    <row r="1072" spans="2:11">
      <c r="D1072" s="197"/>
      <c r="E1072" s="208"/>
      <c r="F1072" s="200"/>
      <c r="G1072" s="196"/>
      <c r="H1072" s="194"/>
      <c r="I1072" s="128"/>
      <c r="J1072" s="209"/>
      <c r="K1072" s="197"/>
    </row>
    <row r="1073" spans="2:11">
      <c r="D1073" s="197"/>
      <c r="E1073" s="208"/>
      <c r="F1073" s="200"/>
      <c r="G1073" s="196"/>
      <c r="H1073" s="201" t="s">
        <v>297</v>
      </c>
      <c r="I1073" s="128"/>
      <c r="J1073" s="209"/>
      <c r="K1073" s="197"/>
    </row>
    <row r="1074" spans="2:11">
      <c r="D1074" s="197"/>
      <c r="E1074" s="208"/>
      <c r="F1074" s="200"/>
      <c r="G1074" s="196"/>
      <c r="H1074" s="194"/>
      <c r="I1074" s="128"/>
      <c r="J1074" s="209"/>
      <c r="K1074" s="197"/>
    </row>
    <row r="1075" spans="2:11" ht="1.5" customHeight="1">
      <c r="D1075" s="197"/>
      <c r="E1075" s="210"/>
      <c r="F1075" s="213"/>
      <c r="G1075" s="214"/>
      <c r="H1075" s="215"/>
      <c r="I1075" s="213"/>
      <c r="J1075" s="211"/>
      <c r="K1075" s="197"/>
    </row>
    <row r="1076" spans="2:11" ht="345">
      <c r="B1076" s="193" t="s">
        <v>428</v>
      </c>
      <c r="D1076" s="197"/>
      <c r="E1076" s="197"/>
      <c r="F1076" s="212"/>
      <c r="G1076" s="216"/>
      <c r="H1076" s="199"/>
      <c r="I1076" s="212"/>
      <c r="J1076" s="197"/>
      <c r="K1076" s="197"/>
    </row>
    <row r="1077" spans="2:11" ht="150">
      <c r="B1077" s="193" t="s">
        <v>427</v>
      </c>
      <c r="D1077" s="197"/>
      <c r="E1077" s="212"/>
      <c r="F1077" s="212"/>
      <c r="G1077" s="216"/>
      <c r="H1077" s="199"/>
      <c r="I1077" s="212"/>
      <c r="J1077" s="212"/>
      <c r="K1077" s="197"/>
    </row>
    <row r="1078" spans="2:11" ht="1.5" customHeight="1">
      <c r="D1078" s="197"/>
      <c r="E1078" s="203"/>
      <c r="F1078" s="204"/>
      <c r="G1078" s="205"/>
      <c r="H1078" s="206"/>
      <c r="I1078" s="204"/>
      <c r="J1078" s="207"/>
      <c r="K1078" s="197"/>
    </row>
    <row r="1079" spans="2:11" ht="30">
      <c r="B1079" s="193" t="s">
        <v>429</v>
      </c>
      <c r="D1079" s="197"/>
      <c r="E1079" s="208"/>
      <c r="F1079" s="200"/>
      <c r="G1079" s="202" t="s">
        <v>98</v>
      </c>
      <c r="H1079" s="198"/>
      <c r="I1079" s="128"/>
      <c r="J1079" s="209"/>
      <c r="K1079" s="197"/>
    </row>
    <row r="1080" spans="2:11">
      <c r="D1080" s="197"/>
      <c r="E1080" s="208"/>
      <c r="F1080" s="200"/>
      <c r="G1080" s="196"/>
      <c r="H1080" s="194"/>
      <c r="I1080" s="128"/>
      <c r="J1080" s="209"/>
      <c r="K1080" s="197"/>
    </row>
    <row r="1081" spans="2:11">
      <c r="D1081" s="197"/>
      <c r="E1081" s="208"/>
      <c r="F1081" s="200"/>
      <c r="G1081" s="196"/>
      <c r="H1081" s="201" t="s">
        <v>298</v>
      </c>
      <c r="I1081" s="128"/>
      <c r="J1081" s="209"/>
      <c r="K1081" s="197"/>
    </row>
    <row r="1082" spans="2:11">
      <c r="D1082" s="197"/>
      <c r="E1082" s="208"/>
      <c r="F1082" s="200"/>
      <c r="G1082" s="196"/>
      <c r="H1082" s="194"/>
      <c r="I1082" s="128"/>
      <c r="J1082" s="209"/>
      <c r="K1082" s="197"/>
    </row>
    <row r="1083" spans="2:11" ht="1.5" customHeight="1">
      <c r="D1083" s="197"/>
      <c r="E1083" s="210"/>
      <c r="F1083" s="213"/>
      <c r="G1083" s="214"/>
      <c r="H1083" s="215"/>
      <c r="I1083" s="213"/>
      <c r="J1083" s="211"/>
      <c r="K1083" s="197"/>
    </row>
    <row r="1084" spans="2:11" ht="345">
      <c r="B1084" s="193" t="s">
        <v>428</v>
      </c>
      <c r="D1084" s="197"/>
      <c r="E1084" s="197"/>
      <c r="F1084" s="212"/>
      <c r="G1084" s="216"/>
      <c r="H1084" s="199"/>
      <c r="I1084" s="212"/>
      <c r="J1084" s="197"/>
      <c r="K1084" s="197"/>
    </row>
    <row r="1085" spans="2:11" ht="150">
      <c r="B1085" s="193" t="s">
        <v>427</v>
      </c>
      <c r="D1085" s="197"/>
      <c r="E1085" s="212"/>
      <c r="F1085" s="212"/>
      <c r="G1085" s="216"/>
      <c r="H1085" s="199"/>
      <c r="I1085" s="212"/>
      <c r="J1085" s="212"/>
      <c r="K1085" s="197"/>
    </row>
    <row r="1086" spans="2:11" ht="1.5" customHeight="1">
      <c r="D1086" s="197"/>
      <c r="E1086" s="203"/>
      <c r="F1086" s="204"/>
      <c r="G1086" s="205"/>
      <c r="H1086" s="206"/>
      <c r="I1086" s="204"/>
      <c r="J1086" s="207"/>
      <c r="K1086" s="197"/>
    </row>
    <row r="1087" spans="2:11" ht="30">
      <c r="B1087" s="193" t="s">
        <v>429</v>
      </c>
      <c r="D1087" s="197"/>
      <c r="E1087" s="208"/>
      <c r="F1087" s="200"/>
      <c r="G1087" s="202" t="s">
        <v>299</v>
      </c>
      <c r="H1087" s="198"/>
      <c r="I1087" s="128"/>
      <c r="J1087" s="209"/>
      <c r="K1087" s="197"/>
    </row>
    <row r="1088" spans="2:11">
      <c r="D1088" s="197"/>
      <c r="E1088" s="208"/>
      <c r="F1088" s="200"/>
      <c r="G1088" s="196"/>
      <c r="H1088" s="194"/>
      <c r="I1088" s="128"/>
      <c r="J1088" s="209"/>
      <c r="K1088" s="197"/>
    </row>
    <row r="1089" spans="2:11">
      <c r="D1089" s="197"/>
      <c r="E1089" s="208"/>
      <c r="F1089" s="200"/>
      <c r="G1089" s="196"/>
      <c r="H1089" s="201" t="s">
        <v>300</v>
      </c>
      <c r="I1089" s="128"/>
      <c r="J1089" s="209"/>
      <c r="K1089" s="197"/>
    </row>
    <row r="1090" spans="2:11">
      <c r="D1090" s="197"/>
      <c r="E1090" s="208"/>
      <c r="F1090" s="200"/>
      <c r="G1090" s="196"/>
      <c r="H1090" s="194"/>
      <c r="I1090" s="128"/>
      <c r="J1090" s="209"/>
      <c r="K1090" s="197"/>
    </row>
    <row r="1091" spans="2:11" ht="1.5" customHeight="1">
      <c r="D1091" s="197"/>
      <c r="E1091" s="210"/>
      <c r="F1091" s="213"/>
      <c r="G1091" s="214"/>
      <c r="H1091" s="215"/>
      <c r="I1091" s="213"/>
      <c r="J1091" s="211"/>
      <c r="K1091" s="197"/>
    </row>
    <row r="1092" spans="2:11" ht="345">
      <c r="B1092" s="193" t="s">
        <v>428</v>
      </c>
      <c r="D1092" s="197"/>
      <c r="E1092" s="197"/>
      <c r="F1092" s="212"/>
      <c r="G1092" s="216"/>
      <c r="H1092" s="199"/>
      <c r="I1092" s="212"/>
      <c r="J1092" s="197"/>
      <c r="K1092" s="197"/>
    </row>
    <row r="1093" spans="2:11" ht="150">
      <c r="B1093" s="193" t="s">
        <v>427</v>
      </c>
      <c r="D1093" s="197"/>
      <c r="E1093" s="212"/>
      <c r="F1093" s="212"/>
      <c r="G1093" s="216"/>
      <c r="H1093" s="199"/>
      <c r="I1093" s="212"/>
      <c r="J1093" s="212"/>
      <c r="K1093" s="197"/>
    </row>
    <row r="1094" spans="2:11" ht="1.5" customHeight="1">
      <c r="D1094" s="197"/>
      <c r="E1094" s="203"/>
      <c r="F1094" s="204"/>
      <c r="G1094" s="205"/>
      <c r="H1094" s="206"/>
      <c r="I1094" s="204"/>
      <c r="J1094" s="207"/>
      <c r="K1094" s="197"/>
    </row>
    <row r="1095" spans="2:11" ht="30">
      <c r="B1095" s="193" t="s">
        <v>429</v>
      </c>
      <c r="D1095" s="197"/>
      <c r="E1095" s="208"/>
      <c r="F1095" s="200"/>
      <c r="G1095" s="202" t="s">
        <v>123</v>
      </c>
      <c r="H1095" s="198"/>
      <c r="I1095" s="128"/>
      <c r="J1095" s="209"/>
      <c r="K1095" s="197"/>
    </row>
    <row r="1096" spans="2:11">
      <c r="D1096" s="197"/>
      <c r="E1096" s="208"/>
      <c r="F1096" s="200"/>
      <c r="G1096" s="196"/>
      <c r="H1096" s="194"/>
      <c r="I1096" s="128"/>
      <c r="J1096" s="209"/>
      <c r="K1096" s="197"/>
    </row>
    <row r="1097" spans="2:11">
      <c r="D1097" s="197"/>
      <c r="E1097" s="208"/>
      <c r="F1097" s="200"/>
      <c r="G1097" s="196"/>
      <c r="H1097" s="201" t="s">
        <v>300</v>
      </c>
      <c r="I1097" s="128"/>
      <c r="J1097" s="209"/>
      <c r="K1097" s="197"/>
    </row>
    <row r="1098" spans="2:11">
      <c r="D1098" s="197"/>
      <c r="E1098" s="208"/>
      <c r="F1098" s="200"/>
      <c r="G1098" s="196"/>
      <c r="H1098" s="194"/>
      <c r="I1098" s="128"/>
      <c r="J1098" s="209"/>
      <c r="K1098" s="197"/>
    </row>
    <row r="1099" spans="2:11" ht="1.5" customHeight="1">
      <c r="D1099" s="197"/>
      <c r="E1099" s="210"/>
      <c r="F1099" s="213"/>
      <c r="G1099" s="214"/>
      <c r="H1099" s="215"/>
      <c r="I1099" s="213"/>
      <c r="J1099" s="211"/>
      <c r="K1099" s="197"/>
    </row>
    <row r="1100" spans="2:11" ht="345">
      <c r="B1100" s="193" t="s">
        <v>428</v>
      </c>
      <c r="D1100" s="197"/>
      <c r="E1100" s="197"/>
      <c r="F1100" s="212"/>
      <c r="G1100" s="216"/>
      <c r="H1100" s="199"/>
      <c r="I1100" s="212"/>
      <c r="J1100" s="197"/>
      <c r="K1100" s="197"/>
    </row>
    <row r="1101" spans="2:11" ht="150">
      <c r="B1101" s="193" t="s">
        <v>427</v>
      </c>
      <c r="D1101" s="197"/>
      <c r="E1101" s="212"/>
      <c r="F1101" s="212"/>
      <c r="G1101" s="216"/>
      <c r="H1101" s="199"/>
      <c r="I1101" s="212"/>
      <c r="J1101" s="212"/>
      <c r="K1101" s="197"/>
    </row>
    <row r="1102" spans="2:11" ht="1.5" customHeight="1">
      <c r="D1102" s="197"/>
      <c r="E1102" s="203"/>
      <c r="F1102" s="204"/>
      <c r="G1102" s="205"/>
      <c r="H1102" s="206"/>
      <c r="I1102" s="204"/>
      <c r="J1102" s="207"/>
      <c r="K1102" s="197"/>
    </row>
    <row r="1103" spans="2:11" ht="30">
      <c r="B1103" s="193" t="s">
        <v>429</v>
      </c>
      <c r="D1103" s="197"/>
      <c r="E1103" s="208"/>
      <c r="F1103" s="200"/>
      <c r="G1103" s="202" t="s">
        <v>276</v>
      </c>
      <c r="H1103" s="198"/>
      <c r="I1103" s="128"/>
      <c r="J1103" s="209"/>
      <c r="K1103" s="197"/>
    </row>
    <row r="1104" spans="2:11">
      <c r="D1104" s="197"/>
      <c r="E1104" s="208"/>
      <c r="F1104" s="200"/>
      <c r="G1104" s="196"/>
      <c r="H1104" s="194"/>
      <c r="I1104" s="128"/>
      <c r="J1104" s="209"/>
      <c r="K1104" s="197"/>
    </row>
    <row r="1105" spans="2:11">
      <c r="D1105" s="197"/>
      <c r="E1105" s="208"/>
      <c r="F1105" s="200"/>
      <c r="G1105" s="196"/>
      <c r="H1105" s="201" t="s">
        <v>300</v>
      </c>
      <c r="I1105" s="128"/>
      <c r="J1105" s="209"/>
      <c r="K1105" s="197"/>
    </row>
    <row r="1106" spans="2:11">
      <c r="D1106" s="197"/>
      <c r="E1106" s="208"/>
      <c r="F1106" s="200"/>
      <c r="G1106" s="196"/>
      <c r="H1106" s="194"/>
      <c r="I1106" s="128"/>
      <c r="J1106" s="209"/>
      <c r="K1106" s="197"/>
    </row>
    <row r="1107" spans="2:11" ht="1.5" customHeight="1">
      <c r="D1107" s="197"/>
      <c r="E1107" s="210"/>
      <c r="F1107" s="213"/>
      <c r="G1107" s="214"/>
      <c r="H1107" s="215"/>
      <c r="I1107" s="213"/>
      <c r="J1107" s="211"/>
      <c r="K1107" s="197"/>
    </row>
    <row r="1108" spans="2:11" ht="345">
      <c r="B1108" s="193" t="s">
        <v>428</v>
      </c>
      <c r="D1108" s="197"/>
      <c r="E1108" s="197"/>
      <c r="F1108" s="212"/>
      <c r="G1108" s="216"/>
      <c r="H1108" s="199"/>
      <c r="I1108" s="212"/>
      <c r="J1108" s="197"/>
      <c r="K1108" s="197"/>
    </row>
    <row r="1109" spans="2:11" ht="150">
      <c r="B1109" s="193" t="s">
        <v>427</v>
      </c>
      <c r="D1109" s="197"/>
      <c r="E1109" s="212"/>
      <c r="F1109" s="212"/>
      <c r="G1109" s="216"/>
      <c r="H1109" s="199"/>
      <c r="I1109" s="212"/>
      <c r="J1109" s="212"/>
      <c r="K1109" s="197"/>
    </row>
    <row r="1110" spans="2:11" ht="1.5" customHeight="1">
      <c r="D1110" s="197"/>
      <c r="E1110" s="203"/>
      <c r="F1110" s="204"/>
      <c r="G1110" s="205"/>
      <c r="H1110" s="206"/>
      <c r="I1110" s="204"/>
      <c r="J1110" s="207"/>
      <c r="K1110" s="197"/>
    </row>
    <row r="1111" spans="2:11" ht="30">
      <c r="B1111" s="193" t="s">
        <v>429</v>
      </c>
      <c r="D1111" s="197"/>
      <c r="E1111" s="208"/>
      <c r="F1111" s="200"/>
      <c r="G1111" s="202" t="s">
        <v>99</v>
      </c>
      <c r="H1111" s="198"/>
      <c r="I1111" s="128"/>
      <c r="J1111" s="209"/>
      <c r="K1111" s="197"/>
    </row>
    <row r="1112" spans="2:11">
      <c r="D1112" s="197"/>
      <c r="E1112" s="208"/>
      <c r="F1112" s="200"/>
      <c r="G1112" s="196"/>
      <c r="H1112" s="194"/>
      <c r="I1112" s="128"/>
      <c r="J1112" s="209"/>
      <c r="K1112" s="197"/>
    </row>
    <row r="1113" spans="2:11">
      <c r="D1113" s="197"/>
      <c r="E1113" s="208"/>
      <c r="F1113" s="200"/>
      <c r="G1113" s="196"/>
      <c r="H1113" s="201" t="s">
        <v>297</v>
      </c>
      <c r="I1113" s="128"/>
      <c r="J1113" s="209"/>
      <c r="K1113" s="197"/>
    </row>
    <row r="1114" spans="2:11">
      <c r="D1114" s="197"/>
      <c r="E1114" s="208"/>
      <c r="F1114" s="200"/>
      <c r="G1114" s="196"/>
      <c r="H1114" s="194"/>
      <c r="I1114" s="128"/>
      <c r="J1114" s="209"/>
      <c r="K1114" s="197"/>
    </row>
    <row r="1115" spans="2:11" ht="1.5" customHeight="1">
      <c r="D1115" s="197"/>
      <c r="E1115" s="210"/>
      <c r="F1115" s="213"/>
      <c r="G1115" s="214"/>
      <c r="H1115" s="215"/>
      <c r="I1115" s="213"/>
      <c r="J1115" s="211"/>
      <c r="K1115" s="197"/>
    </row>
    <row r="1116" spans="2:11" ht="345">
      <c r="B1116" s="193" t="s">
        <v>428</v>
      </c>
      <c r="D1116" s="197"/>
      <c r="E1116" s="197"/>
      <c r="F1116" s="212"/>
      <c r="G1116" s="216"/>
      <c r="H1116" s="199"/>
      <c r="I1116" s="212"/>
      <c r="J1116" s="197"/>
      <c r="K1116" s="197"/>
    </row>
    <row r="1117" spans="2:11" ht="150">
      <c r="B1117" s="193" t="s">
        <v>427</v>
      </c>
      <c r="D1117" s="197"/>
      <c r="E1117" s="212"/>
      <c r="F1117" s="212"/>
      <c r="G1117" s="216"/>
      <c r="H1117" s="199"/>
      <c r="I1117" s="212"/>
      <c r="J1117" s="212"/>
      <c r="K1117" s="197"/>
    </row>
    <row r="1118" spans="2:11" ht="1.5" customHeight="1">
      <c r="D1118" s="197"/>
      <c r="E1118" s="203"/>
      <c r="F1118" s="204"/>
      <c r="G1118" s="205"/>
      <c r="H1118" s="206"/>
      <c r="I1118" s="204"/>
      <c r="J1118" s="207"/>
      <c r="K1118" s="197"/>
    </row>
    <row r="1119" spans="2:11" ht="30">
      <c r="B1119" s="193" t="s">
        <v>429</v>
      </c>
      <c r="D1119" s="197"/>
      <c r="E1119" s="208"/>
      <c r="F1119" s="200"/>
      <c r="G1119" s="202" t="s">
        <v>163</v>
      </c>
      <c r="H1119" s="198"/>
      <c r="I1119" s="128"/>
      <c r="J1119" s="209"/>
      <c r="K1119" s="197"/>
    </row>
    <row r="1120" spans="2:11">
      <c r="D1120" s="197"/>
      <c r="E1120" s="208"/>
      <c r="F1120" s="200"/>
      <c r="G1120" s="196"/>
      <c r="H1120" s="194"/>
      <c r="I1120" s="128"/>
      <c r="J1120" s="209"/>
      <c r="K1120" s="197"/>
    </row>
    <row r="1121" spans="2:11" ht="75">
      <c r="D1121" s="197"/>
      <c r="E1121" s="208"/>
      <c r="F1121" s="200"/>
      <c r="G1121" s="196"/>
      <c r="H1121" s="201" t="s">
        <v>324</v>
      </c>
      <c r="I1121" s="128"/>
      <c r="J1121" s="209"/>
      <c r="K1121" s="197"/>
    </row>
    <row r="1122" spans="2:11">
      <c r="D1122" s="197"/>
      <c r="E1122" s="208"/>
      <c r="F1122" s="200"/>
      <c r="G1122" s="196"/>
      <c r="H1122" s="194"/>
      <c r="I1122" s="128"/>
      <c r="J1122" s="209"/>
      <c r="K1122" s="197"/>
    </row>
    <row r="1123" spans="2:11" ht="1.5" customHeight="1">
      <c r="D1123" s="197"/>
      <c r="E1123" s="210"/>
      <c r="F1123" s="213"/>
      <c r="G1123" s="214"/>
      <c r="H1123" s="215"/>
      <c r="I1123" s="213"/>
      <c r="J1123" s="211"/>
      <c r="K1123" s="197"/>
    </row>
    <row r="1124" spans="2:11" ht="345">
      <c r="B1124" s="193" t="s">
        <v>428</v>
      </c>
      <c r="D1124" s="197"/>
      <c r="E1124" s="197"/>
      <c r="F1124" s="212"/>
      <c r="G1124" s="216"/>
      <c r="H1124" s="199"/>
      <c r="I1124" s="212"/>
      <c r="J1124" s="197"/>
      <c r="K1124" s="197"/>
    </row>
    <row r="1125" spans="2:11" ht="150">
      <c r="B1125" s="193" t="s">
        <v>427</v>
      </c>
      <c r="D1125" s="197"/>
      <c r="E1125" s="212"/>
      <c r="F1125" s="212"/>
      <c r="G1125" s="216"/>
      <c r="H1125" s="199"/>
      <c r="I1125" s="212"/>
      <c r="J1125" s="212"/>
      <c r="K1125" s="197"/>
    </row>
    <row r="1126" spans="2:11" ht="1.5" customHeight="1">
      <c r="D1126" s="197"/>
      <c r="E1126" s="203"/>
      <c r="F1126" s="204"/>
      <c r="G1126" s="205"/>
      <c r="H1126" s="206"/>
      <c r="I1126" s="204"/>
      <c r="J1126" s="207"/>
      <c r="K1126" s="197"/>
    </row>
    <row r="1127" spans="2:11" ht="30">
      <c r="B1127" s="193" t="s">
        <v>429</v>
      </c>
      <c r="D1127" s="197"/>
      <c r="E1127" s="208"/>
      <c r="F1127" s="200"/>
      <c r="G1127" s="202" t="s">
        <v>100</v>
      </c>
      <c r="H1127" s="198"/>
      <c r="I1127" s="128"/>
      <c r="J1127" s="209"/>
      <c r="K1127" s="197"/>
    </row>
    <row r="1128" spans="2:11">
      <c r="D1128" s="197"/>
      <c r="E1128" s="208"/>
      <c r="F1128" s="200"/>
      <c r="G1128" s="196"/>
      <c r="H1128" s="194"/>
      <c r="I1128" s="128"/>
      <c r="J1128" s="209"/>
      <c r="K1128" s="197"/>
    </row>
    <row r="1129" spans="2:11" ht="30">
      <c r="D1129" s="197"/>
      <c r="E1129" s="208"/>
      <c r="F1129" s="200"/>
      <c r="G1129" s="196"/>
      <c r="H1129" s="201" t="s">
        <v>119</v>
      </c>
      <c r="I1129" s="128"/>
      <c r="J1129" s="209"/>
      <c r="K1129" s="197"/>
    </row>
    <row r="1130" spans="2:11">
      <c r="D1130" s="197"/>
      <c r="E1130" s="208"/>
      <c r="F1130" s="200"/>
      <c r="G1130" s="196"/>
      <c r="H1130" s="194"/>
      <c r="I1130" s="128"/>
      <c r="J1130" s="209"/>
      <c r="K1130" s="197"/>
    </row>
    <row r="1131" spans="2:11" ht="1.5" customHeight="1">
      <c r="D1131" s="197"/>
      <c r="E1131" s="210"/>
      <c r="F1131" s="213"/>
      <c r="G1131" s="214"/>
      <c r="H1131" s="215"/>
      <c r="I1131" s="213"/>
      <c r="J1131" s="211"/>
      <c r="K1131" s="197"/>
    </row>
    <row r="1132" spans="2:11" ht="345">
      <c r="B1132" s="193" t="s">
        <v>428</v>
      </c>
      <c r="D1132" s="197"/>
      <c r="E1132" s="197"/>
      <c r="F1132" s="212"/>
      <c r="G1132" s="216"/>
      <c r="H1132" s="199"/>
      <c r="I1132" s="212"/>
      <c r="J1132" s="197"/>
      <c r="K1132" s="197"/>
    </row>
    <row r="1133" spans="2:11" ht="150">
      <c r="B1133" s="193" t="s">
        <v>427</v>
      </c>
      <c r="D1133" s="197"/>
      <c r="E1133" s="212"/>
      <c r="F1133" s="212"/>
      <c r="G1133" s="216"/>
      <c r="H1133" s="199"/>
      <c r="I1133" s="212"/>
      <c r="J1133" s="212"/>
      <c r="K1133" s="197"/>
    </row>
    <row r="1134" spans="2:11" ht="1.5" customHeight="1">
      <c r="D1134" s="197"/>
      <c r="E1134" s="203"/>
      <c r="F1134" s="204"/>
      <c r="G1134" s="205"/>
      <c r="H1134" s="206"/>
      <c r="I1134" s="204"/>
      <c r="J1134" s="207"/>
      <c r="K1134" s="197"/>
    </row>
    <row r="1135" spans="2:11" ht="30">
      <c r="B1135" s="193" t="s">
        <v>429</v>
      </c>
      <c r="D1135" s="197"/>
      <c r="E1135" s="208"/>
      <c r="F1135" s="200"/>
      <c r="G1135" s="202" t="s">
        <v>101</v>
      </c>
      <c r="H1135" s="198"/>
      <c r="I1135" s="128"/>
      <c r="J1135" s="209"/>
      <c r="K1135" s="197"/>
    </row>
    <row r="1136" spans="2:11">
      <c r="D1136" s="197"/>
      <c r="E1136" s="208"/>
      <c r="F1136" s="200"/>
      <c r="G1136" s="196"/>
      <c r="H1136" s="194"/>
      <c r="I1136" s="128"/>
      <c r="J1136" s="209"/>
      <c r="K1136" s="197"/>
    </row>
    <row r="1137" spans="2:11">
      <c r="D1137" s="197"/>
      <c r="E1137" s="208"/>
      <c r="F1137" s="200"/>
      <c r="G1137" s="196"/>
      <c r="H1137" s="201"/>
      <c r="I1137" s="128"/>
      <c r="J1137" s="209"/>
      <c r="K1137" s="197"/>
    </row>
    <row r="1138" spans="2:11">
      <c r="D1138" s="197"/>
      <c r="E1138" s="208"/>
      <c r="F1138" s="200"/>
      <c r="G1138" s="196"/>
      <c r="H1138" s="194"/>
      <c r="I1138" s="128"/>
      <c r="J1138" s="209"/>
      <c r="K1138" s="197"/>
    </row>
    <row r="1139" spans="2:11" ht="1.5" customHeight="1">
      <c r="D1139" s="197"/>
      <c r="E1139" s="210"/>
      <c r="F1139" s="213"/>
      <c r="G1139" s="214"/>
      <c r="H1139" s="215"/>
      <c r="I1139" s="213"/>
      <c r="J1139" s="211"/>
      <c r="K1139" s="197"/>
    </row>
    <row r="1140" spans="2:11" ht="345">
      <c r="B1140" s="193" t="s">
        <v>428</v>
      </c>
      <c r="D1140" s="197"/>
      <c r="E1140" s="197"/>
      <c r="F1140" s="212"/>
      <c r="G1140" s="216"/>
      <c r="H1140" s="199"/>
      <c r="I1140" s="212"/>
      <c r="J1140" s="197"/>
      <c r="K1140" s="197"/>
    </row>
    <row r="1141" spans="2:11" ht="150">
      <c r="B1141" s="193" t="s">
        <v>427</v>
      </c>
      <c r="D1141" s="197"/>
      <c r="E1141" s="212"/>
      <c r="F1141" s="212"/>
      <c r="G1141" s="216"/>
      <c r="H1141" s="199"/>
      <c r="I1141" s="212"/>
      <c r="J1141" s="212"/>
      <c r="K1141" s="197"/>
    </row>
    <row r="1142" spans="2:11" ht="1.5" customHeight="1">
      <c r="D1142" s="197"/>
      <c r="E1142" s="203"/>
      <c r="F1142" s="204"/>
      <c r="G1142" s="205"/>
      <c r="H1142" s="206"/>
      <c r="I1142" s="204"/>
      <c r="J1142" s="207"/>
      <c r="K1142" s="197"/>
    </row>
    <row r="1143" spans="2:11" ht="30">
      <c r="B1143" s="193" t="s">
        <v>429</v>
      </c>
      <c r="D1143" s="197"/>
      <c r="E1143" s="208"/>
      <c r="F1143" s="200"/>
      <c r="G1143" s="202" t="s">
        <v>89</v>
      </c>
      <c r="H1143" s="198"/>
      <c r="I1143" s="128"/>
      <c r="J1143" s="209"/>
      <c r="K1143" s="197"/>
    </row>
    <row r="1144" spans="2:11">
      <c r="D1144" s="197"/>
      <c r="E1144" s="208"/>
      <c r="F1144" s="200"/>
      <c r="G1144" s="196"/>
      <c r="H1144" s="194"/>
      <c r="I1144" s="128"/>
      <c r="J1144" s="209"/>
      <c r="K1144" s="197"/>
    </row>
    <row r="1145" spans="2:11" ht="135">
      <c r="D1145" s="197"/>
      <c r="E1145" s="208"/>
      <c r="F1145" s="200"/>
      <c r="G1145" s="196"/>
      <c r="H1145" s="201" t="s">
        <v>325</v>
      </c>
      <c r="I1145" s="128"/>
      <c r="J1145" s="209"/>
      <c r="K1145" s="197"/>
    </row>
    <row r="1146" spans="2:11" ht="47.25">
      <c r="D1146" s="197"/>
      <c r="E1146" s="208"/>
      <c r="F1146" s="200"/>
      <c r="G1146" s="196"/>
      <c r="H1146" s="221" t="s">
        <v>107</v>
      </c>
      <c r="I1146" s="128"/>
      <c r="J1146" s="209"/>
      <c r="K1146" s="197"/>
    </row>
    <row r="1147" spans="2:11">
      <c r="D1147" s="197"/>
      <c r="E1147" s="208"/>
      <c r="F1147" s="200"/>
      <c r="G1147" s="196"/>
      <c r="H1147" s="120"/>
      <c r="I1147" s="128"/>
      <c r="J1147" s="209"/>
      <c r="K1147" s="197"/>
    </row>
    <row r="1148" spans="2:11" ht="1.5" customHeight="1">
      <c r="D1148" s="197"/>
      <c r="E1148" s="210"/>
      <c r="F1148" s="213"/>
      <c r="G1148" s="214"/>
      <c r="H1148" s="215"/>
      <c r="I1148" s="213"/>
      <c r="J1148" s="211"/>
      <c r="K1148" s="197"/>
    </row>
    <row r="1149" spans="2:11" ht="345">
      <c r="B1149" s="193" t="s">
        <v>428</v>
      </c>
      <c r="D1149" s="197"/>
      <c r="E1149" s="197"/>
      <c r="F1149" s="212"/>
      <c r="G1149" s="216"/>
      <c r="H1149" s="199"/>
      <c r="I1149" s="212"/>
      <c r="J1149" s="197"/>
      <c r="K1149" s="197"/>
    </row>
    <row r="1150" spans="2:11" ht="150">
      <c r="B1150" s="193" t="s">
        <v>427</v>
      </c>
      <c r="D1150" s="197"/>
      <c r="E1150" s="212"/>
      <c r="F1150" s="212"/>
      <c r="G1150" s="216"/>
      <c r="H1150" s="199"/>
      <c r="I1150" s="212"/>
      <c r="J1150" s="212"/>
      <c r="K1150" s="197"/>
    </row>
    <row r="1151" spans="2:11" ht="1.5" customHeight="1">
      <c r="D1151" s="197"/>
      <c r="E1151" s="203"/>
      <c r="F1151" s="204"/>
      <c r="G1151" s="205"/>
      <c r="H1151" s="206"/>
      <c r="I1151" s="204"/>
      <c r="J1151" s="207"/>
      <c r="K1151" s="197"/>
    </row>
    <row r="1152" spans="2:11" ht="30">
      <c r="B1152" s="193" t="s">
        <v>429</v>
      </c>
      <c r="D1152" s="197"/>
      <c r="E1152" s="208"/>
      <c r="F1152" s="200"/>
      <c r="G1152" s="202" t="s">
        <v>116</v>
      </c>
      <c r="H1152" s="198"/>
      <c r="I1152" s="128"/>
      <c r="J1152" s="209"/>
      <c r="K1152" s="197"/>
    </row>
    <row r="1153" spans="2:11">
      <c r="D1153" s="197"/>
      <c r="E1153" s="208"/>
      <c r="F1153" s="200"/>
      <c r="G1153" s="196"/>
      <c r="H1153" s="194"/>
      <c r="I1153" s="128"/>
      <c r="J1153" s="209"/>
      <c r="K1153" s="197"/>
    </row>
    <row r="1154" spans="2:11" ht="30">
      <c r="D1154" s="197"/>
      <c r="E1154" s="208"/>
      <c r="F1154" s="200"/>
      <c r="G1154" s="196"/>
      <c r="H1154" s="201" t="s">
        <v>326</v>
      </c>
      <c r="I1154" s="128"/>
      <c r="J1154" s="209"/>
      <c r="K1154" s="197"/>
    </row>
    <row r="1155" spans="2:11">
      <c r="D1155" s="197"/>
      <c r="E1155" s="208"/>
      <c r="F1155" s="200"/>
      <c r="G1155" s="196"/>
      <c r="H1155" s="194"/>
      <c r="I1155" s="128"/>
      <c r="J1155" s="209"/>
      <c r="K1155" s="197"/>
    </row>
    <row r="1156" spans="2:11" ht="1.5" customHeight="1">
      <c r="D1156" s="197"/>
      <c r="E1156" s="210"/>
      <c r="F1156" s="213"/>
      <c r="G1156" s="214"/>
      <c r="H1156" s="215"/>
      <c r="I1156" s="213"/>
      <c r="J1156" s="211"/>
      <c r="K1156" s="197"/>
    </row>
    <row r="1157" spans="2:11" ht="345">
      <c r="B1157" s="193" t="s">
        <v>428</v>
      </c>
      <c r="D1157" s="197"/>
      <c r="E1157" s="197"/>
      <c r="F1157" s="212"/>
      <c r="G1157" s="216"/>
      <c r="H1157" s="199"/>
      <c r="I1157" s="212"/>
      <c r="J1157" s="197"/>
      <c r="K1157" s="197"/>
    </row>
    <row r="1158" spans="2:11" ht="150">
      <c r="B1158" s="193" t="s">
        <v>427</v>
      </c>
      <c r="D1158" s="197"/>
      <c r="E1158" s="212"/>
      <c r="F1158" s="212"/>
      <c r="G1158" s="216"/>
      <c r="H1158" s="199"/>
      <c r="I1158" s="212"/>
      <c r="J1158" s="212"/>
      <c r="K1158" s="197"/>
    </row>
    <row r="1159" spans="2:11" ht="1.5" customHeight="1">
      <c r="D1159" s="197"/>
      <c r="E1159" s="203"/>
      <c r="F1159" s="204"/>
      <c r="G1159" s="205"/>
      <c r="H1159" s="206"/>
      <c r="I1159" s="204"/>
      <c r="J1159" s="207"/>
      <c r="K1159" s="197"/>
    </row>
    <row r="1160" spans="2:11" ht="30">
      <c r="B1160" s="193" t="s">
        <v>429</v>
      </c>
      <c r="D1160" s="197"/>
      <c r="E1160" s="208"/>
      <c r="F1160" s="200"/>
      <c r="G1160" s="202" t="s">
        <v>203</v>
      </c>
      <c r="H1160" s="198"/>
      <c r="I1160" s="128"/>
      <c r="J1160" s="209"/>
      <c r="K1160" s="197"/>
    </row>
    <row r="1161" spans="2:11">
      <c r="D1161" s="197"/>
      <c r="E1161" s="208"/>
      <c r="F1161" s="200"/>
      <c r="G1161" s="196"/>
      <c r="H1161" s="194"/>
      <c r="I1161" s="128"/>
      <c r="J1161" s="209"/>
      <c r="K1161" s="197"/>
    </row>
    <row r="1162" spans="2:11" ht="30">
      <c r="D1162" s="197"/>
      <c r="E1162" s="208"/>
      <c r="F1162" s="200"/>
      <c r="G1162" s="196"/>
      <c r="H1162" s="201" t="s">
        <v>202</v>
      </c>
      <c r="I1162" s="128"/>
      <c r="J1162" s="209"/>
      <c r="K1162" s="197"/>
    </row>
    <row r="1163" spans="2:11">
      <c r="D1163" s="197"/>
      <c r="E1163" s="208"/>
      <c r="F1163" s="200"/>
      <c r="G1163" s="196"/>
      <c r="H1163" s="194"/>
      <c r="I1163" s="128"/>
      <c r="J1163" s="209"/>
      <c r="K1163" s="197"/>
    </row>
    <row r="1164" spans="2:11" ht="1.5" customHeight="1">
      <c r="D1164" s="197"/>
      <c r="E1164" s="210"/>
      <c r="F1164" s="213"/>
      <c r="G1164" s="214"/>
      <c r="H1164" s="215"/>
      <c r="I1164" s="213"/>
      <c r="J1164" s="211"/>
      <c r="K1164" s="197"/>
    </row>
    <row r="1165" spans="2:11" ht="345">
      <c r="B1165" s="193" t="s">
        <v>428</v>
      </c>
      <c r="D1165" s="197"/>
      <c r="E1165" s="197"/>
      <c r="F1165" s="212"/>
      <c r="G1165" s="216"/>
      <c r="H1165" s="199"/>
      <c r="I1165" s="212"/>
      <c r="J1165" s="197"/>
      <c r="K1165" s="197"/>
    </row>
    <row r="1166" spans="2:11" ht="150">
      <c r="B1166" s="193" t="s">
        <v>427</v>
      </c>
      <c r="D1166" s="197"/>
      <c r="E1166" s="212"/>
      <c r="F1166" s="212"/>
      <c r="G1166" s="216"/>
      <c r="H1166" s="199"/>
      <c r="I1166" s="212"/>
      <c r="J1166" s="212"/>
      <c r="K1166" s="197"/>
    </row>
    <row r="1167" spans="2:11" ht="1.5" customHeight="1">
      <c r="D1167" s="197"/>
      <c r="E1167" s="203"/>
      <c r="F1167" s="204"/>
      <c r="G1167" s="205"/>
      <c r="H1167" s="206"/>
      <c r="I1167" s="204"/>
      <c r="J1167" s="207"/>
      <c r="K1167" s="197"/>
    </row>
    <row r="1168" spans="2:11" ht="30">
      <c r="B1168" s="193" t="s">
        <v>429</v>
      </c>
      <c r="D1168" s="197"/>
      <c r="E1168" s="208"/>
      <c r="F1168" s="200"/>
      <c r="G1168" s="202" t="s">
        <v>115</v>
      </c>
      <c r="H1168" s="198"/>
      <c r="I1168" s="128"/>
      <c r="J1168" s="209"/>
      <c r="K1168" s="197"/>
    </row>
    <row r="1169" spans="2:11">
      <c r="D1169" s="197"/>
      <c r="E1169" s="208"/>
      <c r="F1169" s="200"/>
      <c r="G1169" s="196"/>
      <c r="H1169" s="194"/>
      <c r="I1169" s="128"/>
      <c r="J1169" s="209"/>
      <c r="K1169" s="197"/>
    </row>
    <row r="1170" spans="2:11" ht="30">
      <c r="D1170" s="197"/>
      <c r="E1170" s="208"/>
      <c r="F1170" s="200"/>
      <c r="G1170" s="196"/>
      <c r="H1170" s="201" t="s">
        <v>258</v>
      </c>
      <c r="I1170" s="128"/>
      <c r="J1170" s="209"/>
      <c r="K1170" s="197"/>
    </row>
    <row r="1171" spans="2:11">
      <c r="D1171" s="197"/>
      <c r="E1171" s="208"/>
      <c r="F1171" s="200"/>
      <c r="G1171" s="196"/>
      <c r="H1171" s="194"/>
      <c r="I1171" s="128"/>
      <c r="J1171" s="209"/>
      <c r="K1171" s="197"/>
    </row>
    <row r="1172" spans="2:11" ht="1.5" customHeight="1">
      <c r="D1172" s="197"/>
      <c r="E1172" s="210"/>
      <c r="F1172" s="213"/>
      <c r="G1172" s="214"/>
      <c r="H1172" s="215"/>
      <c r="I1172" s="213"/>
      <c r="J1172" s="211"/>
      <c r="K1172" s="197"/>
    </row>
    <row r="1173" spans="2:11" ht="345">
      <c r="B1173" s="193" t="s">
        <v>428</v>
      </c>
      <c r="D1173" s="197"/>
      <c r="E1173" s="197"/>
      <c r="F1173" s="212"/>
      <c r="G1173" s="216"/>
      <c r="H1173" s="199"/>
      <c r="I1173" s="212"/>
      <c r="J1173" s="197"/>
      <c r="K1173" s="197"/>
    </row>
    <row r="1174" spans="2:11" ht="150">
      <c r="B1174" s="193" t="s">
        <v>427</v>
      </c>
      <c r="D1174" s="197"/>
      <c r="E1174" s="212"/>
      <c r="F1174" s="212"/>
      <c r="G1174" s="216"/>
      <c r="H1174" s="199"/>
      <c r="I1174" s="212"/>
      <c r="J1174" s="212"/>
      <c r="K1174" s="197"/>
    </row>
    <row r="1175" spans="2:11" ht="1.5" customHeight="1">
      <c r="D1175" s="197"/>
      <c r="E1175" s="203"/>
      <c r="F1175" s="204"/>
      <c r="G1175" s="205"/>
      <c r="H1175" s="206"/>
      <c r="I1175" s="204"/>
      <c r="J1175" s="207"/>
      <c r="K1175" s="197"/>
    </row>
    <row r="1176" spans="2:11" ht="30">
      <c r="B1176" s="193" t="s">
        <v>429</v>
      </c>
      <c r="D1176" s="197"/>
      <c r="E1176" s="208"/>
      <c r="F1176" s="200"/>
      <c r="G1176" s="202" t="s">
        <v>114</v>
      </c>
      <c r="H1176" s="198"/>
      <c r="I1176" s="128"/>
      <c r="J1176" s="209"/>
      <c r="K1176" s="197"/>
    </row>
    <row r="1177" spans="2:11">
      <c r="D1177" s="197"/>
      <c r="E1177" s="208"/>
      <c r="F1177" s="200"/>
      <c r="G1177" s="196"/>
      <c r="H1177" s="194"/>
      <c r="I1177" s="128"/>
      <c r="J1177" s="209"/>
      <c r="K1177" s="197"/>
    </row>
    <row r="1178" spans="2:11" ht="105">
      <c r="D1178" s="197"/>
      <c r="E1178" s="208"/>
      <c r="F1178" s="200"/>
      <c r="G1178" s="196"/>
      <c r="H1178" s="201" t="s">
        <v>164</v>
      </c>
      <c r="I1178" s="128"/>
      <c r="J1178" s="209"/>
      <c r="K1178" s="197"/>
    </row>
    <row r="1179" spans="2:11" ht="15.75">
      <c r="D1179" s="197"/>
      <c r="E1179" s="208"/>
      <c r="F1179" s="200"/>
      <c r="G1179" s="196"/>
      <c r="H1179" s="221" t="s">
        <v>108</v>
      </c>
      <c r="I1179" s="128"/>
      <c r="J1179" s="209"/>
      <c r="K1179" s="197"/>
    </row>
    <row r="1180" spans="2:11">
      <c r="D1180" s="197"/>
      <c r="E1180" s="208"/>
      <c r="F1180" s="200"/>
      <c r="G1180" s="196"/>
      <c r="H1180" s="120"/>
      <c r="I1180" s="128"/>
      <c r="J1180" s="209"/>
      <c r="K1180" s="197"/>
    </row>
    <row r="1181" spans="2:11" ht="1.5" customHeight="1">
      <c r="D1181" s="197"/>
      <c r="E1181" s="210"/>
      <c r="F1181" s="213"/>
      <c r="G1181" s="214"/>
      <c r="H1181" s="215" t="s">
        <v>267</v>
      </c>
      <c r="I1181" s="213"/>
      <c r="J1181" s="211"/>
      <c r="K1181" s="197"/>
    </row>
    <row r="1182" spans="2:11" ht="345">
      <c r="B1182" s="193" t="s">
        <v>428</v>
      </c>
      <c r="D1182" s="197"/>
      <c r="E1182" s="197"/>
      <c r="F1182" s="212"/>
      <c r="G1182" s="216"/>
      <c r="H1182" s="199"/>
      <c r="I1182" s="212"/>
      <c r="J1182" s="197"/>
      <c r="K1182" s="197"/>
    </row>
  </sheetData>
  <sheetProtection password="E863" sheet="1" objects="1" scenarios="1"/>
  <mergeCells count="3">
    <mergeCell ref="G1047:I1047"/>
    <mergeCell ref="G1055:I1055"/>
    <mergeCell ref="G1015:I1015"/>
  </mergeCells>
  <hyperlinks>
    <hyperlink ref="H1146" r:id="rId1"/>
    <hyperlink ref="H881" r:id="rId2"/>
    <hyperlink ref="H446" r:id="rId3"/>
    <hyperlink ref="H188" r:id="rId4"/>
    <hyperlink ref="H171" r:id="rId5"/>
    <hyperlink ref="H162" r:id="rId6"/>
    <hyperlink ref="H153" r:id="rId7"/>
    <hyperlink ref="H151" r:id="rId8"/>
    <hyperlink ref="H134" r:id="rId9"/>
    <hyperlink ref="H1179" r:id="rId10"/>
  </hyperlinks>
  <pageMargins left="0.511811024" right="0.511811024" top="0.78740157499999996" bottom="0.78740157499999996" header="0.31496062000000002" footer="0.31496062000000002"/>
  <pageSetup paperSize="9" orientation="portrait" verticalDpi="599"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tabColor theme="2" tint="-0.499984740745262"/>
  </sheetPr>
  <dimension ref="A1:BG397"/>
  <sheetViews>
    <sheetView showGridLines="0" showRowColHeaders="0" topLeftCell="M2" zoomScaleNormal="100" zoomScaleSheetLayoutView="100" workbookViewId="0">
      <selection activeCell="AE113" sqref="AE113"/>
    </sheetView>
  </sheetViews>
  <sheetFormatPr defaultColWidth="0" defaultRowHeight="0" customHeight="1" zeroHeight="1"/>
  <cols>
    <col min="1" max="1" width="9.140625" style="255" hidden="1" customWidth="1"/>
    <col min="2" max="9" width="9.7109375" style="2" hidden="1" customWidth="1"/>
    <col min="10" max="10" width="9.7109375" style="3" hidden="1" customWidth="1"/>
    <col min="11" max="11" width="9.7109375" style="2" hidden="1" customWidth="1"/>
    <col min="12" max="12" width="5.7109375" style="2" hidden="1" customWidth="1"/>
    <col min="13" max="13" width="10" style="2" customWidth="1"/>
    <col min="14" max="14" width="0.5703125" style="255" customWidth="1"/>
    <col min="15" max="15" width="5.140625" style="2" customWidth="1"/>
    <col min="16" max="16" width="27.7109375" style="2" customWidth="1"/>
    <col min="17" max="17" width="2.7109375" style="2" customWidth="1"/>
    <col min="18" max="18" width="21.5703125" style="2" customWidth="1"/>
    <col min="19" max="19" width="2.28515625" style="2" customWidth="1"/>
    <col min="20" max="20" width="14.28515625" style="2" customWidth="1"/>
    <col min="21" max="21" width="2.7109375" style="2" customWidth="1"/>
    <col min="22" max="22" width="6.5703125" style="2" customWidth="1"/>
    <col min="23" max="23" width="2.7109375" style="2" customWidth="1"/>
    <col min="24" max="24" width="5.5703125" style="2" customWidth="1"/>
    <col min="25" max="25" width="2.28515625" style="2" customWidth="1"/>
    <col min="26" max="26" width="0.7109375" style="2" customWidth="1"/>
    <col min="27" max="27" width="4.28515625" style="2" customWidth="1"/>
    <col min="28" max="28" width="0.7109375" style="2" customWidth="1"/>
    <col min="29" max="29" width="3.42578125" style="2" customWidth="1"/>
    <col min="30" max="30" width="0.7109375" style="4" customWidth="1"/>
    <col min="31" max="31" width="4.5703125" style="2" customWidth="1"/>
    <col min="32" max="32" width="0.7109375" style="2" customWidth="1"/>
    <col min="33" max="33" width="4.28515625" style="2" customWidth="1"/>
    <col min="34" max="34" width="0.5703125" style="2" customWidth="1"/>
    <col min="35" max="35" width="2.28515625" style="2" customWidth="1"/>
    <col min="36" max="36" width="9.140625" style="160" hidden="1" customWidth="1"/>
    <col min="37" max="37" width="9.140625" style="161" hidden="1" customWidth="1"/>
    <col min="38" max="44" width="9.140625" style="160" hidden="1" customWidth="1"/>
    <col min="45" max="49" width="9.140625" style="161" hidden="1" customWidth="1"/>
    <col min="50" max="16384" width="9.140625" style="2" hidden="1"/>
  </cols>
  <sheetData>
    <row r="1" spans="1:52" ht="15.75" hidden="1" customHeight="1">
      <c r="A1" s="187" t="s">
        <v>574</v>
      </c>
      <c r="O1" s="2" t="s">
        <v>104</v>
      </c>
      <c r="AA1" s="3" t="s">
        <v>3</v>
      </c>
      <c r="AB1" s="3"/>
      <c r="AC1" s="3" t="s">
        <v>152</v>
      </c>
    </row>
    <row r="2" spans="1:52" ht="15" customHeight="1">
      <c r="O2" s="497" t="s">
        <v>457</v>
      </c>
      <c r="P2" s="497"/>
      <c r="Q2" s="359"/>
      <c r="R2" s="359"/>
      <c r="S2" s="359"/>
      <c r="T2" s="359"/>
      <c r="U2" s="359"/>
      <c r="V2" s="359"/>
      <c r="W2" s="359"/>
      <c r="X2" s="359"/>
      <c r="Y2" s="359"/>
      <c r="Z2" s="359"/>
      <c r="AA2" s="359"/>
      <c r="AB2" s="359"/>
      <c r="AC2" s="359"/>
      <c r="AD2" s="359"/>
      <c r="AE2" s="484" t="s">
        <v>575</v>
      </c>
      <c r="AF2" s="484"/>
      <c r="AG2" s="484"/>
      <c r="AQ2" s="259"/>
      <c r="AR2" s="259"/>
      <c r="AS2" s="259"/>
      <c r="AT2" s="259"/>
      <c r="AU2" s="259"/>
    </row>
    <row r="3" spans="1:52" ht="40.5" customHeight="1">
      <c r="N3"/>
      <c r="O3" s="337"/>
      <c r="P3" s="341"/>
      <c r="Q3" s="122" t="str">
        <f>IF(N260&lt;&gt;"","››› PROPOSTA NÃO ESTÁ PRONTA PARA INTERNALIZAÇÃO AO BANCO ‹‹‹","")</f>
        <v/>
      </c>
      <c r="R3" s="122"/>
      <c r="S3" s="122"/>
      <c r="T3" s="122"/>
      <c r="U3" s="122"/>
      <c r="V3" s="427" t="s">
        <v>4</v>
      </c>
      <c r="W3" s="427"/>
      <c r="X3" s="427"/>
      <c r="Y3" s="427"/>
      <c r="Z3" s="427"/>
      <c r="AA3" s="427"/>
      <c r="AB3" s="427"/>
      <c r="AC3" s="427"/>
      <c r="AD3" s="427"/>
      <c r="AE3" s="427"/>
      <c r="AF3" s="427"/>
      <c r="AG3" s="427"/>
      <c r="AJ3" s="161"/>
      <c r="AL3" s="161"/>
      <c r="AM3" s="161"/>
      <c r="AN3" s="161"/>
      <c r="AO3" s="161"/>
      <c r="AP3" s="161"/>
      <c r="AQ3" s="161"/>
      <c r="AR3" s="260"/>
      <c r="AS3" s="160"/>
      <c r="AY3" s="187"/>
      <c r="AZ3" s="187"/>
    </row>
    <row r="4" spans="1:52" ht="3" hidden="1" customHeight="1">
      <c r="M4" s="5"/>
      <c r="N4"/>
      <c r="O4" s="5"/>
      <c r="P4" s="5"/>
      <c r="Q4" s="5"/>
      <c r="R4" s="5"/>
      <c r="S4" s="5"/>
      <c r="T4" s="5"/>
      <c r="U4" s="5"/>
      <c r="V4" s="5"/>
      <c r="W4" s="5"/>
      <c r="X4" s="5"/>
      <c r="Y4" s="5"/>
      <c r="Z4" s="5"/>
      <c r="AA4" s="5"/>
      <c r="AB4" s="5"/>
      <c r="AC4" s="5"/>
      <c r="AD4" s="5"/>
      <c r="AE4" s="5"/>
      <c r="AF4" s="5"/>
      <c r="AG4" s="5"/>
      <c r="AJ4" s="161"/>
      <c r="AL4" s="161"/>
      <c r="AM4" s="161"/>
      <c r="AN4" s="161"/>
      <c r="AO4" s="161"/>
      <c r="AP4" s="161"/>
      <c r="AQ4" s="161"/>
      <c r="AR4" s="261"/>
      <c r="AY4" s="187"/>
      <c r="AZ4" s="187"/>
    </row>
    <row r="5" spans="1:52" ht="3" hidden="1" customHeight="1">
      <c r="M5" s="262"/>
      <c r="N5"/>
      <c r="O5" s="127"/>
      <c r="P5" s="127"/>
      <c r="Q5" s="127"/>
      <c r="R5" s="127"/>
      <c r="S5" s="127"/>
      <c r="T5" s="127"/>
      <c r="U5" s="127"/>
      <c r="V5" s="127"/>
      <c r="W5" s="127"/>
      <c r="X5" s="127"/>
      <c r="Y5" s="127"/>
      <c r="Z5" s="127"/>
      <c r="AA5" s="127"/>
      <c r="AB5" s="127"/>
      <c r="AC5" s="127"/>
      <c r="AD5" s="127"/>
      <c r="AE5" s="127"/>
      <c r="AF5" s="127"/>
      <c r="AG5" s="127"/>
      <c r="AJ5" s="161"/>
      <c r="AL5" s="161"/>
      <c r="AM5" s="161"/>
      <c r="AN5" s="161"/>
      <c r="AO5" s="161"/>
      <c r="AP5" s="161"/>
      <c r="AQ5" s="161"/>
      <c r="AR5" s="261"/>
      <c r="AY5" s="187"/>
      <c r="AZ5" s="187"/>
    </row>
    <row r="6" spans="1:52" ht="15.75" customHeight="1">
      <c r="N6"/>
      <c r="O6" s="472" t="s">
        <v>482</v>
      </c>
      <c r="P6" s="472"/>
      <c r="Q6" s="472"/>
      <c r="R6" s="472"/>
      <c r="S6" s="472"/>
      <c r="T6" s="472"/>
      <c r="U6" s="472"/>
      <c r="V6" s="472"/>
      <c r="W6" s="472"/>
      <c r="X6" s="472"/>
      <c r="Y6" s="472"/>
      <c r="Z6" s="472"/>
      <c r="AA6" s="472"/>
      <c r="AB6" s="472"/>
      <c r="AC6" s="472"/>
      <c r="AD6" s="472"/>
      <c r="AE6" s="472"/>
      <c r="AF6" s="472"/>
      <c r="AG6" s="472"/>
      <c r="AN6" s="161"/>
      <c r="AP6" s="161"/>
      <c r="AQ6" s="161"/>
      <c r="AR6" s="261"/>
      <c r="AS6" s="263"/>
      <c r="AY6" s="187"/>
      <c r="AZ6" s="187"/>
    </row>
    <row r="7" spans="1:52" ht="4.5" customHeight="1">
      <c r="N7"/>
      <c r="O7" s="338"/>
      <c r="P7" s="338"/>
      <c r="Q7" s="338"/>
      <c r="R7" s="338"/>
      <c r="S7" s="338"/>
      <c r="T7" s="338"/>
      <c r="U7" s="338"/>
      <c r="V7" s="338"/>
      <c r="W7" s="338"/>
      <c r="X7" s="338"/>
      <c r="Y7" s="338"/>
      <c r="Z7" s="338"/>
      <c r="AA7" s="338"/>
      <c r="AB7" s="338"/>
      <c r="AC7" s="338"/>
      <c r="AD7" s="338"/>
      <c r="AE7" s="338"/>
      <c r="AR7" s="260"/>
      <c r="AY7" s="187"/>
      <c r="AZ7" s="187"/>
    </row>
    <row r="8" spans="1:52" ht="11.25" customHeight="1">
      <c r="N8"/>
      <c r="O8" s="139" t="s">
        <v>179</v>
      </c>
      <c r="P8" s="7"/>
      <c r="Q8" s="7"/>
      <c r="R8" s="7"/>
      <c r="S8" s="7"/>
      <c r="T8" s="7"/>
      <c r="V8" s="139" t="s">
        <v>180</v>
      </c>
      <c r="W8" s="7"/>
      <c r="X8" s="7"/>
      <c r="Y8" s="7"/>
      <c r="Z8" s="7"/>
      <c r="AB8" s="141" t="s">
        <v>5</v>
      </c>
      <c r="AC8" s="349"/>
      <c r="AD8" s="99"/>
      <c r="AE8" s="7"/>
      <c r="AF8" s="7"/>
      <c r="AG8" s="7"/>
      <c r="AR8" s="260"/>
      <c r="AS8" s="263"/>
      <c r="AT8" s="264"/>
      <c r="AY8" s="187"/>
      <c r="AZ8" s="187"/>
    </row>
    <row r="9" spans="1:52" ht="15" customHeight="1">
      <c r="N9"/>
      <c r="O9" s="473"/>
      <c r="P9" s="474"/>
      <c r="Q9" s="474"/>
      <c r="R9" s="474"/>
      <c r="S9" s="474"/>
      <c r="T9" s="474"/>
      <c r="U9" s="57"/>
      <c r="V9" s="489"/>
      <c r="W9" s="490"/>
      <c r="X9" s="490"/>
      <c r="Y9" s="491"/>
      <c r="Z9" s="491"/>
      <c r="AB9" s="492">
        <f ca="1">TODAY()</f>
        <v>42864</v>
      </c>
      <c r="AC9" s="493"/>
      <c r="AD9" s="493"/>
      <c r="AE9" s="493"/>
      <c r="AF9" s="493"/>
      <c r="AG9" s="493"/>
      <c r="AM9" s="265"/>
      <c r="AN9" s="265"/>
      <c r="AO9" s="265"/>
      <c r="AR9" s="260"/>
      <c r="AS9" s="263"/>
      <c r="AT9" s="264"/>
      <c r="AY9" s="187"/>
      <c r="AZ9" s="187"/>
    </row>
    <row r="10" spans="1:52" ht="3" customHeight="1">
      <c r="N10"/>
      <c r="O10" s="255"/>
      <c r="AY10" s="187"/>
      <c r="AZ10" s="187"/>
    </row>
    <row r="11" spans="1:52" ht="11.25" customHeight="1">
      <c r="N11"/>
      <c r="O11" s="140" t="s">
        <v>365</v>
      </c>
      <c r="P11" s="7"/>
      <c r="R11" s="140" t="s">
        <v>6</v>
      </c>
      <c r="S11" s="137"/>
      <c r="T11" s="137"/>
      <c r="U11" s="137"/>
      <c r="V11" s="137"/>
      <c r="X11" s="140" t="s">
        <v>7</v>
      </c>
      <c r="Y11" s="137"/>
      <c r="Z11" s="137"/>
      <c r="AA11" s="7"/>
      <c r="AB11" s="7"/>
      <c r="AC11" s="7"/>
      <c r="AD11" s="99"/>
      <c r="AE11" s="7"/>
      <c r="AF11" s="7"/>
      <c r="AG11" s="7"/>
      <c r="AP11" s="265"/>
      <c r="AY11" s="187"/>
      <c r="AZ11" s="187"/>
    </row>
    <row r="12" spans="1:52" ht="15">
      <c r="N12"/>
      <c r="O12" s="475"/>
      <c r="P12" s="476"/>
      <c r="R12" s="475"/>
      <c r="S12" s="476"/>
      <c r="T12" s="476"/>
      <c r="U12" s="476"/>
      <c r="V12" s="476"/>
      <c r="W12" s="6"/>
      <c r="X12" s="494"/>
      <c r="Y12" s="495"/>
      <c r="Z12" s="495"/>
      <c r="AA12" s="495"/>
      <c r="AB12" s="495"/>
      <c r="AC12" s="495"/>
      <c r="AD12" s="495"/>
      <c r="AE12" s="495"/>
      <c r="AF12" s="496"/>
      <c r="AG12" s="496"/>
    </row>
    <row r="13" spans="1:52" ht="3" customHeight="1">
      <c r="N13"/>
      <c r="O13" s="255"/>
    </row>
    <row r="14" spans="1:52" ht="11.25" customHeight="1">
      <c r="N14"/>
      <c r="O14" s="140" t="s">
        <v>483</v>
      </c>
      <c r="P14" s="7"/>
      <c r="Q14" s="7"/>
      <c r="R14" s="7"/>
      <c r="S14" s="7"/>
      <c r="T14" s="7"/>
      <c r="U14" s="7"/>
      <c r="V14" s="7"/>
      <c r="W14" s="7"/>
      <c r="X14" s="7"/>
      <c r="AA14" s="140" t="s">
        <v>331</v>
      </c>
      <c r="AB14" s="7"/>
      <c r="AC14" s="7"/>
      <c r="AD14" s="99"/>
      <c r="AE14" s="7"/>
      <c r="AF14" s="7"/>
      <c r="AG14" s="7"/>
    </row>
    <row r="15" spans="1:52" ht="15" customHeight="1">
      <c r="N15"/>
      <c r="O15" s="475"/>
      <c r="P15" s="476"/>
      <c r="Q15" s="476"/>
      <c r="R15" s="476"/>
      <c r="S15" s="476"/>
      <c r="T15" s="476"/>
      <c r="U15" s="476"/>
      <c r="V15" s="476"/>
      <c r="W15" s="476"/>
      <c r="X15" s="476"/>
      <c r="Y15" s="43"/>
      <c r="Z15" s="43"/>
      <c r="AA15" s="485"/>
      <c r="AB15" s="486"/>
      <c r="AC15" s="486"/>
      <c r="AD15" s="486"/>
      <c r="AE15" s="486"/>
      <c r="AF15" s="487"/>
      <c r="AG15" s="487"/>
      <c r="AM15" s="265"/>
      <c r="AP15" s="255" t="str">
        <f>IF(IF(O9="",1,0)+IF(V9="",1,0)+IF(O12="",1,0)+IF(R12="",1,0)+IF(X12="",1,0)+IF(O15="",1,0)+IF(AA15="",1,0)&gt;0,"XX",1)</f>
        <v>XX</v>
      </c>
    </row>
    <row r="16" spans="1:52" ht="6" customHeight="1">
      <c r="N16" s="339"/>
      <c r="O16" s="340"/>
      <c r="P16" s="340"/>
      <c r="Q16" s="340"/>
      <c r="R16" s="340"/>
      <c r="S16" s="340"/>
      <c r="T16" s="340"/>
      <c r="U16" s="340"/>
      <c r="V16" s="340"/>
      <c r="W16" s="340"/>
      <c r="X16" s="340"/>
      <c r="Y16" s="340"/>
      <c r="Z16" s="340"/>
      <c r="AA16" s="340"/>
      <c r="AB16" s="340"/>
      <c r="AC16" s="340"/>
      <c r="AD16" s="340"/>
      <c r="AE16" s="340"/>
      <c r="AF16" s="340"/>
      <c r="AG16" s="340"/>
    </row>
    <row r="17" spans="2:51" ht="15">
      <c r="J17" s="266" t="s">
        <v>484</v>
      </c>
      <c r="K17" s="150" t="s">
        <v>392</v>
      </c>
      <c r="L17" s="7"/>
      <c r="M17" s="7"/>
      <c r="O17" s="477" t="s">
        <v>9</v>
      </c>
      <c r="P17" s="477"/>
      <c r="Q17" s="477"/>
      <c r="R17" s="477"/>
      <c r="S17" s="477"/>
      <c r="T17" s="477"/>
      <c r="U17" s="477"/>
      <c r="V17" s="477"/>
      <c r="W17" s="477"/>
      <c r="X17" s="477"/>
      <c r="Y17" s="477"/>
      <c r="Z17" s="477"/>
      <c r="AA17" s="477"/>
      <c r="AB17" s="343"/>
      <c r="AC17" s="344" t="s">
        <v>10</v>
      </c>
      <c r="AD17" s="345"/>
      <c r="AE17" s="344" t="s">
        <v>11</v>
      </c>
      <c r="AF17" s="343"/>
      <c r="AG17" s="344" t="s">
        <v>185</v>
      </c>
      <c r="AN17" s="265"/>
    </row>
    <row r="18" spans="2:51" ht="3" customHeight="1" thickBot="1">
      <c r="B18" s="255"/>
      <c r="J18" s="267"/>
      <c r="L18" s="7"/>
      <c r="M18" s="7"/>
      <c r="O18" s="31"/>
      <c r="P18" s="31"/>
      <c r="Q18" s="32"/>
      <c r="R18" s="32"/>
      <c r="S18" s="32"/>
      <c r="T18" s="32"/>
      <c r="U18" s="32"/>
      <c r="V18" s="32"/>
      <c r="W18" s="32"/>
      <c r="X18" s="32"/>
      <c r="Y18" s="32"/>
      <c r="Z18" s="32"/>
      <c r="AA18" s="32"/>
      <c r="AB18" s="12"/>
      <c r="AC18" s="16"/>
      <c r="AD18" s="8"/>
      <c r="AE18" s="254"/>
      <c r="AF18" s="7"/>
    </row>
    <row r="19" spans="2:51" ht="15.75" customHeight="1">
      <c r="B19" s="255"/>
      <c r="J19" s="268">
        <v>1</v>
      </c>
      <c r="K19" s="2" t="s">
        <v>56</v>
      </c>
      <c r="L19" s="7"/>
      <c r="M19" s="7"/>
      <c r="O19" s="488" t="str">
        <f>CONCATENATE(J19,". ",K19)</f>
        <v>1. Do Projeto:</v>
      </c>
      <c r="P19" s="488"/>
      <c r="Q19" s="488"/>
      <c r="R19" s="488"/>
      <c r="S19" s="488"/>
      <c r="T19" s="488"/>
      <c r="U19" s="488"/>
      <c r="V19" s="488"/>
      <c r="W19" s="488"/>
      <c r="X19" s="488"/>
      <c r="Y19" s="488"/>
      <c r="Z19" s="488"/>
      <c r="AA19" s="488"/>
      <c r="AB19" s="346"/>
      <c r="AC19" s="347"/>
      <c r="AD19" s="348"/>
      <c r="AE19" s="145" t="s">
        <v>389</v>
      </c>
      <c r="AF19" s="146"/>
      <c r="AG19" s="146"/>
      <c r="AU19" s="160"/>
    </row>
    <row r="20" spans="2:51" ht="3" customHeight="1">
      <c r="B20" s="255"/>
      <c r="J20" s="269"/>
      <c r="L20" s="7"/>
      <c r="M20" s="7"/>
      <c r="O20" s="9"/>
      <c r="P20" s="9"/>
      <c r="Q20" s="9"/>
      <c r="R20" s="9"/>
      <c r="S20" s="9"/>
      <c r="T20" s="9"/>
      <c r="U20" s="9"/>
      <c r="V20" s="9"/>
      <c r="W20" s="9"/>
      <c r="X20" s="9"/>
      <c r="Y20" s="9"/>
      <c r="Z20" s="9"/>
      <c r="AA20" s="9"/>
      <c r="AB20" s="9"/>
      <c r="AC20" s="164"/>
      <c r="AD20" s="162"/>
      <c r="AE20" s="165"/>
      <c r="AF20" s="7"/>
      <c r="AU20" s="160"/>
    </row>
    <row r="21" spans="2:51" ht="14.25" customHeight="1">
      <c r="B21" s="255"/>
      <c r="J21" s="270" t="str">
        <f>IF(IFERROR(SEARCH(".",J19),0)=0,CONCATENATE(J19,".",1),IF(IFERROR(SEARCH(".",J19),0)&gt;1,CONCATENATE(IFERROR(LEFT(J19,IFERROR(SEARCH(".",J19),0)-1),0),".",IFERROR(RIGHT(J19,LEN(J19)-IFERROR(SEARCH(".",J19),0)),0)+1),0))</f>
        <v>1.1</v>
      </c>
      <c r="K21" s="2" t="s">
        <v>485</v>
      </c>
      <c r="L21" s="7"/>
      <c r="M21" s="7"/>
      <c r="O21" s="433" t="str">
        <f>CONCATENATE(J21,". ",K21,$K$17)</f>
        <v>1.1. Autorização para apresentar o projeto definitivo ao Banco;------------------------------------------------------------------------------------------------------------------------------------------------------------------------</v>
      </c>
      <c r="P21" s="433"/>
      <c r="Q21" s="433"/>
      <c r="R21" s="433"/>
      <c r="S21" s="433"/>
      <c r="T21" s="433"/>
      <c r="U21" s="433"/>
      <c r="V21" s="433"/>
      <c r="W21" s="433"/>
      <c r="X21" s="433"/>
      <c r="Y21" s="433"/>
      <c r="Z21" s="433"/>
      <c r="AA21" s="433"/>
      <c r="AB21" s="433"/>
      <c r="AC21" s="433"/>
      <c r="AD21" s="162"/>
      <c r="AE21" s="357"/>
      <c r="AF21" s="7"/>
      <c r="AG21" s="80"/>
      <c r="AM21" s="255">
        <v>1</v>
      </c>
      <c r="AN21" s="271">
        <f>IF(AND(AC21&lt;&gt;"",AE21&lt;&gt;""),4,IF(AC21&lt;&gt;"",1,IF(AE21&lt;&gt;"",2,0)))</f>
        <v>0</v>
      </c>
      <c r="AO21" s="255" t="str">
        <f>IF(AND(AE21="",AN21=2),"",IF(AND(AE21="",AN21&lt;&gt;3),"X",""))</f>
        <v>X</v>
      </c>
      <c r="AP21" s="188">
        <f>IF(AND(AC21&lt;&gt;"",AE21&lt;&gt;""),1,IF(AND(AE21="",AN21=2),1,IF(OR(AN21&lt;&gt;0),0,1)))</f>
        <v>1</v>
      </c>
      <c r="AQ21" s="255">
        <f ca="1">SUM($AP$21:OFFSET(AQ21,-2,-1))</f>
        <v>1</v>
      </c>
      <c r="AR21" s="13" t="str">
        <f ca="1">IF(AND(AC21="",AQ21=0),AS21,"XX")</f>
        <v>XX</v>
      </c>
      <c r="AS21" s="255"/>
      <c r="AT21" s="255"/>
      <c r="AU21" s="78"/>
      <c r="AV21" s="78"/>
      <c r="AW21" s="13">
        <f>IF(AND(AC21&lt;&gt;"",AE21&lt;&gt;""),4,0)</f>
        <v>0</v>
      </c>
      <c r="AX21" s="78" t="e">
        <f ca="1">IF(AND(AN21&lt;&gt;1,AN21&lt;&gt;3,AN21&lt;&gt;4),AR21+1,XX)</f>
        <v>#VALUE!</v>
      </c>
      <c r="AY21" s="78">
        <f>IF(AND(AN21&lt;&gt;1,AN21&lt;&gt;3,AN21&lt;&gt;4),AT21-1,XX)</f>
        <v>-1</v>
      </c>
    </row>
    <row r="22" spans="2:51" ht="3" customHeight="1">
      <c r="B22" s="255"/>
      <c r="J22" s="269"/>
      <c r="L22" s="7"/>
      <c r="M22" s="7"/>
      <c r="O22" s="9"/>
      <c r="P22" s="9"/>
      <c r="Q22" s="9"/>
      <c r="R22" s="9"/>
      <c r="S22" s="9"/>
      <c r="T22" s="9"/>
      <c r="U22" s="9"/>
      <c r="V22" s="9"/>
      <c r="W22" s="9"/>
      <c r="X22" s="9"/>
      <c r="Y22" s="9"/>
      <c r="Z22" s="9"/>
      <c r="AA22" s="9"/>
      <c r="AB22" s="9"/>
      <c r="AC22" s="164"/>
      <c r="AD22" s="162"/>
      <c r="AE22" s="165"/>
      <c r="AF22" s="7"/>
      <c r="AU22" s="160"/>
    </row>
    <row r="23" spans="2:51" ht="14.25" customHeight="1">
      <c r="B23" s="255"/>
      <c r="J23" s="270" t="str">
        <f>IF(IFERROR(SEARCH(".",J21),0)=0,CONCATENATE(J21,".",1),IF(IFERROR(SEARCH(".",J21),0)&gt;1,CONCATENATE(IFERROR(LEFT(J21,IFERROR(SEARCH(".",J21),0)-1),0),".",IFERROR(RIGHT(J21,LEN(J21)-IFERROR(SEARCH(".",J21),0)),0)+1),0))</f>
        <v>1.2</v>
      </c>
      <c r="K23" s="2" t="s">
        <v>486</v>
      </c>
      <c r="L23" s="7"/>
      <c r="M23" s="7"/>
      <c r="O23" s="433" t="str">
        <f>CONCATENATE(J23,". ",K23,$K$17)</f>
        <v>1.2. Termo de enquadramento emitido pela SUDAM;------------------------------------------------------------------------------------------------------------------------------------------------------------------------</v>
      </c>
      <c r="P23" s="433"/>
      <c r="Q23" s="433"/>
      <c r="R23" s="433"/>
      <c r="S23" s="433"/>
      <c r="T23" s="433"/>
      <c r="U23" s="433"/>
      <c r="V23" s="433"/>
      <c r="W23" s="433"/>
      <c r="X23" s="433"/>
      <c r="Y23" s="433"/>
      <c r="Z23" s="433"/>
      <c r="AA23" s="433"/>
      <c r="AB23" s="433"/>
      <c r="AC23" s="433"/>
      <c r="AD23" s="162"/>
      <c r="AE23" s="357"/>
      <c r="AF23" s="7"/>
      <c r="AG23" s="80"/>
      <c r="AM23" s="255">
        <v>1</v>
      </c>
      <c r="AN23" s="271">
        <f>IF(AND(AC23&lt;&gt;"",AE23&lt;&gt;""),4,IF(AC23&lt;&gt;"",1,IF(AE23&lt;&gt;"",2,0)))</f>
        <v>0</v>
      </c>
      <c r="AO23" s="255"/>
      <c r="AP23" s="188">
        <f>IF(AND(AC23&lt;&gt;"",AE23&lt;&gt;""),1,IF(AND(AE23="",AN23=2),1,IF(OR(AN23&lt;&gt;0),0,1)))</f>
        <v>1</v>
      </c>
      <c r="AQ23" s="255">
        <f ca="1">SUM($AP$21:OFFSET(AQ23,-2,-1))</f>
        <v>1</v>
      </c>
      <c r="AR23" s="13" t="str">
        <f ca="1">IF(AND(AC23="",AQ23=0),AS23,"XX")</f>
        <v>XX</v>
      </c>
      <c r="AS23" s="255">
        <f>MAX($AE$21:AE21)</f>
        <v>0</v>
      </c>
      <c r="AT23" s="255">
        <f>IF(SUM(AE25:$AE$259)&gt;0,MIN(AE25:$AE$259),10000)</f>
        <v>10000</v>
      </c>
      <c r="AU23" s="78"/>
      <c r="AV23" s="78"/>
      <c r="AW23" s="13">
        <f>IF(AND(AC23&lt;&gt;"",AE23&lt;&gt;""),4,0)</f>
        <v>0</v>
      </c>
      <c r="AX23" s="78" t="e">
        <f ca="1">IF(AND(AN23&lt;&gt;1,AN23&lt;&gt;3,AN23&lt;&gt;4),AR23+1,XX)</f>
        <v>#VALUE!</v>
      </c>
      <c r="AY23" s="78">
        <f>IF(AND(AN23&lt;&gt;1,AN23&lt;&gt;3,AN23&lt;&gt;4),AT23-1,XX)</f>
        <v>9999</v>
      </c>
    </row>
    <row r="24" spans="2:51" ht="3" customHeight="1">
      <c r="B24" s="255"/>
      <c r="J24" s="269"/>
      <c r="L24" s="7"/>
      <c r="M24" s="7"/>
      <c r="O24" s="9"/>
      <c r="P24" s="9"/>
      <c r="Q24" s="9"/>
      <c r="R24" s="9"/>
      <c r="S24" s="9"/>
      <c r="T24" s="9"/>
      <c r="U24" s="9"/>
      <c r="V24" s="9"/>
      <c r="W24" s="9"/>
      <c r="X24" s="9"/>
      <c r="Y24" s="9"/>
      <c r="Z24" s="9"/>
      <c r="AA24" s="9"/>
      <c r="AB24" s="9"/>
      <c r="AC24" s="164"/>
      <c r="AD24" s="162"/>
      <c r="AE24" s="165"/>
      <c r="AF24" s="7"/>
      <c r="AU24" s="160"/>
    </row>
    <row r="25" spans="2:51" ht="14.25" customHeight="1">
      <c r="B25" s="255"/>
      <c r="J25" s="272" t="str">
        <f>IF(IFERROR(SEARCH(".",J23),0)=0,CONCATENATE(J23,".",1),IF(IFERROR(SEARCH(".",J23),0)&gt;1,CONCATENATE(IFERROR(LEFT(J23,IFERROR(SEARCH(".",J23),0)-1),0),".",IFERROR(RIGHT(J23,LEN(J23)-IFERROR(SEARCH(".",J23),0)),0)+1),0))</f>
        <v>1.3</v>
      </c>
      <c r="K25" s="2" t="s">
        <v>186</v>
      </c>
      <c r="L25" s="7"/>
      <c r="M25" s="7"/>
      <c r="O25" s="483" t="str">
        <f>CONCATENATE(J25,". ",K25,$K$17)</f>
        <v>1.3. Projeto Econômico e Plano de Aplicação/Orçamento detalhado; (impresso e eletrônico grav. em CD ROM)------------------------------------------------------------------------------------------------------------------------------------------------------------------------</v>
      </c>
      <c r="P25" s="483"/>
      <c r="Q25" s="483"/>
      <c r="R25" s="483"/>
      <c r="S25" s="483"/>
      <c r="T25" s="483"/>
      <c r="U25" s="483"/>
      <c r="V25" s="483"/>
      <c r="W25" s="483"/>
      <c r="X25" s="483"/>
      <c r="Y25" s="483"/>
      <c r="Z25" s="483"/>
      <c r="AA25" s="483"/>
      <c r="AB25" s="483"/>
      <c r="AC25" s="483"/>
      <c r="AD25" s="162"/>
      <c r="AE25" s="357"/>
      <c r="AF25" s="7"/>
      <c r="AG25" s="80"/>
      <c r="AM25" s="255">
        <v>1</v>
      </c>
      <c r="AN25" s="271">
        <f t="shared" ref="AN25" si="0">IF(AND(AC25&lt;&gt;"",AE25&lt;&gt;""),4,IF(AC25&lt;&gt;"",1,IF(AE25&lt;&gt;"",2,0)))</f>
        <v>0</v>
      </c>
      <c r="AO25" s="255"/>
      <c r="AP25" s="188">
        <f t="shared" ref="AP25" si="1">IF(AND(AC25&lt;&gt;"",AE25&lt;&gt;""),1,IF(AND(AE25="",AN25=2),1,IF(OR(AN25&lt;&gt;0),0,1)))</f>
        <v>1</v>
      </c>
      <c r="AQ25" s="255">
        <f ca="1">SUM($AP$21:OFFSET(AQ25,-2,-1))</f>
        <v>2</v>
      </c>
      <c r="AR25" s="13" t="str">
        <f t="shared" ref="AR25" ca="1" si="2">IF(AND(AC25="",AQ25=0),AS25,"XX")</f>
        <v>XX</v>
      </c>
      <c r="AS25" s="255">
        <f>MAX($AE$21:AE23)</f>
        <v>0</v>
      </c>
      <c r="AT25" s="255">
        <f>IF(SUM(AE27:$AE$259)&gt;0,MIN(AE27:$AE$259),10000)</f>
        <v>10000</v>
      </c>
      <c r="AU25" s="78"/>
      <c r="AV25" s="78"/>
      <c r="AW25" s="13">
        <f t="shared" ref="AW25" si="3">IF(AND(AC25&lt;&gt;"",AE25&lt;&gt;""),4,0)</f>
        <v>0</v>
      </c>
      <c r="AX25" s="78" t="e">
        <f ca="1">IF(AND(AN25&lt;&gt;1,AN25&lt;&gt;3,AN25&lt;&gt;4),AR25+1,XX)</f>
        <v>#VALUE!</v>
      </c>
      <c r="AY25" s="78">
        <f>IF(AND(AN25&lt;&gt;1,AN25&lt;&gt;3,AN25&lt;&gt;4),AT25-1,XX)</f>
        <v>9999</v>
      </c>
    </row>
    <row r="26" spans="2:51" ht="3" customHeight="1">
      <c r="B26" s="255"/>
      <c r="J26" s="269"/>
      <c r="L26" s="7"/>
      <c r="M26" s="7"/>
      <c r="O26" s="34"/>
      <c r="P26" s="34"/>
      <c r="Q26" s="34"/>
      <c r="R26" s="34"/>
      <c r="S26" s="34"/>
      <c r="T26" s="34"/>
      <c r="U26" s="34"/>
      <c r="V26" s="34"/>
      <c r="W26" s="34"/>
      <c r="X26" s="34"/>
      <c r="Y26" s="34"/>
      <c r="Z26" s="34"/>
      <c r="AA26" s="34"/>
      <c r="AB26" s="9"/>
      <c r="AC26" s="164"/>
      <c r="AD26" s="162"/>
      <c r="AE26" s="165"/>
      <c r="AF26" s="7"/>
      <c r="AG26" s="255"/>
      <c r="AU26" s="160"/>
    </row>
    <row r="27" spans="2:51" ht="14.25" customHeight="1">
      <c r="B27" s="255"/>
      <c r="J27" s="272" t="str">
        <f>IF(IFERROR(SEARCH(".",J25),0)=0,CONCATENATE(J25,".",1),IF(IFERROR(SEARCH(".",J25),0)&gt;1,CONCATENATE(IFERROR(LEFT(J25,IFERROR(SEARCH(".",J25),0)-1),0),".",IFERROR(RIGHT(J25,LEN(J25)-IFERROR(SEARCH(".",J25),0)),0)+1),0))</f>
        <v>1.4</v>
      </c>
      <c r="K27" s="2" t="s">
        <v>12</v>
      </c>
      <c r="L27" s="7"/>
      <c r="M27" s="7"/>
      <c r="O27" s="483" t="str">
        <f>CONCATENATE(J27,". ",K27,$K$17)</f>
        <v>1.4. Cronograma físico-financeiro do empreendimento;------------------------------------------------------------------------------------------------------------------------------------------------------------------------</v>
      </c>
      <c r="P27" s="483"/>
      <c r="Q27" s="483"/>
      <c r="R27" s="483"/>
      <c r="S27" s="483"/>
      <c r="T27" s="483"/>
      <c r="U27" s="483"/>
      <c r="V27" s="483"/>
      <c r="W27" s="483"/>
      <c r="X27" s="483"/>
      <c r="Y27" s="483"/>
      <c r="Z27" s="483"/>
      <c r="AA27" s="483"/>
      <c r="AB27" s="483"/>
      <c r="AC27" s="483"/>
      <c r="AD27" s="273"/>
      <c r="AE27" s="166"/>
      <c r="AF27" s="7"/>
      <c r="AG27" s="80"/>
      <c r="AM27" s="255">
        <v>1</v>
      </c>
      <c r="AN27" s="271">
        <f t="shared" ref="AN27" si="4">IF(AND(AC27&lt;&gt;"",AE27&lt;&gt;""),4,IF(AC27&lt;&gt;"",1,IF(AE27&lt;&gt;"",2,0)))</f>
        <v>0</v>
      </c>
      <c r="AO27" s="255"/>
      <c r="AP27" s="188">
        <f t="shared" ref="AP27" si="5">IF(AND(AC27&lt;&gt;"",AE27&lt;&gt;""),1,IF(AND(AE27="",AN27=2),1,IF(OR(AN27&lt;&gt;0),0,1)))</f>
        <v>1</v>
      </c>
      <c r="AQ27" s="255">
        <f ca="1">SUM($AP$21:OFFSET(AQ27,-2,-1))</f>
        <v>3</v>
      </c>
      <c r="AR27" s="13" t="str">
        <f t="shared" ref="AR27" ca="1" si="6">IF(AND(AC27="",AQ27=0),AS27,"XX")</f>
        <v>XX</v>
      </c>
      <c r="AS27" s="255">
        <f>MAX($AE$21:AE25)</f>
        <v>0</v>
      </c>
      <c r="AT27" s="255">
        <f>IF(SUM(AE29:$AE$259)&gt;0,MIN(AE29:$AE$259),10000)</f>
        <v>10000</v>
      </c>
      <c r="AU27" s="78"/>
      <c r="AV27" s="78"/>
      <c r="AW27" s="13">
        <f t="shared" ref="AW27" si="7">IF(AND(AC27&lt;&gt;"",AE27&lt;&gt;""),4,0)</f>
        <v>0</v>
      </c>
      <c r="AX27" s="78" t="e">
        <f ca="1">IF(AND(AN27&lt;&gt;1,AN27&lt;&gt;3,AN27&lt;&gt;4),AR27+1,XX)</f>
        <v>#VALUE!</v>
      </c>
      <c r="AY27" s="78">
        <f>IF(AND(AN27&lt;&gt;1,AN27&lt;&gt;3,AN27&lt;&gt;4),AT27-1,XX)</f>
        <v>9999</v>
      </c>
    </row>
    <row r="28" spans="2:51" ht="3" customHeight="1">
      <c r="B28" s="255"/>
      <c r="J28" s="274"/>
      <c r="L28" s="7"/>
      <c r="M28" s="7"/>
      <c r="O28" s="36"/>
      <c r="P28" s="36"/>
      <c r="Q28" s="36"/>
      <c r="R28" s="36"/>
      <c r="S28" s="36"/>
      <c r="T28" s="36"/>
      <c r="U28" s="36"/>
      <c r="V28" s="36"/>
      <c r="W28" s="36"/>
      <c r="X28" s="36"/>
      <c r="Y28" s="36"/>
      <c r="Z28" s="36"/>
      <c r="AA28" s="36"/>
      <c r="AB28" s="9"/>
      <c r="AC28" s="164"/>
      <c r="AD28" s="162"/>
      <c r="AE28" s="165"/>
      <c r="AF28" s="7"/>
      <c r="AG28" s="255"/>
      <c r="AU28" s="160"/>
    </row>
    <row r="29" spans="2:51" ht="14.25" customHeight="1">
      <c r="B29" s="255"/>
      <c r="J29" s="272" t="str">
        <f>IF(IFERROR(SEARCH(".",J27),0)=0,CONCATENATE(J27,".",1),IF(IFERROR(SEARCH(".",J27),0)&gt;1,CONCATENATE(IFERROR(LEFT(J27,IFERROR(SEARCH(".",J27),0)-1),0),".",IFERROR(RIGHT(J27,LEN(J27)-IFERROR(SEARCH(".",J27),0)),0)+1),0))</f>
        <v>1.5</v>
      </c>
      <c r="K29" s="2" t="s">
        <v>403</v>
      </c>
      <c r="L29" s="7"/>
      <c r="M29" s="7"/>
      <c r="O29" s="483" t="str">
        <f>CONCATENATE(J29,". ",K29,$K$17)</f>
        <v>1.5. Estudo de Mercado;------------------------------------------------------------------------------------------------------------------------------------------------------------------------</v>
      </c>
      <c r="P29" s="483"/>
      <c r="Q29" s="483"/>
      <c r="R29" s="483"/>
      <c r="S29" s="483"/>
      <c r="T29" s="483"/>
      <c r="U29" s="483"/>
      <c r="V29" s="483"/>
      <c r="W29" s="483"/>
      <c r="X29" s="483"/>
      <c r="Y29" s="483"/>
      <c r="Z29" s="483"/>
      <c r="AA29" s="483"/>
      <c r="AB29" s="483"/>
      <c r="AC29" s="483"/>
      <c r="AD29" s="162"/>
      <c r="AE29" s="166"/>
      <c r="AF29" s="7"/>
      <c r="AG29" s="80"/>
      <c r="AM29" s="255">
        <v>1</v>
      </c>
      <c r="AN29" s="271">
        <f t="shared" ref="AN29" si="8">IF(AND(AC29&lt;&gt;"",AE29&lt;&gt;""),4,IF(AC29&lt;&gt;"",1,IF(AE29&lt;&gt;"",2,0)))</f>
        <v>0</v>
      </c>
      <c r="AO29" s="255"/>
      <c r="AP29" s="188">
        <f t="shared" ref="AP29" si="9">IF(AND(AC29&lt;&gt;"",AE29&lt;&gt;""),1,IF(AND(AE29="",AN29=2),1,IF(OR(AN29&lt;&gt;0),0,1)))</f>
        <v>1</v>
      </c>
      <c r="AQ29" s="255">
        <f ca="1">SUM($AP$21:OFFSET(AQ29,-2,-1))</f>
        <v>4</v>
      </c>
      <c r="AR29" s="13" t="str">
        <f t="shared" ref="AR29" ca="1" si="10">IF(AND(AC29="",AQ29=0),AS29,"XX")</f>
        <v>XX</v>
      </c>
      <c r="AS29" s="255">
        <f>MAX($AE$21:AE27)</f>
        <v>0</v>
      </c>
      <c r="AT29" s="255">
        <f>IF(SUM(AE31:$AE$259)&gt;0,MIN(AE31:$AE$259),10000)</f>
        <v>10000</v>
      </c>
      <c r="AU29" s="78"/>
      <c r="AV29" s="78"/>
      <c r="AW29" s="13">
        <f t="shared" ref="AW29" si="11">IF(AND(AC29&lt;&gt;"",AE29&lt;&gt;""),4,0)</f>
        <v>0</v>
      </c>
      <c r="AX29" s="78" t="e">
        <f ca="1">IF(AND(AN29&lt;&gt;1,AN29&lt;&gt;3,AN29&lt;&gt;4),AR29+1,XX)</f>
        <v>#VALUE!</v>
      </c>
      <c r="AY29" s="78">
        <f>IF(AND(AN29&lt;&gt;1,AN29&lt;&gt;3,AN29&lt;&gt;4),AT29-1,XX)</f>
        <v>9999</v>
      </c>
    </row>
    <row r="30" spans="2:51" ht="3" customHeight="1">
      <c r="B30" s="255"/>
      <c r="J30" s="274"/>
      <c r="L30" s="7"/>
      <c r="M30" s="7"/>
      <c r="O30" s="36"/>
      <c r="P30" s="36"/>
      <c r="Q30" s="36"/>
      <c r="R30" s="36"/>
      <c r="S30" s="36"/>
      <c r="T30" s="36"/>
      <c r="U30" s="36"/>
      <c r="V30" s="36"/>
      <c r="W30" s="36"/>
      <c r="X30" s="36"/>
      <c r="Y30" s="36"/>
      <c r="Z30" s="36"/>
      <c r="AA30" s="36"/>
      <c r="AB30" s="9"/>
      <c r="AC30" s="164"/>
      <c r="AD30" s="162"/>
      <c r="AE30" s="165"/>
      <c r="AF30" s="7"/>
      <c r="AG30" s="255"/>
      <c r="AU30" s="160"/>
    </row>
    <row r="31" spans="2:51" ht="14.25" customHeight="1">
      <c r="B31" s="255"/>
      <c r="J31" s="272" t="str">
        <f>IF(LEN(J29)=1,CONCATENATE($J$19,".",1),IF(LEN(J29)&gt;1,CONCATENATE($J$19,".",IFERROR(RIGHT(J29,LEN(J29)-IFERROR(SEARCH(".",J29),0)),0)+1),0))</f>
        <v>1.6</v>
      </c>
      <c r="K31" s="2" t="s">
        <v>222</v>
      </c>
      <c r="L31" s="7"/>
      <c r="M31" s="7"/>
      <c r="O31" s="483" t="str">
        <f>CONCATENATE(J31,". ",K31,$K$17)</f>
        <v>1.6. Contrato de prestação de serviços entre proponente e projetista;------------------------------------------------------------------------------------------------------------------------------------------------------------------------</v>
      </c>
      <c r="P31" s="483"/>
      <c r="Q31" s="483"/>
      <c r="R31" s="483"/>
      <c r="S31" s="483"/>
      <c r="T31" s="483"/>
      <c r="U31" s="483"/>
      <c r="V31" s="483"/>
      <c r="W31" s="483"/>
      <c r="X31" s="483"/>
      <c r="Y31" s="483"/>
      <c r="Z31" s="483"/>
      <c r="AA31" s="483"/>
      <c r="AB31" s="483"/>
      <c r="AC31" s="483"/>
      <c r="AD31" s="162"/>
      <c r="AE31" s="166"/>
      <c r="AF31" s="7"/>
      <c r="AG31" s="80"/>
      <c r="AM31" s="255">
        <v>1</v>
      </c>
      <c r="AN31" s="271">
        <f t="shared" ref="AN31" si="12">IF(AND(AC31&lt;&gt;"",AE31&lt;&gt;""),4,IF(AC31&lt;&gt;"",1,IF(AE31&lt;&gt;"",2,0)))</f>
        <v>0</v>
      </c>
      <c r="AO31" s="255"/>
      <c r="AP31" s="188">
        <f t="shared" ref="AP31" si="13">IF(AND(AC31&lt;&gt;"",AE31&lt;&gt;""),1,IF(AND(AE31="",AN31=2),1,IF(OR(AN31&lt;&gt;0),0,1)))</f>
        <v>1</v>
      </c>
      <c r="AQ31" s="255">
        <f ca="1">SUM($AP$21:OFFSET(AQ31,-2,-1))</f>
        <v>5</v>
      </c>
      <c r="AR31" s="13" t="str">
        <f t="shared" ref="AR31" ca="1" si="14">IF(AND(AC31="",AQ31=0),AS31,"XX")</f>
        <v>XX</v>
      </c>
      <c r="AS31" s="255">
        <f>MAX($AE$21:AE29)</f>
        <v>0</v>
      </c>
      <c r="AT31" s="255">
        <f>IF(SUM(AE33:$AE$259)&gt;0,MIN(AE33:$AE$259),10000)</f>
        <v>10000</v>
      </c>
      <c r="AU31" s="78"/>
      <c r="AV31" s="78"/>
      <c r="AW31" s="13">
        <f t="shared" ref="AW31" si="15">IF(AND(AC31&lt;&gt;"",AE31&lt;&gt;""),4,0)</f>
        <v>0</v>
      </c>
      <c r="AX31" s="78" t="e">
        <f ca="1">IF(AND(AN31&lt;&gt;1,AN31&lt;&gt;3,AN31&lt;&gt;4),AR31+1,XX)</f>
        <v>#VALUE!</v>
      </c>
      <c r="AY31" s="78">
        <f>IF(AND(AN31&lt;&gt;1,AN31&lt;&gt;3,AN31&lt;&gt;4),AT31-1,XX)</f>
        <v>9999</v>
      </c>
    </row>
    <row r="32" spans="2:51" ht="3" customHeight="1">
      <c r="B32" s="255"/>
      <c r="J32" s="274"/>
      <c r="L32" s="7"/>
      <c r="M32" s="7"/>
      <c r="O32" s="367" t="s">
        <v>579</v>
      </c>
      <c r="P32" s="368"/>
      <c r="Q32" s="368"/>
      <c r="R32" s="368"/>
      <c r="S32" s="368"/>
      <c r="T32" s="368"/>
      <c r="U32" s="368"/>
      <c r="V32" s="368"/>
      <c r="W32" s="368"/>
      <c r="X32" s="368"/>
      <c r="Y32" s="368"/>
      <c r="Z32" s="368"/>
      <c r="AA32" s="368"/>
      <c r="AB32" s="286"/>
      <c r="AC32" s="64"/>
      <c r="AD32" s="162"/>
      <c r="AE32" s="165"/>
      <c r="AF32" s="7"/>
      <c r="AG32" s="255"/>
      <c r="AU32" s="160"/>
    </row>
    <row r="33" spans="1:51" ht="14.25" customHeight="1">
      <c r="B33" s="255"/>
      <c r="J33" s="275">
        <f>J19+1</f>
        <v>2</v>
      </c>
      <c r="K33" s="2" t="s">
        <v>57</v>
      </c>
      <c r="L33" s="7"/>
      <c r="M33" s="7"/>
      <c r="O33" s="454" t="str">
        <f>CONCATENATE(J33,". ",K33)</f>
        <v>2. Da Proponente:</v>
      </c>
      <c r="P33" s="454"/>
      <c r="Q33" s="454"/>
      <c r="R33" s="454"/>
      <c r="S33" s="454"/>
      <c r="T33" s="454"/>
      <c r="U33" s="454"/>
      <c r="V33" s="454"/>
      <c r="W33" s="454"/>
      <c r="X33" s="454"/>
      <c r="Y33" s="454"/>
      <c r="Z33" s="454"/>
      <c r="AA33" s="454"/>
      <c r="AB33" s="286"/>
      <c r="AC33" s="64"/>
      <c r="AD33" s="162"/>
      <c r="AE33" s="136" t="s">
        <v>389</v>
      </c>
      <c r="AF33" s="7"/>
      <c r="AM33" s="255"/>
      <c r="AN33" s="271"/>
      <c r="AO33" s="255"/>
      <c r="AP33" s="188"/>
      <c r="AQ33" s="255"/>
      <c r="AR33" s="13"/>
      <c r="AS33" s="255"/>
      <c r="AT33" s="255"/>
      <c r="AU33" s="78"/>
      <c r="AV33" s="78"/>
      <c r="AW33" s="13"/>
      <c r="AX33" s="78"/>
      <c r="AY33" s="78"/>
    </row>
    <row r="34" spans="1:51" s="6" customFormat="1" ht="3" customHeight="1">
      <c r="A34" s="255"/>
      <c r="B34" s="25"/>
      <c r="J34" s="167"/>
      <c r="L34" s="28"/>
      <c r="M34" s="28"/>
      <c r="O34" s="35"/>
      <c r="P34" s="35"/>
      <c r="Q34" s="35"/>
      <c r="R34" s="35"/>
      <c r="S34" s="35"/>
      <c r="T34" s="35"/>
      <c r="U34" s="35"/>
      <c r="V34" s="35"/>
      <c r="W34" s="35"/>
      <c r="X34" s="35"/>
      <c r="Y34" s="35"/>
      <c r="Z34" s="35"/>
      <c r="AA34" s="35"/>
      <c r="AB34" s="26"/>
      <c r="AC34" s="168"/>
      <c r="AD34" s="169"/>
      <c r="AE34" s="170"/>
      <c r="AF34" s="28"/>
      <c r="AG34" s="255"/>
      <c r="AJ34" s="160"/>
      <c r="AK34" s="171"/>
      <c r="AL34" s="172"/>
      <c r="AM34" s="160"/>
      <c r="AN34" s="160"/>
      <c r="AO34" s="160"/>
      <c r="AP34" s="160"/>
      <c r="AQ34" s="160"/>
      <c r="AR34" s="160"/>
      <c r="AS34" s="161"/>
      <c r="AT34" s="161"/>
      <c r="AU34" s="160"/>
      <c r="AV34" s="161"/>
      <c r="AW34" s="161"/>
      <c r="AX34" s="2"/>
      <c r="AY34" s="2"/>
    </row>
    <row r="35" spans="1:51" ht="14.25" customHeight="1">
      <c r="B35" s="255"/>
      <c r="J35" s="272" t="str">
        <f>IF(IFERROR(SEARCH(".",J33),0)=0,CONCATENATE(J33,".",1),IF(IFERROR(SEARCH(".",J33),0)&gt;1,CONCATENATE(IFERROR(LEFT(J33,IFERROR(SEARCH(".",J33),0)-1),0),".",IFERROR(RIGHT(J33,LEN(J33)-IFERROR(SEARCH(".",J33),0)),0)+1),0))</f>
        <v>2.1</v>
      </c>
      <c r="K35" s="2" t="s">
        <v>487</v>
      </c>
      <c r="L35" s="7"/>
      <c r="M35" s="7"/>
      <c r="O35" s="467" t="str">
        <f>CONCATENATE(J35,". ",K35,$K$17)</f>
        <v>2.1. Balanços com DRE dos 3 (três) últimos exercícios e Balancete 90 dias;------------------------------------------------------------------------------------------------------------------------------------------------------------------------</v>
      </c>
      <c r="P35" s="467"/>
      <c r="Q35" s="467"/>
      <c r="R35" s="467"/>
      <c r="S35" s="467"/>
      <c r="T35" s="467"/>
      <c r="U35" s="467"/>
      <c r="V35" s="467"/>
      <c r="W35" s="467"/>
      <c r="X35" s="467"/>
      <c r="Y35" s="467"/>
      <c r="Z35" s="467"/>
      <c r="AA35" s="467"/>
      <c r="AB35" s="467"/>
      <c r="AC35" s="467"/>
      <c r="AD35" s="162"/>
      <c r="AE35" s="166"/>
      <c r="AF35" s="7"/>
      <c r="AG35" s="80"/>
      <c r="AM35" s="255">
        <v>1</v>
      </c>
      <c r="AN35" s="271">
        <f t="shared" ref="AN35" si="16">IF(AND(AC35&lt;&gt;"",AE35&lt;&gt;""),4,IF(AC35&lt;&gt;"",1,IF(AE35&lt;&gt;"",2,0)))</f>
        <v>0</v>
      </c>
      <c r="AO35" s="255"/>
      <c r="AP35" s="188">
        <f t="shared" ref="AP35" si="17">IF(AND(AC35&lt;&gt;"",AE35&lt;&gt;""),1,IF(AND(AE35="",AN35=2),1,IF(OR(AN35&lt;&gt;0),0,1)))</f>
        <v>1</v>
      </c>
      <c r="AQ35" s="255">
        <f ca="1">SUM($AP$21:OFFSET(AQ35,-2,-1))</f>
        <v>6</v>
      </c>
      <c r="AR35" s="13" t="str">
        <f t="shared" ref="AR35" ca="1" si="18">IF(AND(AC35="",AQ35=0),AS35,"XX")</f>
        <v>XX</v>
      </c>
      <c r="AS35" s="255">
        <f>MAX($AE$21:AE33)</f>
        <v>0</v>
      </c>
      <c r="AT35" s="255">
        <f>IF(SUM(AE37:$AE$259)&gt;0,MIN(AE37:$AE$259),10000)</f>
        <v>10000</v>
      </c>
      <c r="AU35" s="78"/>
      <c r="AV35" s="78"/>
      <c r="AW35" s="13">
        <f t="shared" ref="AW35" si="19">IF(AND(AC35&lt;&gt;"",AE35&lt;&gt;""),4,0)</f>
        <v>0</v>
      </c>
      <c r="AX35" s="78" t="e">
        <f ca="1">IF(AND(AN35&lt;&gt;1,AN35&lt;&gt;3,AN35&lt;&gt;4),AR35+1,XX)</f>
        <v>#VALUE!</v>
      </c>
      <c r="AY35" s="78">
        <f>IF(AND(AN35&lt;&gt;1,AN35&lt;&gt;3,AN35&lt;&gt;4),AT35-1,XX)</f>
        <v>9999</v>
      </c>
    </row>
    <row r="36" spans="1:51" ht="3" customHeight="1">
      <c r="B36" s="255"/>
      <c r="J36" s="269"/>
      <c r="L36" s="7"/>
      <c r="M36" s="7"/>
      <c r="O36" s="34"/>
      <c r="P36" s="34"/>
      <c r="Q36" s="34"/>
      <c r="R36" s="34"/>
      <c r="S36" s="34"/>
      <c r="T36" s="34"/>
      <c r="U36" s="34"/>
      <c r="V36" s="34"/>
      <c r="W36" s="34"/>
      <c r="X36" s="34"/>
      <c r="Y36" s="34"/>
      <c r="Z36" s="34"/>
      <c r="AA36" s="34"/>
      <c r="AB36" s="9"/>
      <c r="AC36" s="164"/>
      <c r="AD36" s="162"/>
      <c r="AE36" s="165"/>
      <c r="AF36" s="7"/>
      <c r="AU36" s="160"/>
    </row>
    <row r="37" spans="1:51" ht="14.25" customHeight="1">
      <c r="B37" s="255"/>
      <c r="J37" s="272" t="str">
        <f>IF(IFERROR(SEARCH(".",J35),0)=0,CONCATENATE(J35,".",1),IF(IFERROR(SEARCH(".",J35),0)&gt;1,CONCATENATE(IFERROR(LEFT(J35,IFERROR(SEARCH(".",J35),0)-1),0),".",IFERROR(RIGHT(J35,LEN(J35)-IFERROR(SEARCH(".",J35),0)),0)+1),0))</f>
        <v>2.2</v>
      </c>
      <c r="K37" s="2" t="s">
        <v>405</v>
      </c>
      <c r="L37" s="7"/>
      <c r="M37" s="7"/>
      <c r="O37" s="483" t="str">
        <f>CONCATENATE(J37,". ",K37,$K$17)</f>
        <v>2.2. Estatuto/Contrato Social, com respectivas alterações;------------------------------------------------------------------------------------------------------------------------------------------------------------------------</v>
      </c>
      <c r="P37" s="483"/>
      <c r="Q37" s="483"/>
      <c r="R37" s="483"/>
      <c r="S37" s="483"/>
      <c r="T37" s="483"/>
      <c r="U37" s="483"/>
      <c r="V37" s="483"/>
      <c r="W37" s="483"/>
      <c r="X37" s="483"/>
      <c r="Y37" s="483"/>
      <c r="Z37" s="483"/>
      <c r="AA37" s="483"/>
      <c r="AB37" s="483"/>
      <c r="AC37" s="483"/>
      <c r="AD37" s="162"/>
      <c r="AE37" s="166"/>
      <c r="AF37" s="7"/>
      <c r="AG37" s="80"/>
      <c r="AM37" s="255">
        <v>1</v>
      </c>
      <c r="AN37" s="271">
        <f t="shared" ref="AN37" si="20">IF(AND(AC37&lt;&gt;"",AE37&lt;&gt;""),4,IF(AC37&lt;&gt;"",1,IF(AE37&lt;&gt;"",2,0)))</f>
        <v>0</v>
      </c>
      <c r="AO37" s="255"/>
      <c r="AP37" s="188">
        <f t="shared" ref="AP37" si="21">IF(AND(AC37&lt;&gt;"",AE37&lt;&gt;""),1,IF(AND(AE37="",AN37=2),1,IF(OR(AN37&lt;&gt;0),0,1)))</f>
        <v>1</v>
      </c>
      <c r="AQ37" s="255">
        <f ca="1">SUM($AP$21:OFFSET(AQ37,-2,-1))</f>
        <v>7</v>
      </c>
      <c r="AR37" s="13" t="str">
        <f t="shared" ref="AR37" ca="1" si="22">IF(AND(AC37="",AQ37=0),AS37,"XX")</f>
        <v>XX</v>
      </c>
      <c r="AS37" s="255">
        <f>MAX($AE$21:AE35)</f>
        <v>0</v>
      </c>
      <c r="AT37" s="255">
        <f>IF(SUM(AE39:$AE$259)&gt;0,MIN(AE39:$AE$259),10000)</f>
        <v>10000</v>
      </c>
      <c r="AU37" s="78"/>
      <c r="AV37" s="78"/>
      <c r="AW37" s="13">
        <f t="shared" ref="AW37" si="23">IF(AND(AC37&lt;&gt;"",AE37&lt;&gt;""),4,0)</f>
        <v>0</v>
      </c>
      <c r="AX37" s="78" t="e">
        <f ca="1">IF(AND(AN37&lt;&gt;1,AN37&lt;&gt;3,AN37&lt;&gt;4),AR37+1,XX)</f>
        <v>#VALUE!</v>
      </c>
      <c r="AY37" s="78">
        <f>IF(AND(AN37&lt;&gt;1,AN37&lt;&gt;3,AN37&lt;&gt;4),AT37-1,XX)</f>
        <v>9999</v>
      </c>
    </row>
    <row r="38" spans="1:51" ht="3" customHeight="1">
      <c r="B38" s="255"/>
      <c r="J38" s="269"/>
      <c r="L38" s="7"/>
      <c r="M38" s="7"/>
      <c r="O38" s="34"/>
      <c r="P38" s="34"/>
      <c r="Q38" s="34"/>
      <c r="R38" s="34"/>
      <c r="S38" s="34"/>
      <c r="T38" s="34"/>
      <c r="U38" s="34"/>
      <c r="V38" s="34"/>
      <c r="W38" s="34"/>
      <c r="X38" s="34"/>
      <c r="Y38" s="34"/>
      <c r="Z38" s="34"/>
      <c r="AA38" s="34"/>
      <c r="AB38" s="9"/>
      <c r="AC38" s="164"/>
      <c r="AD38" s="162"/>
      <c r="AE38" s="165"/>
      <c r="AF38" s="7"/>
      <c r="AU38" s="160"/>
    </row>
    <row r="39" spans="1:51" ht="14.25" customHeight="1">
      <c r="B39" s="255"/>
      <c r="J39" s="272" t="str">
        <f>IF(IFERROR(SEARCH(".",J37),0)=0,CONCATENATE(J37,".",1),IF(IFERROR(SEARCH(".",J37),0)&gt;1,CONCATENATE(IFERROR(LEFT(J37,IFERROR(SEARCH(".",J37),0)-1),0),".",IFERROR(RIGHT(J37,LEN(J37)-IFERROR(SEARCH(".",J37),0)),0)+1),0))</f>
        <v>2.3</v>
      </c>
      <c r="K39" s="2" t="s">
        <v>406</v>
      </c>
      <c r="L39" s="7"/>
      <c r="M39" s="7"/>
      <c r="O39" s="467" t="str">
        <f>CONCATENATE(J39,". ",K39,$K$17)</f>
        <v>2.3. Ata da Assembléia que elegeu a atual diretoria e conselho de administração - Em caso de S.A.; ------------------------------------------------------------------------------------------------------------------------------------------------------------------------</v>
      </c>
      <c r="P39" s="467"/>
      <c r="Q39" s="467"/>
      <c r="R39" s="467"/>
      <c r="S39" s="467"/>
      <c r="T39" s="467"/>
      <c r="U39" s="467"/>
      <c r="V39" s="467"/>
      <c r="W39" s="467"/>
      <c r="X39" s="467"/>
      <c r="Y39" s="467"/>
      <c r="Z39" s="467"/>
      <c r="AA39" s="467"/>
      <c r="AB39" s="9"/>
      <c r="AC39" s="223"/>
      <c r="AD39" s="162"/>
      <c r="AE39" s="166"/>
      <c r="AF39" s="7"/>
      <c r="AG39" s="80"/>
      <c r="AK39" s="160"/>
      <c r="AM39" s="255">
        <v>1</v>
      </c>
      <c r="AN39" s="271">
        <f t="shared" ref="AN39" si="24">IF(AND(AC39&lt;&gt;"",AE39&lt;&gt;""),4,IF(AC39&lt;&gt;"",1,IF(AE39&lt;&gt;"",2,0)))</f>
        <v>0</v>
      </c>
      <c r="AO39" s="255" t="str">
        <f t="shared" ref="AO39" si="25">IF(AND(AE39="",AN39=2),"",IF(AND(AE39="",AN39&lt;&gt;3),"X",""))</f>
        <v>X</v>
      </c>
      <c r="AP39" s="188">
        <f t="shared" ref="AP39" si="26">IF(AND(AC39&lt;&gt;"",AE39&lt;&gt;""),1,IF(AND(AE39="",AN39=2),1,IF(OR(AN39&lt;&gt;0),0,1)))</f>
        <v>1</v>
      </c>
      <c r="AQ39" s="255">
        <f ca="1">SUM($AP$21:OFFSET(AQ39,-2,-1))</f>
        <v>8</v>
      </c>
      <c r="AR39" s="13" t="str">
        <f t="shared" ref="AR39" ca="1" si="27">IF(AND(AC39="",AQ39=0),AS39,"XX")</f>
        <v>XX</v>
      </c>
      <c r="AS39" s="255">
        <f>MAX($AE$21:AE37)</f>
        <v>0</v>
      </c>
      <c r="AT39" s="255">
        <f>IF(SUM(AE41:$AE$259)&gt;0,MIN(AE41:$AE$259),10000)</f>
        <v>10000</v>
      </c>
      <c r="AU39" s="78"/>
      <c r="AV39" s="78"/>
      <c r="AW39" s="13">
        <f t="shared" ref="AW39" si="28">IF(AND(AC39&lt;&gt;"",AE39&lt;&gt;""),4,0)</f>
        <v>0</v>
      </c>
      <c r="AX39" s="78" t="e">
        <f ca="1">IF(AND(AN39&lt;&gt;1,AN39&lt;&gt;3,AN39&lt;&gt;4),AR39+1,XX)</f>
        <v>#VALUE!</v>
      </c>
      <c r="AY39" s="78">
        <f>IF(AND(AN39&lt;&gt;1,AN39&lt;&gt;3,AN39&lt;&gt;4),AT39-1,XX)</f>
        <v>9999</v>
      </c>
    </row>
    <row r="40" spans="1:51" ht="3" customHeight="1">
      <c r="B40" s="255"/>
      <c r="J40" s="269"/>
      <c r="L40" s="7"/>
      <c r="M40" s="7"/>
      <c r="O40" s="34"/>
      <c r="P40" s="34"/>
      <c r="Q40" s="34"/>
      <c r="R40" s="34"/>
      <c r="S40" s="34"/>
      <c r="T40" s="34"/>
      <c r="U40" s="34"/>
      <c r="V40" s="34"/>
      <c r="W40" s="34"/>
      <c r="X40" s="34"/>
      <c r="Y40" s="34"/>
      <c r="Z40" s="34"/>
      <c r="AA40" s="34"/>
      <c r="AB40" s="9"/>
      <c r="AC40" s="164"/>
      <c r="AD40" s="162"/>
      <c r="AE40" s="165"/>
      <c r="AF40" s="7"/>
      <c r="AU40" s="160"/>
    </row>
    <row r="41" spans="1:51" ht="14.25" customHeight="1">
      <c r="B41" s="255"/>
      <c r="J41" s="272" t="str">
        <f>IF(IFERROR(SEARCH(".",J39),0)=0,CONCATENATE(J39,".",1),IF(IFERROR(SEARCH(".",J39),0)&gt;1,CONCATENATE(IFERROR(LEFT(J39,IFERROR(SEARCH(".",J39),0)-1),0),".",IFERROR(RIGHT(J39,LEN(J39)-IFERROR(SEARCH(".",J39),0)),0)+1),0))</f>
        <v>2.4</v>
      </c>
      <c r="K41" s="2" t="s">
        <v>488</v>
      </c>
      <c r="L41" s="7"/>
      <c r="M41" s="7"/>
      <c r="O41" s="467" t="str">
        <f>CONCATENATE(J41,". ",K41,$K$17)</f>
        <v>2.4. Alvará de Funcionamento;------------------------------------------------------------------------------------------------------------------------------------------------------------------------</v>
      </c>
      <c r="P41" s="467"/>
      <c r="Q41" s="467"/>
      <c r="R41" s="467"/>
      <c r="S41" s="467"/>
      <c r="T41" s="467"/>
      <c r="U41" s="467"/>
      <c r="V41" s="467"/>
      <c r="W41" s="467"/>
      <c r="X41" s="467"/>
      <c r="Y41" s="467"/>
      <c r="Z41" s="467"/>
      <c r="AA41" s="467"/>
      <c r="AB41" s="9"/>
      <c r="AC41" s="191"/>
      <c r="AD41" s="162"/>
      <c r="AE41" s="166"/>
      <c r="AF41" s="7"/>
      <c r="AG41" s="80"/>
      <c r="AK41" s="160"/>
      <c r="AM41" s="255">
        <v>1</v>
      </c>
      <c r="AN41" s="271">
        <f t="shared" ref="AN41" si="29">IF(AND(AC41&lt;&gt;"",AE41&lt;&gt;""),4,IF(AC41&lt;&gt;"",1,IF(AE41&lt;&gt;"",2,0)))</f>
        <v>0</v>
      </c>
      <c r="AO41" s="255" t="str">
        <f t="shared" ref="AO41" si="30">IF(AND(AE41="",AN41=2),"",IF(AND(AE41="",AN41&lt;&gt;3),"X",""))</f>
        <v>X</v>
      </c>
      <c r="AP41" s="188">
        <f t="shared" ref="AP41" si="31">IF(AND(AC41&lt;&gt;"",AE41&lt;&gt;""),1,IF(AND(AE41="",AN41=2),1,IF(OR(AN41&lt;&gt;0),0,1)))</f>
        <v>1</v>
      </c>
      <c r="AQ41" s="255">
        <f ca="1">SUM($AP$21:OFFSET(AQ41,-2,-1))</f>
        <v>9</v>
      </c>
      <c r="AR41" s="13" t="str">
        <f t="shared" ref="AR41" ca="1" si="32">IF(AND(AC41="",AQ41=0),AS41,"XX")</f>
        <v>XX</v>
      </c>
      <c r="AS41" s="255">
        <f>MAX($AE$21:AE39)</f>
        <v>0</v>
      </c>
      <c r="AT41" s="255">
        <f>IF(SUM(AE43:$AE$259)&gt;0,MIN(AE43:$AE$259),10000)</f>
        <v>10000</v>
      </c>
      <c r="AU41" s="78"/>
      <c r="AV41" s="78"/>
      <c r="AW41" s="13">
        <f t="shared" ref="AW41" si="33">IF(AND(AC41&lt;&gt;"",AE41&lt;&gt;""),4,0)</f>
        <v>0</v>
      </c>
      <c r="AX41" s="78" t="e">
        <f ca="1">IF(AND(AN41&lt;&gt;1,AN41&lt;&gt;3,AN41&lt;&gt;4),AR41+1,XX)</f>
        <v>#VALUE!</v>
      </c>
      <c r="AY41" s="78">
        <f>IF(AND(AN41&lt;&gt;1,AN41&lt;&gt;3,AN41&lt;&gt;4),AT41-1,XX)</f>
        <v>9999</v>
      </c>
    </row>
    <row r="42" spans="1:51" ht="3" customHeight="1">
      <c r="B42" s="255"/>
      <c r="J42" s="269"/>
      <c r="L42" s="7"/>
      <c r="M42" s="7"/>
      <c r="O42" s="34"/>
      <c r="P42" s="34"/>
      <c r="Q42" s="34"/>
      <c r="R42" s="34"/>
      <c r="S42" s="34"/>
      <c r="T42" s="34"/>
      <c r="U42" s="34"/>
      <c r="V42" s="34"/>
      <c r="W42" s="34"/>
      <c r="X42" s="34"/>
      <c r="Y42" s="34"/>
      <c r="Z42" s="34"/>
      <c r="AA42" s="34"/>
      <c r="AB42" s="9"/>
      <c r="AC42" s="164"/>
      <c r="AD42" s="162"/>
      <c r="AE42" s="165"/>
      <c r="AF42" s="7"/>
      <c r="AG42" s="255"/>
      <c r="AU42" s="160"/>
    </row>
    <row r="43" spans="1:51" ht="14.25" customHeight="1">
      <c r="B43" s="255"/>
      <c r="J43" s="272" t="str">
        <f>IF(IFERROR(SEARCH(".",J41),0)=0,CONCATENATE(J41,".",1),IF(IFERROR(SEARCH(".",J41),0)&gt;1,CONCATENATE(IFERROR(LEFT(J41,IFERROR(SEARCH(".",J41),0)-1),0),".",IFERROR(RIGHT(J41,LEN(J41)-IFERROR(SEARCH(".",J41),0)),0)+1),0))</f>
        <v>2.5</v>
      </c>
      <c r="K43" s="2" t="s">
        <v>13</v>
      </c>
      <c r="L43" s="7"/>
      <c r="M43" s="7"/>
      <c r="O43" s="467" t="str">
        <f>CONCATENATE(J43,". ",K43,$K$17)</f>
        <v>2.5. Comprovação da capacidade de aporte de recursos próprios; ------------------------------------------------------------------------------------------------------------------------------------------------------------------------</v>
      </c>
      <c r="P43" s="467"/>
      <c r="Q43" s="467"/>
      <c r="R43" s="467"/>
      <c r="S43" s="467"/>
      <c r="T43" s="467"/>
      <c r="U43" s="467"/>
      <c r="V43" s="467"/>
      <c r="W43" s="467"/>
      <c r="X43" s="467"/>
      <c r="Y43" s="467"/>
      <c r="Z43" s="467"/>
      <c r="AA43" s="467"/>
      <c r="AB43" s="9"/>
      <c r="AC43" s="191"/>
      <c r="AD43" s="162"/>
      <c r="AE43" s="166"/>
      <c r="AF43" s="7"/>
      <c r="AG43" s="80"/>
      <c r="AK43" s="160"/>
      <c r="AM43" s="255">
        <v>1</v>
      </c>
      <c r="AN43" s="271">
        <f t="shared" ref="AN43" si="34">IF(AND(AC43&lt;&gt;"",AE43&lt;&gt;""),4,IF(AC43&lt;&gt;"",1,IF(AE43&lt;&gt;"",2,0)))</f>
        <v>0</v>
      </c>
      <c r="AO43" s="255" t="str">
        <f t="shared" ref="AO43" si="35">IF(AND(AE43="",AN43=2),"",IF(AND(AE43="",AN43&lt;&gt;3),"X",""))</f>
        <v>X</v>
      </c>
      <c r="AP43" s="188">
        <f t="shared" ref="AP43" si="36">IF(AND(AC43&lt;&gt;"",AE43&lt;&gt;""),1,IF(AND(AE43="",AN43=2),1,IF(OR(AN43&lt;&gt;0),0,1)))</f>
        <v>1</v>
      </c>
      <c r="AQ43" s="255">
        <f ca="1">SUM($AP$21:OFFSET(AQ43,-2,-1))</f>
        <v>10</v>
      </c>
      <c r="AR43" s="13" t="str">
        <f t="shared" ref="AR43" ca="1" si="37">IF(AND(AC43="",AQ43=0),AS43,"XX")</f>
        <v>XX</v>
      </c>
      <c r="AS43" s="255">
        <f>MAX($AE$21:AE41)</f>
        <v>0</v>
      </c>
      <c r="AT43" s="255">
        <f>IF(SUM(AE45:$AE$259)&gt;0,MIN(AE45:$AE$259),10000)</f>
        <v>10000</v>
      </c>
      <c r="AU43" s="78"/>
      <c r="AV43" s="78"/>
      <c r="AW43" s="13">
        <f t="shared" ref="AW43" si="38">IF(AND(AC43&lt;&gt;"",AE43&lt;&gt;""),4,0)</f>
        <v>0</v>
      </c>
      <c r="AX43" s="78" t="e">
        <f ca="1">IF(AND(AN43&lt;&gt;1,AN43&lt;&gt;3,AN43&lt;&gt;4),AR43+1,XX)</f>
        <v>#VALUE!</v>
      </c>
      <c r="AY43" s="78">
        <f>IF(AND(AN43&lt;&gt;1,AN43&lt;&gt;3,AN43&lt;&gt;4),AT43-1,XX)</f>
        <v>9999</v>
      </c>
    </row>
    <row r="44" spans="1:51" ht="3" customHeight="1">
      <c r="B44" s="255"/>
      <c r="J44" s="157"/>
      <c r="L44" s="7"/>
      <c r="M44" s="7"/>
      <c r="O44" s="158"/>
      <c r="P44" s="158"/>
      <c r="Q44" s="158"/>
      <c r="R44" s="158"/>
      <c r="S44" s="158"/>
      <c r="T44" s="158"/>
      <c r="U44" s="158"/>
      <c r="V44" s="158"/>
      <c r="W44" s="158"/>
      <c r="X44" s="158"/>
      <c r="Y44" s="158"/>
      <c r="Z44" s="158"/>
      <c r="AA44" s="158"/>
      <c r="AB44" s="29"/>
      <c r="AC44" s="159"/>
      <c r="AD44" s="159"/>
      <c r="AE44" s="159"/>
      <c r="AF44" s="7"/>
      <c r="AG44" s="255"/>
      <c r="AU44" s="160"/>
    </row>
    <row r="45" spans="1:51" ht="14.25" customHeight="1">
      <c r="B45" s="255"/>
      <c r="J45" s="272" t="str">
        <f>IF(IFERROR(SEARCH(".",J43),0)=0,CONCATENATE(J43,".",1),IF(IFERROR(SEARCH(".",J43),0)&gt;1,CONCATENATE(IFERROR(LEFT(J43,IFERROR(SEARCH(".",J43),0)-1),0),".",IFERROR(RIGHT(J43,LEN(J43)-IFERROR(SEARCH(".",J43),0)),0)+1),0))</f>
        <v>2.6</v>
      </c>
      <c r="K45" s="2" t="s">
        <v>259</v>
      </c>
      <c r="L45" s="7"/>
      <c r="M45" s="7"/>
      <c r="O45" s="467" t="str">
        <f>CONCATENATE(J45,". ",K45,$K$17)</f>
        <v>2.6. Formulário de Informações Socioambiental - FISA ou Questionário Socioambiental - QSA;------------------------------------------------------------------------------------------------------------------------------------------------------------------------</v>
      </c>
      <c r="P45" s="467"/>
      <c r="Q45" s="467"/>
      <c r="R45" s="467"/>
      <c r="S45" s="467"/>
      <c r="T45" s="467"/>
      <c r="U45" s="467"/>
      <c r="V45" s="467"/>
      <c r="W45" s="467"/>
      <c r="X45" s="467"/>
      <c r="Y45" s="467"/>
      <c r="Z45" s="467"/>
      <c r="AA45" s="467"/>
      <c r="AB45" s="467"/>
      <c r="AC45" s="467"/>
      <c r="AD45" s="162"/>
      <c r="AE45" s="166"/>
      <c r="AF45" s="7"/>
      <c r="AG45" s="80"/>
      <c r="AM45" s="255">
        <v>1</v>
      </c>
      <c r="AN45" s="271">
        <f t="shared" ref="AN45" si="39">IF(AND(AC45&lt;&gt;"",AE45&lt;&gt;""),4,IF(AC45&lt;&gt;"",1,IF(AE45&lt;&gt;"",2,0)))</f>
        <v>0</v>
      </c>
      <c r="AO45" s="255" t="str">
        <f t="shared" ref="AO45" si="40">IF(AND(AE45="",AN45=2),"",IF(AND(AE45="",AN45&lt;&gt;3),"X",""))</f>
        <v>X</v>
      </c>
      <c r="AP45" s="188">
        <f t="shared" ref="AP45" si="41">IF(AND(AC45&lt;&gt;"",AE45&lt;&gt;""),1,IF(AND(AE45="",AN45=2),1,IF(OR(AN45&lt;&gt;0),0,1)))</f>
        <v>1</v>
      </c>
      <c r="AQ45" s="255">
        <f ca="1">SUM($AP$21:OFFSET(AQ45,-2,-1))</f>
        <v>11</v>
      </c>
      <c r="AR45" s="13" t="str">
        <f t="shared" ref="AR45" ca="1" si="42">IF(AND(AC45="",AQ45=0),AS45,"XX")</f>
        <v>XX</v>
      </c>
      <c r="AS45" s="255">
        <f>MAX($AE$21:AE43)</f>
        <v>0</v>
      </c>
      <c r="AT45" s="255">
        <f>IF(SUM(AE47:$AE$259)&gt;0,MIN(AE47:$AE$259),10000)</f>
        <v>10000</v>
      </c>
      <c r="AU45" s="78"/>
      <c r="AV45" s="78"/>
      <c r="AW45" s="13">
        <f t="shared" ref="AW45" si="43">IF(AND(AC45&lt;&gt;"",AE45&lt;&gt;""),4,0)</f>
        <v>0</v>
      </c>
      <c r="AX45" s="78" t="e">
        <f ca="1">IF(AND(AN45&lt;&gt;1,AN45&lt;&gt;3,AN45&lt;&gt;4),AR45+1,XX)</f>
        <v>#VALUE!</v>
      </c>
      <c r="AY45" s="78">
        <f>IF(AND(AN45&lt;&gt;1,AN45&lt;&gt;3,AN45&lt;&gt;4),AT45-1,XX)</f>
        <v>9999</v>
      </c>
    </row>
    <row r="46" spans="1:51" s="59" customFormat="1" ht="3" customHeight="1">
      <c r="A46" s="58"/>
      <c r="B46" s="58"/>
      <c r="J46" s="157"/>
      <c r="L46" s="61"/>
      <c r="M46" s="61"/>
      <c r="O46" s="276"/>
      <c r="P46" s="276"/>
      <c r="Q46" s="276"/>
      <c r="R46" s="276"/>
      <c r="S46" s="276"/>
      <c r="T46" s="276"/>
      <c r="U46" s="276"/>
      <c r="V46" s="276"/>
      <c r="W46" s="276"/>
      <c r="X46" s="276"/>
      <c r="Y46" s="276"/>
      <c r="Z46" s="276"/>
      <c r="AA46" s="276"/>
      <c r="AB46" s="276"/>
      <c r="AC46" s="159"/>
      <c r="AD46" s="159"/>
      <c r="AE46" s="159"/>
      <c r="AF46" s="61"/>
      <c r="AG46" s="58"/>
      <c r="AJ46" s="58"/>
      <c r="AL46" s="58"/>
      <c r="AM46" s="160"/>
      <c r="AN46" s="160"/>
      <c r="AO46" s="160"/>
      <c r="AP46" s="160"/>
      <c r="AQ46" s="160"/>
      <c r="AR46" s="160"/>
      <c r="AS46" s="161"/>
      <c r="AT46" s="161"/>
      <c r="AU46" s="160"/>
      <c r="AV46" s="161"/>
      <c r="AW46" s="161"/>
      <c r="AX46" s="2"/>
      <c r="AY46" s="2"/>
    </row>
    <row r="47" spans="1:51" s="59" customFormat="1" ht="14.25" customHeight="1">
      <c r="A47" s="58"/>
      <c r="B47" s="58"/>
      <c r="J47" s="272" t="str">
        <f>IF(IFERROR(SEARCH(".",J45),0)=0,CONCATENATE(J45,".",1),IF(IFERROR(SEARCH(".",J45),0)&gt;1,CONCATENATE(IFERROR(LEFT(J45,IFERROR(SEARCH(".",J45),0)-1),0),".",IFERROR(RIGHT(J45,LEN(J45)-IFERROR(SEARCH(".",J45),0)),0)+1),0))</f>
        <v>2.7</v>
      </c>
      <c r="K47" s="59" t="s">
        <v>489</v>
      </c>
      <c r="L47" s="61"/>
      <c r="M47" s="61"/>
      <c r="O47" s="480" t="str">
        <f>CONCATENATE(J47,". ",K47,$K$17)</f>
        <v>2.7. Certidão Negativa de Embargo de área para uso econômico - IBAMA;------------------------------------------------------------------------------------------------------------------------------------------------------------------------</v>
      </c>
      <c r="P47" s="480"/>
      <c r="Q47" s="480"/>
      <c r="R47" s="480"/>
      <c r="S47" s="480"/>
      <c r="T47" s="480"/>
      <c r="U47" s="480"/>
      <c r="V47" s="480"/>
      <c r="W47" s="480"/>
      <c r="X47" s="480"/>
      <c r="Y47" s="480"/>
      <c r="Z47" s="480"/>
      <c r="AA47" s="480"/>
      <c r="AB47" s="277"/>
      <c r="AC47" s="191"/>
      <c r="AD47" s="162"/>
      <c r="AE47" s="166"/>
      <c r="AF47" s="61"/>
      <c r="AG47" s="81"/>
      <c r="AJ47" s="160"/>
      <c r="AK47" s="160"/>
      <c r="AL47" s="160"/>
      <c r="AM47" s="255">
        <v>1</v>
      </c>
      <c r="AN47" s="271">
        <f t="shared" ref="AN47" si="44">IF(AND(AC47&lt;&gt;"",AE47&lt;&gt;""),4,IF(AC47&lt;&gt;"",1,IF(AE47&lt;&gt;"",2,0)))</f>
        <v>0</v>
      </c>
      <c r="AO47" s="255" t="str">
        <f t="shared" ref="AO47" si="45">IF(AND(AE47="",AN47=2),"",IF(AND(AE47="",AN47&lt;&gt;3),"X",""))</f>
        <v>X</v>
      </c>
      <c r="AP47" s="188">
        <f t="shared" ref="AP47" si="46">IF(AND(AC47&lt;&gt;"",AE47&lt;&gt;""),1,IF(AND(AE47="",AN47=2),1,IF(OR(AN47&lt;&gt;0),0,1)))</f>
        <v>1</v>
      </c>
      <c r="AQ47" s="255">
        <f ca="1">SUM($AP$21:OFFSET(AQ47,-2,-1))</f>
        <v>12</v>
      </c>
      <c r="AR47" s="13" t="str">
        <f t="shared" ref="AR47" ca="1" si="47">IF(AND(AC47="",AQ47=0),AS47,"XX")</f>
        <v>XX</v>
      </c>
      <c r="AS47" s="255">
        <f>MAX($AE$21:AE45)</f>
        <v>0</v>
      </c>
      <c r="AT47" s="255">
        <f>IF(SUM(AE49:$AE$259)&gt;0,MIN(AE49:$AE$259),10000)</f>
        <v>10000</v>
      </c>
      <c r="AU47" s="78"/>
      <c r="AV47" s="78"/>
      <c r="AW47" s="13">
        <f t="shared" ref="AW47" si="48">IF(AND(AC47&lt;&gt;"",AE47&lt;&gt;""),4,0)</f>
        <v>0</v>
      </c>
      <c r="AX47" s="78" t="e">
        <f ca="1">IF(AND(AN47&lt;&gt;1,AN47&lt;&gt;3,AN47&lt;&gt;4),AR47+1,XX)</f>
        <v>#VALUE!</v>
      </c>
      <c r="AY47" s="78">
        <f>IF(AND(AN47&lt;&gt;1,AN47&lt;&gt;3,AN47&lt;&gt;4),AT47-1,XX)</f>
        <v>9999</v>
      </c>
    </row>
    <row r="48" spans="1:51" ht="3" customHeight="1">
      <c r="B48" s="255"/>
      <c r="J48" s="274"/>
      <c r="L48" s="7"/>
      <c r="M48" s="7"/>
      <c r="O48" s="34"/>
      <c r="P48" s="34"/>
      <c r="Q48" s="34"/>
      <c r="R48" s="34"/>
      <c r="S48" s="34"/>
      <c r="T48" s="34"/>
      <c r="U48" s="34"/>
      <c r="V48" s="34"/>
      <c r="W48" s="34"/>
      <c r="X48" s="34"/>
      <c r="Y48" s="34"/>
      <c r="Z48" s="34"/>
      <c r="AA48" s="34"/>
      <c r="AB48" s="9"/>
      <c r="AC48" s="164"/>
      <c r="AD48" s="162"/>
      <c r="AE48" s="165"/>
      <c r="AF48" s="7"/>
      <c r="AG48" s="25"/>
      <c r="AU48" s="160"/>
    </row>
    <row r="49" spans="1:51" ht="14.25" customHeight="1">
      <c r="B49" s="255"/>
      <c r="J49" s="272" t="str">
        <f>IF(IFERROR(SEARCH(".",J47),0)=0,CONCATENATE(J47,".",1),IF(IFERROR(SEARCH(".",J47),0)&gt;1,CONCATENATE(IFERROR(LEFT(J47,IFERROR(SEARCH(".",J47),0)-1),0),".",IFERROR(RIGHT(J47,LEN(J47)-IFERROR(SEARCH(".",J47),0)),0)+1),0))</f>
        <v>2.8</v>
      </c>
      <c r="K49" s="2" t="s">
        <v>21</v>
      </c>
      <c r="L49" s="7"/>
      <c r="M49" s="7"/>
      <c r="O49" s="480" t="str">
        <f>CONCATENATE(J49,". ",K49,$K$17)</f>
        <v>2.8. Licença Prévia (LP) ou Licença de Instalação (LI) ou Licença de Operação (LO) ou dispensa de licenciamento;------------------------------------------------------------------------------------------------------------------------------------------------------------------------</v>
      </c>
      <c r="P49" s="480"/>
      <c r="Q49" s="480"/>
      <c r="R49" s="480"/>
      <c r="S49" s="480"/>
      <c r="T49" s="480"/>
      <c r="U49" s="480"/>
      <c r="V49" s="480"/>
      <c r="W49" s="480"/>
      <c r="X49" s="480"/>
      <c r="Y49" s="480"/>
      <c r="Z49" s="480"/>
      <c r="AA49" s="480"/>
      <c r="AB49" s="480"/>
      <c r="AC49" s="480"/>
      <c r="AD49" s="162"/>
      <c r="AE49" s="166"/>
      <c r="AF49" s="7"/>
      <c r="AG49" s="80"/>
      <c r="AK49" s="160"/>
      <c r="AM49" s="255">
        <v>1</v>
      </c>
      <c r="AN49" s="271">
        <f t="shared" ref="AN49" si="49">IF(AND(AC49&lt;&gt;"",AE49&lt;&gt;""),4,IF(AC49&lt;&gt;"",1,IF(AE49&lt;&gt;"",2,0)))</f>
        <v>0</v>
      </c>
      <c r="AO49" s="255" t="str">
        <f t="shared" ref="AO49" si="50">IF(AND(AE49="",AN49=2),"",IF(AND(AE49="",AN49&lt;&gt;3),"X",""))</f>
        <v>X</v>
      </c>
      <c r="AP49" s="188">
        <f t="shared" ref="AP49" si="51">IF(AND(AC49&lt;&gt;"",AE49&lt;&gt;""),1,IF(AND(AE49="",AN49=2),1,IF(OR(AN49&lt;&gt;0),0,1)))</f>
        <v>1</v>
      </c>
      <c r="AQ49" s="255">
        <f ca="1">SUM($AP$21:OFFSET(AQ49,-2,-1))</f>
        <v>13</v>
      </c>
      <c r="AR49" s="13" t="str">
        <f t="shared" ref="AR49" ca="1" si="52">IF(AND(AC49="",AQ49=0),AS49,"XX")</f>
        <v>XX</v>
      </c>
      <c r="AS49" s="255">
        <f>MAX($AE$21:AE47)</f>
        <v>0</v>
      </c>
      <c r="AT49" s="255">
        <f>IF(SUM(AE50:$AE$259)&gt;0,MIN(AE50:$AE$259),10000)</f>
        <v>10000</v>
      </c>
      <c r="AU49" s="78"/>
      <c r="AV49" s="78"/>
      <c r="AW49" s="13">
        <f t="shared" ref="AW49" si="53">IF(AND(AC49&lt;&gt;"",AE49&lt;&gt;""),4,0)</f>
        <v>0</v>
      </c>
      <c r="AX49" s="78" t="e">
        <f ca="1">IF(AND(AN49&lt;&gt;1,AN49&lt;&gt;3,AN49&lt;&gt;4),AR49+1,XX)</f>
        <v>#VALUE!</v>
      </c>
      <c r="AY49" s="78">
        <f>IF(AND(AN49&lt;&gt;1,AN49&lt;&gt;3,AN49&lt;&gt;4),AT49-1,XX)</f>
        <v>9999</v>
      </c>
    </row>
    <row r="50" spans="1:51" ht="3" customHeight="1">
      <c r="B50" s="255"/>
      <c r="J50" s="274"/>
      <c r="L50" s="7"/>
      <c r="M50" s="7"/>
      <c r="O50" s="36"/>
      <c r="P50" s="36"/>
      <c r="Q50" s="36"/>
      <c r="R50" s="36"/>
      <c r="S50" s="36"/>
      <c r="T50" s="36"/>
      <c r="U50" s="36"/>
      <c r="V50" s="36"/>
      <c r="W50" s="36"/>
      <c r="X50" s="36"/>
      <c r="Y50" s="36"/>
      <c r="Z50" s="36"/>
      <c r="AA50" s="36"/>
      <c r="AB50" s="9"/>
      <c r="AC50" s="164"/>
      <c r="AD50" s="162"/>
      <c r="AE50" s="165"/>
      <c r="AF50" s="7"/>
      <c r="AG50" s="255"/>
      <c r="AK50" s="160"/>
      <c r="AU50" s="160"/>
    </row>
    <row r="51" spans="1:51" ht="14.25" customHeight="1">
      <c r="B51" s="255"/>
      <c r="J51" s="272" t="str">
        <f>IF(IFERROR(SEARCH(".",J49),0)=0,CONCATENATE(J49,".",1),IF(IFERROR(SEARCH(".",J49),0)&gt;1,CONCATENATE(IFERROR(LEFT(J49,IFERROR(SEARCH(".",J49),0)-1),0),".",IFERROR(RIGHT(J49,LEN(J49)-IFERROR(SEARCH(".",J49),0)),0)+1),0))</f>
        <v>2.9</v>
      </c>
      <c r="K51" s="2" t="s">
        <v>196</v>
      </c>
      <c r="L51" s="7"/>
      <c r="M51" s="7"/>
      <c r="O51" s="467" t="str">
        <f>CONCATENATE(J51,". ",K51,$K$17)</f>
        <v>2.9. Comprovante de pagamento da Taxa de Controle e Fiscalização Ambiental-TCFA - IBAMA;------------------------------------------------------------------------------------------------------------------------------------------------------------------------</v>
      </c>
      <c r="P51" s="467"/>
      <c r="Q51" s="467"/>
      <c r="R51" s="467"/>
      <c r="S51" s="467"/>
      <c r="T51" s="467"/>
      <c r="U51" s="467"/>
      <c r="V51" s="467"/>
      <c r="W51" s="467"/>
      <c r="X51" s="467"/>
      <c r="Y51" s="467"/>
      <c r="Z51" s="467"/>
      <c r="AA51" s="467"/>
      <c r="AB51" s="9"/>
      <c r="AC51" s="191"/>
      <c r="AD51" s="162"/>
      <c r="AE51" s="166"/>
      <c r="AF51" s="7"/>
      <c r="AG51" s="80"/>
      <c r="AK51" s="160"/>
      <c r="AM51" s="255">
        <v>1</v>
      </c>
      <c r="AN51" s="271">
        <f t="shared" ref="AN51" si="54">IF(AND(AC51&lt;&gt;"",AE51&lt;&gt;""),4,IF(AC51&lt;&gt;"",1,IF(AE51&lt;&gt;"",2,0)))</f>
        <v>0</v>
      </c>
      <c r="AO51" s="255" t="str">
        <f t="shared" ref="AO51" si="55">IF(AND(AE51="",AN51=2),"",IF(AND(AE51="",AN51&lt;&gt;3),"X",""))</f>
        <v>X</v>
      </c>
      <c r="AP51" s="188">
        <f t="shared" ref="AP51" si="56">IF(AND(AC51&lt;&gt;"",AE51&lt;&gt;""),1,IF(AND(AE51="",AN51=2),1,IF(OR(AN51&lt;&gt;0),0,1)))</f>
        <v>1</v>
      </c>
      <c r="AQ51" s="255">
        <f ca="1">SUM($AP$21:OFFSET(AQ51,-2,-1))</f>
        <v>14</v>
      </c>
      <c r="AR51" s="13" t="str">
        <f t="shared" ref="AR51" ca="1" si="57">IF(AND(AC51="",AQ51=0),AS51,"XX")</f>
        <v>XX</v>
      </c>
      <c r="AS51" s="255">
        <f>MAX($AE$21:AE49)</f>
        <v>0</v>
      </c>
      <c r="AT51" s="255">
        <f>IF(SUM(AE53:$AE$259)&gt;0,MIN(AE53:$AE$259),10000)</f>
        <v>10000</v>
      </c>
      <c r="AU51" s="78"/>
      <c r="AV51" s="78"/>
      <c r="AW51" s="13">
        <f t="shared" ref="AW51" si="58">IF(AND(AC51&lt;&gt;"",AE51&lt;&gt;""),4,0)</f>
        <v>0</v>
      </c>
      <c r="AX51" s="78" t="e">
        <f ca="1">IF(AND(AN51&lt;&gt;1,AN51&lt;&gt;3,AN51&lt;&gt;4),AR51+1,XX)</f>
        <v>#VALUE!</v>
      </c>
      <c r="AY51" s="78">
        <f>IF(AND(AN51&lt;&gt;1,AN51&lt;&gt;3,AN51&lt;&gt;4),AT51-1,XX)</f>
        <v>9999</v>
      </c>
    </row>
    <row r="52" spans="1:51" ht="3" customHeight="1">
      <c r="B52" s="255"/>
      <c r="J52" s="278"/>
      <c r="L52" s="7"/>
      <c r="M52" s="7"/>
      <c r="O52" s="38"/>
      <c r="P52" s="38"/>
      <c r="Q52" s="38"/>
      <c r="R52" s="38"/>
      <c r="S52" s="38"/>
      <c r="T52" s="38"/>
      <c r="U52" s="38"/>
      <c r="V52" s="38"/>
      <c r="W52" s="38"/>
      <c r="X52" s="38"/>
      <c r="Y52" s="38"/>
      <c r="Z52" s="38"/>
      <c r="AA52" s="38"/>
      <c r="AB52" s="9"/>
      <c r="AC52" s="164"/>
      <c r="AD52" s="162"/>
      <c r="AE52" s="165"/>
      <c r="AF52" s="7"/>
      <c r="AK52" s="160"/>
      <c r="AU52" s="160"/>
    </row>
    <row r="53" spans="1:51" ht="14.25" customHeight="1">
      <c r="B53" s="255"/>
      <c r="J53" s="272" t="str">
        <f>IF(IFERROR(SEARCH(".",J51),0)=0,CONCATENATE(J51,".",1),IF(IFERROR(SEARCH(".",J51),0)&gt;1,CONCATENATE(IFERROR(LEFT(J51,IFERROR(SEARCH(".",J51),0)-1),0),".",IFERROR(RIGHT(J51,LEN(J51)-IFERROR(SEARCH(".",J51),0)),0)+1),0))</f>
        <v>2.10</v>
      </c>
      <c r="K53" s="2" t="s">
        <v>32</v>
      </c>
      <c r="L53" s="7"/>
      <c r="M53" s="7"/>
      <c r="O53" s="480" t="str">
        <f>CONCATENATE(J53,". ",K53,$K$17)</f>
        <v>2.10. Certidão Negativa de Débitos Trabalhistas - TST;------------------------------------------------------------------------------------------------------------------------------------------------------------------------</v>
      </c>
      <c r="P53" s="480"/>
      <c r="Q53" s="480"/>
      <c r="R53" s="480"/>
      <c r="S53" s="480"/>
      <c r="T53" s="480"/>
      <c r="U53" s="480"/>
      <c r="V53" s="480"/>
      <c r="W53" s="480"/>
      <c r="X53" s="480"/>
      <c r="Y53" s="480"/>
      <c r="Z53" s="480"/>
      <c r="AA53" s="480"/>
      <c r="AB53" s="279"/>
      <c r="AC53" s="191"/>
      <c r="AD53" s="162"/>
      <c r="AE53" s="166"/>
      <c r="AF53" s="7"/>
      <c r="AG53" s="80"/>
      <c r="AK53" s="160"/>
      <c r="AM53" s="255">
        <v>1</v>
      </c>
      <c r="AN53" s="271">
        <f t="shared" ref="AN53" si="59">IF(AND(AC53&lt;&gt;"",AE53&lt;&gt;""),4,IF(AC53&lt;&gt;"",1,IF(AE53&lt;&gt;"",2,0)))</f>
        <v>0</v>
      </c>
      <c r="AO53" s="255" t="str">
        <f t="shared" ref="AO53" si="60">IF(AND(AE53="",AN53=2),"",IF(AND(AE53="",AN53&lt;&gt;3),"X",""))</f>
        <v>X</v>
      </c>
      <c r="AP53" s="188">
        <f t="shared" ref="AP53" si="61">IF(AND(AC53&lt;&gt;"",AE53&lt;&gt;""),1,IF(AND(AE53="",AN53=2),1,IF(OR(AN53&lt;&gt;0),0,1)))</f>
        <v>1</v>
      </c>
      <c r="AQ53" s="255">
        <f ca="1">SUM($AP$21:OFFSET(AQ53,-2,-1))</f>
        <v>15</v>
      </c>
      <c r="AR53" s="13" t="str">
        <f t="shared" ref="AR53" ca="1" si="62">IF(AND(AC53="",AQ53=0),AS53,"XX")</f>
        <v>XX</v>
      </c>
      <c r="AS53" s="255">
        <f>MAX($AE$21:AE51)</f>
        <v>0</v>
      </c>
      <c r="AT53" s="255">
        <f>IF(SUM(AE55:$AE$259)&gt;0,MIN(AE55:$AE$259),10000)</f>
        <v>10000</v>
      </c>
      <c r="AU53" s="78"/>
      <c r="AV53" s="78"/>
      <c r="AW53" s="13">
        <f t="shared" ref="AW53" si="63">IF(AND(AC53&lt;&gt;"",AE53&lt;&gt;""),4,0)</f>
        <v>0</v>
      </c>
      <c r="AX53" s="78" t="e">
        <f ca="1">IF(AND(AN53&lt;&gt;1,AN53&lt;&gt;3,AN53&lt;&gt;4),AR53+1,XX)</f>
        <v>#VALUE!</v>
      </c>
      <c r="AY53" s="78">
        <f>IF(AND(AN53&lt;&gt;1,AN53&lt;&gt;3,AN53&lt;&gt;4),AT53-1,XX)</f>
        <v>9999</v>
      </c>
    </row>
    <row r="54" spans="1:51" ht="3" customHeight="1">
      <c r="B54" s="255"/>
      <c r="J54" s="280"/>
      <c r="L54" s="7"/>
      <c r="M54" s="7"/>
      <c r="O54" s="281"/>
      <c r="P54" s="281"/>
      <c r="Q54" s="281"/>
      <c r="R54" s="281"/>
      <c r="S54" s="281"/>
      <c r="T54" s="281"/>
      <c r="U54" s="281"/>
      <c r="V54" s="281"/>
      <c r="W54" s="281"/>
      <c r="X54" s="281"/>
      <c r="Y54" s="281"/>
      <c r="Z54" s="281"/>
      <c r="AA54" s="281"/>
      <c r="AB54" s="30"/>
      <c r="AC54" s="282"/>
      <c r="AD54" s="282"/>
      <c r="AE54" s="282"/>
      <c r="AF54" s="7"/>
      <c r="AK54" s="160"/>
      <c r="AU54" s="160"/>
    </row>
    <row r="55" spans="1:51" ht="14.25" customHeight="1">
      <c r="B55" s="255"/>
      <c r="J55" s="272" t="str">
        <f>IF(IFERROR(SEARCH(".",J53),0)=0,CONCATENATE(J53,".",1),IF(IFERROR(SEARCH(".",J53),0)&gt;1,CONCATENATE(IFERROR(LEFT(J53,IFERROR(SEARCH(".",J53),0)-1),0),".",IFERROR(RIGHT(J53,LEN(J53)-IFERROR(SEARCH(".",J53),0)),0)+1),0))</f>
        <v>2.11</v>
      </c>
      <c r="K55" s="2" t="s">
        <v>192</v>
      </c>
      <c r="L55" s="7"/>
      <c r="M55" s="7"/>
      <c r="O55" s="467" t="str">
        <f>CONCATENATE(J55,". ",K55,$K$17)</f>
        <v>2.11. Justificativa das Ações Trabalhistas em julgamento e indicação da fase e valores atualizados;------------------------------------------------------------------------------------------------------------------------------------------------------------------------</v>
      </c>
      <c r="P55" s="467"/>
      <c r="Q55" s="467"/>
      <c r="R55" s="467"/>
      <c r="S55" s="467"/>
      <c r="T55" s="467"/>
      <c r="U55" s="467"/>
      <c r="V55" s="467"/>
      <c r="W55" s="467"/>
      <c r="X55" s="467"/>
      <c r="Y55" s="467"/>
      <c r="Z55" s="467"/>
      <c r="AA55" s="467"/>
      <c r="AB55" s="9"/>
      <c r="AC55" s="191"/>
      <c r="AD55" s="162"/>
      <c r="AE55" s="166"/>
      <c r="AF55" s="7"/>
      <c r="AG55" s="80"/>
      <c r="AK55" s="160"/>
      <c r="AM55" s="255">
        <v>1</v>
      </c>
      <c r="AN55" s="271">
        <f t="shared" ref="AN55" si="64">IF(AND(AC55&lt;&gt;"",AE55&lt;&gt;""),4,IF(AC55&lt;&gt;"",1,IF(AE55&lt;&gt;"",2,0)))</f>
        <v>0</v>
      </c>
      <c r="AO55" s="255" t="str">
        <f t="shared" ref="AO55" si="65">IF(AND(AE55="",AN55=2),"",IF(AND(AE55="",AN55&lt;&gt;3),"X",""))</f>
        <v>X</v>
      </c>
      <c r="AP55" s="188">
        <f t="shared" ref="AP55" si="66">IF(AND(AC55&lt;&gt;"",AE55&lt;&gt;""),1,IF(AND(AE55="",AN55=2),1,IF(OR(AN55&lt;&gt;0),0,1)))</f>
        <v>1</v>
      </c>
      <c r="AQ55" s="255">
        <f ca="1">SUM($AP$21:OFFSET(AQ55,-2,-1))</f>
        <v>16</v>
      </c>
      <c r="AR55" s="13" t="str">
        <f t="shared" ref="AR55" ca="1" si="67">IF(AND(AC55="",AQ55=0),AS55,"XX")</f>
        <v>XX</v>
      </c>
      <c r="AS55" s="255">
        <f>MAX($AE$21:AE53)</f>
        <v>0</v>
      </c>
      <c r="AT55" s="255">
        <f>IF(SUM(AE57:$AE$259)&gt;0,MIN(AE57:$AE$259),10000)</f>
        <v>10000</v>
      </c>
      <c r="AU55" s="78"/>
      <c r="AV55" s="78"/>
      <c r="AW55" s="13">
        <f t="shared" ref="AW55" si="68">IF(AND(AC55&lt;&gt;"",AE55&lt;&gt;""),4,0)</f>
        <v>0</v>
      </c>
      <c r="AX55" s="78" t="e">
        <f ca="1">IF(AND(AN55&lt;&gt;1,AN55&lt;&gt;3,AN55&lt;&gt;4),AR55+1,XX)</f>
        <v>#VALUE!</v>
      </c>
      <c r="AY55" s="78">
        <f>IF(AND(AN55&lt;&gt;1,AN55&lt;&gt;3,AN55&lt;&gt;4),AT55-1,XX)</f>
        <v>9999</v>
      </c>
    </row>
    <row r="56" spans="1:51" s="6" customFormat="1" ht="3" customHeight="1">
      <c r="A56" s="255"/>
      <c r="B56" s="255"/>
      <c r="D56" s="2"/>
      <c r="E56" s="2"/>
      <c r="F56" s="2"/>
      <c r="G56" s="2"/>
      <c r="H56" s="2"/>
      <c r="I56" s="2"/>
      <c r="J56" s="274"/>
      <c r="L56" s="28"/>
      <c r="M56" s="28"/>
      <c r="O56" s="36"/>
      <c r="P56" s="36"/>
      <c r="Q56" s="36"/>
      <c r="R56" s="36"/>
      <c r="S56" s="36"/>
      <c r="T56" s="36"/>
      <c r="U56" s="36"/>
      <c r="V56" s="36"/>
      <c r="W56" s="36"/>
      <c r="X56" s="36"/>
      <c r="Y56" s="36"/>
      <c r="Z56" s="36"/>
      <c r="AA56" s="36"/>
      <c r="AB56" s="9"/>
      <c r="AC56" s="164"/>
      <c r="AD56" s="162"/>
      <c r="AE56" s="165"/>
      <c r="AF56" s="28"/>
      <c r="AG56" s="255"/>
      <c r="AJ56" s="160"/>
      <c r="AK56" s="160"/>
      <c r="AL56" s="160"/>
      <c r="AM56" s="160"/>
      <c r="AN56" s="160"/>
      <c r="AO56" s="160"/>
      <c r="AP56" s="160"/>
      <c r="AQ56" s="160"/>
      <c r="AR56" s="160"/>
      <c r="AS56" s="171"/>
      <c r="AT56" s="161"/>
      <c r="AU56" s="160"/>
      <c r="AV56" s="161"/>
      <c r="AW56" s="161"/>
    </row>
    <row r="57" spans="1:51" ht="14.25" customHeight="1">
      <c r="B57" s="255"/>
      <c r="J57" s="272" t="str">
        <f>IF(IFERROR(SEARCH(".",J55),0)=0,CONCATENATE(J55,".",1),IF(IFERROR(SEARCH(".",J55),0)&gt;1,CONCATENATE(IFERROR(LEFT(J55,IFERROR(SEARCH(".",J55),0)-1),0),".",IFERROR(RIGHT(J55,LEN(J55)-IFERROR(SEARCH(".",J55),0)),0)+1),0))</f>
        <v>2.12</v>
      </c>
      <c r="K57" s="2" t="s">
        <v>302</v>
      </c>
      <c r="L57" s="7"/>
      <c r="M57" s="7"/>
      <c r="O57" s="467" t="str">
        <f>CONCATENATE(J57,". ",K57,$K$17)</f>
        <v>2.12. Consulta ao Cadastro Nacional de Empresas Inidôneas e Suspensas (CEIS);------------------------------------------------------------------------------------------------------------------------------------------------------------------------</v>
      </c>
      <c r="P57" s="467"/>
      <c r="Q57" s="467"/>
      <c r="R57" s="467"/>
      <c r="S57" s="467"/>
      <c r="T57" s="467"/>
      <c r="U57" s="467"/>
      <c r="V57" s="467"/>
      <c r="W57" s="467"/>
      <c r="X57" s="467"/>
      <c r="Y57" s="467"/>
      <c r="Z57" s="467"/>
      <c r="AA57" s="467"/>
      <c r="AB57" s="467"/>
      <c r="AC57" s="467"/>
      <c r="AD57" s="162"/>
      <c r="AE57" s="166"/>
      <c r="AF57" s="7"/>
      <c r="AG57" s="80"/>
      <c r="AK57" s="160"/>
      <c r="AM57" s="255">
        <v>1</v>
      </c>
      <c r="AN57" s="271">
        <f t="shared" ref="AN57" si="69">IF(AND(AC57&lt;&gt;"",AE57&lt;&gt;""),4,IF(AC57&lt;&gt;"",1,IF(AE57&lt;&gt;"",2,0)))</f>
        <v>0</v>
      </c>
      <c r="AO57" s="255" t="str">
        <f t="shared" ref="AO57" si="70">IF(AND(AE57="",AN57=2),"",IF(AND(AE57="",AN57&lt;&gt;3),"X",""))</f>
        <v>X</v>
      </c>
      <c r="AP57" s="188">
        <f t="shared" ref="AP57" si="71">IF(AND(AC57&lt;&gt;"",AE57&lt;&gt;""),1,IF(AND(AE57="",AN57=2),1,IF(OR(AN57&lt;&gt;0),0,1)))</f>
        <v>1</v>
      </c>
      <c r="AQ57" s="255">
        <f ca="1">SUM($AP$21:OFFSET(AQ57,-2,-1))</f>
        <v>17</v>
      </c>
      <c r="AR57" s="13" t="str">
        <f t="shared" ref="AR57" ca="1" si="72">IF(AND(AC57="",AQ57=0),AS57,"XX")</f>
        <v>XX</v>
      </c>
      <c r="AS57" s="255">
        <f>MAX($AE$21:AE55)</f>
        <v>0</v>
      </c>
      <c r="AT57" s="255">
        <f>IF(SUM(AE59:$AE$259)&gt;0,MIN(AE59:$AE$259),10000)</f>
        <v>10000</v>
      </c>
      <c r="AU57" s="78"/>
      <c r="AV57" s="78"/>
      <c r="AW57" s="13">
        <f t="shared" ref="AW57" si="73">IF(AND(AC57&lt;&gt;"",AE57&lt;&gt;""),4,0)</f>
        <v>0</v>
      </c>
      <c r="AX57" s="78" t="e">
        <f ca="1">IF(AND(AN57&lt;&gt;1,AN57&lt;&gt;3,AN57&lt;&gt;4),AR57+1,XX)</f>
        <v>#VALUE!</v>
      </c>
      <c r="AY57" s="78">
        <f>IF(AND(AN57&lt;&gt;1,AN57&lt;&gt;3,AN57&lt;&gt;4),AT57-1,XX)</f>
        <v>9999</v>
      </c>
    </row>
    <row r="58" spans="1:51" s="6" customFormat="1" ht="3" customHeight="1">
      <c r="A58" s="255"/>
      <c r="B58" s="255"/>
      <c r="D58" s="2"/>
      <c r="E58" s="2"/>
      <c r="F58" s="2"/>
      <c r="G58" s="2"/>
      <c r="H58" s="2"/>
      <c r="I58" s="2"/>
      <c r="J58" s="274"/>
      <c r="L58" s="28"/>
      <c r="M58" s="28"/>
      <c r="O58" s="36"/>
      <c r="P58" s="36"/>
      <c r="Q58" s="36"/>
      <c r="R58" s="36"/>
      <c r="S58" s="36"/>
      <c r="T58" s="36"/>
      <c r="U58" s="36"/>
      <c r="V58" s="36"/>
      <c r="W58" s="36"/>
      <c r="X58" s="36"/>
      <c r="Y58" s="36"/>
      <c r="Z58" s="36"/>
      <c r="AA58" s="36"/>
      <c r="AB58" s="9"/>
      <c r="AC58" s="164"/>
      <c r="AD58" s="162"/>
      <c r="AE58" s="165"/>
      <c r="AF58" s="28"/>
      <c r="AG58" s="255"/>
      <c r="AJ58" s="160"/>
      <c r="AK58" s="160"/>
      <c r="AL58" s="160"/>
      <c r="AM58" s="160"/>
      <c r="AN58" s="160"/>
      <c r="AO58" s="160"/>
      <c r="AP58" s="160"/>
      <c r="AQ58" s="160"/>
      <c r="AR58" s="160"/>
      <c r="AS58" s="171"/>
      <c r="AT58" s="161"/>
      <c r="AU58" s="160"/>
      <c r="AV58" s="161"/>
      <c r="AW58" s="161"/>
    </row>
    <row r="59" spans="1:51" ht="14.25" customHeight="1">
      <c r="B59" s="255"/>
      <c r="J59" s="272" t="str">
        <f>IF(IFERROR(SEARCH(".",J57),0)=0,CONCATENATE(J57,".",1),IF(IFERROR(SEARCH(".",J57),0)&gt;1,CONCATENATE(IFERROR(LEFT(J57,IFERROR(SEARCH(".",J57),0)-1),0),".",IFERROR(RIGHT(J57,LEN(J57)-IFERROR(SEARCH(".",J57),0)),0)+1),0))</f>
        <v>2.13</v>
      </c>
      <c r="K59" s="2" t="s">
        <v>54</v>
      </c>
      <c r="L59" s="7"/>
      <c r="M59" s="7"/>
      <c r="O59" s="467" t="str">
        <f>CONCATENATE(J59,". ",K59,$K$17)</f>
        <v>2.13. Instrumentos contratuais dos financiamentos em andamento em outras instituições financeiras;------------------------------------------------------------------------------------------------------------------------------------------------------------------------</v>
      </c>
      <c r="P59" s="467"/>
      <c r="Q59" s="467"/>
      <c r="R59" s="467"/>
      <c r="S59" s="467"/>
      <c r="T59" s="467"/>
      <c r="U59" s="467"/>
      <c r="V59" s="467"/>
      <c r="W59" s="467"/>
      <c r="X59" s="467"/>
      <c r="Y59" s="467"/>
      <c r="Z59" s="467"/>
      <c r="AA59" s="467"/>
      <c r="AB59" s="9"/>
      <c r="AC59" s="191"/>
      <c r="AD59" s="162"/>
      <c r="AE59" s="166"/>
      <c r="AF59" s="7"/>
      <c r="AG59" s="80"/>
      <c r="AK59" s="160"/>
      <c r="AM59" s="255">
        <v>1</v>
      </c>
      <c r="AN59" s="271">
        <f t="shared" ref="AN59" si="74">IF(AND(AC59&lt;&gt;"",AE59&lt;&gt;""),4,IF(AC59&lt;&gt;"",1,IF(AE59&lt;&gt;"",2,0)))</f>
        <v>0</v>
      </c>
      <c r="AO59" s="255" t="str">
        <f t="shared" ref="AO59" si="75">IF(AND(AE59="",AN59=2),"",IF(AND(AE59="",AN59&lt;&gt;3),"X",""))</f>
        <v>X</v>
      </c>
      <c r="AP59" s="188">
        <f t="shared" ref="AP59" si="76">IF(AND(AC59&lt;&gt;"",AE59&lt;&gt;""),1,IF(AND(AE59="",AN59=2),1,IF(OR(AN59&lt;&gt;0),0,1)))</f>
        <v>1</v>
      </c>
      <c r="AQ59" s="255">
        <f ca="1">SUM($AP$21:OFFSET(AQ59,-2,-1))</f>
        <v>18</v>
      </c>
      <c r="AR59" s="13" t="str">
        <f t="shared" ref="AR59" ca="1" si="77">IF(AND(AC59="",AQ59=0),AS59,"XX")</f>
        <v>XX</v>
      </c>
      <c r="AS59" s="255">
        <f>MAX($AE$21:AE57)</f>
        <v>0</v>
      </c>
      <c r="AT59" s="255">
        <f>IF(SUM(AE61:$AE$259)&gt;0,MIN(AE61:$AE$259),10000)</f>
        <v>10000</v>
      </c>
      <c r="AU59" s="78"/>
      <c r="AV59" s="78"/>
      <c r="AW59" s="13">
        <f t="shared" ref="AW59" si="78">IF(AND(AC59&lt;&gt;"",AE59&lt;&gt;""),4,0)</f>
        <v>0</v>
      </c>
      <c r="AX59" s="78" t="e">
        <f ca="1">IF(AND(AN59&lt;&gt;1,AN59&lt;&gt;3,AN59&lt;&gt;4),AR59+1,XX)</f>
        <v>#VALUE!</v>
      </c>
      <c r="AY59" s="78">
        <f>IF(AND(AN59&lt;&gt;1,AN59&lt;&gt;3,AN59&lt;&gt;4),AT59-1,XX)</f>
        <v>9999</v>
      </c>
    </row>
    <row r="60" spans="1:51" s="6" customFormat="1" ht="3" customHeight="1">
      <c r="A60" s="255"/>
      <c r="B60" s="255"/>
      <c r="D60" s="2"/>
      <c r="E60" s="2"/>
      <c r="F60" s="2"/>
      <c r="G60" s="2"/>
      <c r="H60" s="2"/>
      <c r="I60" s="2"/>
      <c r="J60" s="274"/>
      <c r="L60" s="28"/>
      <c r="M60" s="28"/>
      <c r="O60" s="36"/>
      <c r="P60" s="36"/>
      <c r="Q60" s="36"/>
      <c r="R60" s="36"/>
      <c r="S60" s="36"/>
      <c r="T60" s="36"/>
      <c r="U60" s="36"/>
      <c r="V60" s="36"/>
      <c r="W60" s="36"/>
      <c r="X60" s="36"/>
      <c r="Y60" s="36"/>
      <c r="Z60" s="36"/>
      <c r="AA60" s="36"/>
      <c r="AB60" s="9"/>
      <c r="AC60" s="164"/>
      <c r="AD60" s="162"/>
      <c r="AE60" s="165"/>
      <c r="AF60" s="28"/>
      <c r="AG60" s="255"/>
      <c r="AJ60" s="160"/>
      <c r="AK60" s="160"/>
      <c r="AL60" s="160"/>
      <c r="AM60" s="160"/>
      <c r="AN60" s="160"/>
      <c r="AO60" s="160"/>
      <c r="AP60" s="160"/>
      <c r="AQ60" s="160"/>
      <c r="AR60" s="160"/>
      <c r="AS60" s="171"/>
      <c r="AT60" s="161"/>
      <c r="AU60" s="160"/>
      <c r="AV60" s="161"/>
      <c r="AW60" s="161"/>
    </row>
    <row r="61" spans="1:51" ht="14.25" customHeight="1">
      <c r="B61" s="255"/>
      <c r="J61" s="272" t="str">
        <f>IF(IFERROR(SEARCH(".",J59),0)=0,CONCATENATE(J59,".",1),IF(IFERROR(SEARCH(".",J59),0)&gt;1,CONCATENATE(IFERROR(LEFT(J59,IFERROR(SEARCH(".",J59),0)-1),0),".",IFERROR(RIGHT(J59,LEN(J59)-IFERROR(SEARCH(".",J59),0)),0)+1),0))</f>
        <v>2.14</v>
      </c>
      <c r="K61" s="2" t="s">
        <v>270</v>
      </c>
      <c r="L61" s="7"/>
      <c r="M61" s="7"/>
      <c r="O61" s="467" t="str">
        <f>CONCATENATE(J61,". ",K61,$K$17)</f>
        <v>2.14. Extratos dos financiamentos em andamento em outras inst. financeiras, ou planilha com detalhamento;------------------------------------------------------------------------------------------------------------------------------------------------------------------------</v>
      </c>
      <c r="P61" s="467"/>
      <c r="Q61" s="467"/>
      <c r="R61" s="467"/>
      <c r="S61" s="467"/>
      <c r="T61" s="467"/>
      <c r="U61" s="467"/>
      <c r="V61" s="467"/>
      <c r="W61" s="467"/>
      <c r="X61" s="467"/>
      <c r="Y61" s="467"/>
      <c r="Z61" s="467"/>
      <c r="AA61" s="467"/>
      <c r="AB61" s="9"/>
      <c r="AC61" s="191"/>
      <c r="AD61" s="162"/>
      <c r="AE61" s="166"/>
      <c r="AF61" s="7"/>
      <c r="AG61" s="80"/>
      <c r="AK61" s="160"/>
      <c r="AM61" s="255">
        <v>1</v>
      </c>
      <c r="AN61" s="271">
        <f t="shared" ref="AN61" si="79">IF(AND(AC61&lt;&gt;"",AE61&lt;&gt;""),4,IF(AC61&lt;&gt;"",1,IF(AE61&lt;&gt;"",2,0)))</f>
        <v>0</v>
      </c>
      <c r="AO61" s="255" t="str">
        <f t="shared" ref="AO61" si="80">IF(AND(AE61="",AN61=2),"",IF(AND(AE61="",AN61&lt;&gt;3),"X",""))</f>
        <v>X</v>
      </c>
      <c r="AP61" s="188">
        <f t="shared" ref="AP61" si="81">IF(AND(AC61&lt;&gt;"",AE61&lt;&gt;""),1,IF(AND(AE61="",AN61=2),1,IF(OR(AN61&lt;&gt;0),0,1)))</f>
        <v>1</v>
      </c>
      <c r="AQ61" s="255">
        <f ca="1">SUM($AP$21:OFFSET(AQ61,-2,-1))</f>
        <v>19</v>
      </c>
      <c r="AR61" s="13" t="str">
        <f t="shared" ref="AR61" ca="1" si="82">IF(AND(AC61="",AQ61=0),AS61,"XX")</f>
        <v>XX</v>
      </c>
      <c r="AS61" s="255">
        <f>MAX($AE$21:AE59)</f>
        <v>0</v>
      </c>
      <c r="AT61" s="255">
        <f>IF(SUM(AE63:$AE$259)&gt;0,MIN(AE63:$AE$259),10000)</f>
        <v>10000</v>
      </c>
      <c r="AU61" s="78"/>
      <c r="AV61" s="78"/>
      <c r="AW61" s="13">
        <f t="shared" ref="AW61" si="83">IF(AND(AC61&lt;&gt;"",AE61&lt;&gt;""),4,0)</f>
        <v>0</v>
      </c>
      <c r="AX61" s="78" t="e">
        <f ca="1">IF(AND(AN61&lt;&gt;1,AN61&lt;&gt;3,AN61&lt;&gt;4),AR61+1,XX)</f>
        <v>#VALUE!</v>
      </c>
      <c r="AY61" s="78">
        <f>IF(AND(AN61&lt;&gt;1,AN61&lt;&gt;3,AN61&lt;&gt;4),AT61-1,XX)</f>
        <v>9999</v>
      </c>
    </row>
    <row r="62" spans="1:51" s="6" customFormat="1" ht="3" customHeight="1">
      <c r="A62" s="255"/>
      <c r="B62" s="255"/>
      <c r="D62" s="2"/>
      <c r="E62" s="2"/>
      <c r="F62" s="2"/>
      <c r="G62" s="2"/>
      <c r="H62" s="2"/>
      <c r="I62" s="2"/>
      <c r="J62" s="167"/>
      <c r="L62" s="28"/>
      <c r="M62" s="28"/>
      <c r="O62" s="40"/>
      <c r="P62" s="40"/>
      <c r="Q62" s="40"/>
      <c r="R62" s="40"/>
      <c r="S62" s="40"/>
      <c r="T62" s="40"/>
      <c r="U62" s="40"/>
      <c r="V62" s="40"/>
      <c r="W62" s="40"/>
      <c r="X62" s="40"/>
      <c r="Y62" s="40"/>
      <c r="Z62" s="40"/>
      <c r="AA62" s="40"/>
      <c r="AB62" s="26"/>
      <c r="AC62" s="168"/>
      <c r="AD62" s="169"/>
      <c r="AE62" s="170"/>
      <c r="AF62" s="28"/>
      <c r="AG62" s="25"/>
      <c r="AJ62" s="160"/>
      <c r="AK62" s="160"/>
      <c r="AL62" s="160"/>
      <c r="AM62" s="160"/>
      <c r="AN62" s="160"/>
      <c r="AO62" s="160"/>
      <c r="AP62" s="160"/>
      <c r="AQ62" s="160"/>
      <c r="AR62" s="160"/>
      <c r="AS62" s="171"/>
      <c r="AT62" s="161"/>
      <c r="AU62" s="160"/>
      <c r="AV62" s="161"/>
      <c r="AW62" s="161"/>
    </row>
    <row r="63" spans="1:51" ht="14.25" customHeight="1">
      <c r="B63" s="255"/>
      <c r="J63" s="272" t="str">
        <f>IF(IFERROR(SEARCH(".",J61),0)=0,CONCATENATE(J61,".",1),IF(IFERROR(SEARCH(".",J61),0)&gt;1,CONCATENATE(IFERROR(LEFT(J61,IFERROR(SEARCH(".",J61),0)-1),0),".",IFERROR(RIGHT(J61,LEN(J61)-IFERROR(SEARCH(".",J61),0)),0)+1),0))</f>
        <v>2.15</v>
      </c>
      <c r="K63" s="2" t="s">
        <v>197</v>
      </c>
      <c r="L63" s="7"/>
      <c r="M63" s="7"/>
      <c r="O63" s="467" t="str">
        <f>CONCATENATE(J63,". ",K63,$K$17)</f>
        <v>2.15. Comprovante de benefícios fiscais;------------------------------------------------------------------------------------------------------------------------------------------------------------------------</v>
      </c>
      <c r="P63" s="467"/>
      <c r="Q63" s="467"/>
      <c r="R63" s="467"/>
      <c r="S63" s="467"/>
      <c r="T63" s="467"/>
      <c r="U63" s="467"/>
      <c r="V63" s="467"/>
      <c r="W63" s="467"/>
      <c r="X63" s="467"/>
      <c r="Y63" s="467"/>
      <c r="Z63" s="467"/>
      <c r="AA63" s="467"/>
      <c r="AB63" s="9"/>
      <c r="AC63" s="191"/>
      <c r="AD63" s="162"/>
      <c r="AE63" s="166"/>
      <c r="AF63" s="7"/>
      <c r="AG63" s="80"/>
      <c r="AK63" s="160"/>
      <c r="AM63" s="255">
        <v>1</v>
      </c>
      <c r="AN63" s="271">
        <f t="shared" ref="AN63" si="84">IF(AND(AC63&lt;&gt;"",AE63&lt;&gt;""),4,IF(AC63&lt;&gt;"",1,IF(AE63&lt;&gt;"",2,0)))</f>
        <v>0</v>
      </c>
      <c r="AO63" s="255" t="str">
        <f t="shared" ref="AO63" si="85">IF(AND(AE63="",AN63=2),"",IF(AND(AE63="",AN63&lt;&gt;3),"X",""))</f>
        <v>X</v>
      </c>
      <c r="AP63" s="188">
        <f t="shared" ref="AP63" si="86">IF(AND(AC63&lt;&gt;"",AE63&lt;&gt;""),1,IF(AND(AE63="",AN63=2),1,IF(OR(AN63&lt;&gt;0),0,1)))</f>
        <v>1</v>
      </c>
      <c r="AQ63" s="255">
        <f ca="1">SUM($AP$21:OFFSET(AQ63,-2,-1))</f>
        <v>20</v>
      </c>
      <c r="AR63" s="13" t="str">
        <f t="shared" ref="AR63" ca="1" si="87">IF(AND(AC63="",AQ63=0),AS63,"XX")</f>
        <v>XX</v>
      </c>
      <c r="AS63" s="255">
        <f>MAX($AE$21:AE61)</f>
        <v>0</v>
      </c>
      <c r="AT63" s="255">
        <f>IF(SUM(AE65:$AE$259)&gt;0,MIN(AE65:$AE$259),10000)</f>
        <v>10000</v>
      </c>
      <c r="AU63" s="78"/>
      <c r="AV63" s="78"/>
      <c r="AW63" s="13">
        <f t="shared" ref="AW63" si="88">IF(AND(AC63&lt;&gt;"",AE63&lt;&gt;""),4,0)</f>
        <v>0</v>
      </c>
      <c r="AX63" s="78" t="e">
        <f ca="1">IF(AND(AN63&lt;&gt;1,AN63&lt;&gt;3,AN63&lt;&gt;4),AR63+1,XX)</f>
        <v>#VALUE!</v>
      </c>
      <c r="AY63" s="78">
        <f>IF(AND(AN63&lt;&gt;1,AN63&lt;&gt;3,AN63&lt;&gt;4),AT63-1,XX)</f>
        <v>9999</v>
      </c>
    </row>
    <row r="64" spans="1:51" s="6" customFormat="1" ht="3" customHeight="1">
      <c r="A64" s="255"/>
      <c r="B64" s="255"/>
      <c r="D64" s="2"/>
      <c r="E64" s="2"/>
      <c r="F64" s="2"/>
      <c r="G64" s="2"/>
      <c r="H64" s="2"/>
      <c r="I64" s="2"/>
      <c r="J64" s="167"/>
      <c r="L64" s="28"/>
      <c r="M64" s="28"/>
      <c r="O64" s="40"/>
      <c r="P64" s="40"/>
      <c r="Q64" s="40"/>
      <c r="R64" s="40"/>
      <c r="S64" s="40"/>
      <c r="T64" s="40"/>
      <c r="U64" s="40"/>
      <c r="V64" s="40"/>
      <c r="W64" s="40"/>
      <c r="X64" s="40"/>
      <c r="Y64" s="40"/>
      <c r="Z64" s="40"/>
      <c r="AA64" s="40"/>
      <c r="AB64" s="26"/>
      <c r="AC64" s="168"/>
      <c r="AD64" s="169"/>
      <c r="AE64" s="170"/>
      <c r="AF64" s="28"/>
      <c r="AG64" s="25"/>
      <c r="AJ64" s="160"/>
      <c r="AK64" s="160"/>
      <c r="AL64" s="160"/>
      <c r="AM64" s="160"/>
      <c r="AN64" s="160"/>
      <c r="AO64" s="160"/>
      <c r="AP64" s="160"/>
      <c r="AQ64" s="160"/>
      <c r="AR64" s="160"/>
      <c r="AS64" s="171"/>
      <c r="AT64" s="161"/>
      <c r="AU64" s="160"/>
      <c r="AV64" s="161"/>
      <c r="AW64" s="161"/>
    </row>
    <row r="65" spans="1:51" ht="14.25" customHeight="1">
      <c r="B65" s="255"/>
      <c r="J65" s="272" t="str">
        <f>IF(IFERROR(SEARCH(".",J63),0)=0,CONCATENATE(J63,".",1),IF(IFERROR(SEARCH(".",J63),0)&gt;1,CONCATENATE(IFERROR(LEFT(J63,IFERROR(SEARCH(".",J63),0)-1),0),".",IFERROR(RIGHT(J63,LEN(J63)-IFERROR(SEARCH(".",J63),0)),0)+1),0))</f>
        <v>2.16</v>
      </c>
      <c r="K65" s="2" t="s">
        <v>168</v>
      </c>
      <c r="L65" s="7"/>
      <c r="M65" s="7"/>
      <c r="O65" s="467" t="str">
        <f>CONCATENATE(J65,". ",K65,$K$17)</f>
        <v>2.16. Certificado de Empreendimento Implantado; (se houver operação contratada pela SUDAM/SUFRAMA)------------------------------------------------------------------------------------------------------------------------------------------------------------------------</v>
      </c>
      <c r="P65" s="467"/>
      <c r="Q65" s="467"/>
      <c r="R65" s="467"/>
      <c r="S65" s="467"/>
      <c r="T65" s="467"/>
      <c r="U65" s="467"/>
      <c r="V65" s="467"/>
      <c r="W65" s="467"/>
      <c r="X65" s="467"/>
      <c r="Y65" s="467"/>
      <c r="Z65" s="467"/>
      <c r="AA65" s="467"/>
      <c r="AB65" s="9"/>
      <c r="AC65" s="191"/>
      <c r="AD65" s="162"/>
      <c r="AE65" s="166"/>
      <c r="AF65" s="7"/>
      <c r="AG65" s="80"/>
      <c r="AK65" s="160"/>
      <c r="AM65" s="255">
        <v>1</v>
      </c>
      <c r="AN65" s="271">
        <f t="shared" ref="AN65" si="89">IF(AND(AC65&lt;&gt;"",AE65&lt;&gt;""),4,IF(AC65&lt;&gt;"",1,IF(AE65&lt;&gt;"",2,0)))</f>
        <v>0</v>
      </c>
      <c r="AO65" s="255" t="str">
        <f t="shared" ref="AO65" si="90">IF(AND(AE65="",AN65=2),"",IF(AND(AE65="",AN65&lt;&gt;3),"X",""))</f>
        <v>X</v>
      </c>
      <c r="AP65" s="188">
        <f t="shared" ref="AP65" si="91">IF(AND(AC65&lt;&gt;"",AE65&lt;&gt;""),1,IF(AND(AE65="",AN65=2),1,IF(OR(AN65&lt;&gt;0),0,1)))</f>
        <v>1</v>
      </c>
      <c r="AQ65" s="255">
        <f ca="1">SUM($AP$21:OFFSET(AQ65,-2,-1))</f>
        <v>21</v>
      </c>
      <c r="AR65" s="13" t="str">
        <f t="shared" ref="AR65" ca="1" si="92">IF(AND(AC65="",AQ65=0),AS65,"XX")</f>
        <v>XX</v>
      </c>
      <c r="AS65" s="255">
        <f>MAX($AE$21:AE63)</f>
        <v>0</v>
      </c>
      <c r="AT65" s="255">
        <f>IF(SUM(AE67:$AE$259)&gt;0,MIN(AE67:$AE$259),10000)</f>
        <v>10000</v>
      </c>
      <c r="AU65" s="78"/>
      <c r="AV65" s="78"/>
      <c r="AW65" s="13">
        <f t="shared" ref="AW65" si="93">IF(AND(AC65&lt;&gt;"",AE65&lt;&gt;""),4,0)</f>
        <v>0</v>
      </c>
      <c r="AX65" s="78" t="e">
        <f ca="1">IF(AND(AN65&lt;&gt;1,AN65&lt;&gt;3,AN65&lt;&gt;4),AR65+1,XX)</f>
        <v>#VALUE!</v>
      </c>
      <c r="AY65" s="78">
        <f>IF(AND(AN65&lt;&gt;1,AN65&lt;&gt;3,AN65&lt;&gt;4),AT65-1,XX)</f>
        <v>9999</v>
      </c>
    </row>
    <row r="66" spans="1:51" s="6" customFormat="1" ht="3" customHeight="1">
      <c r="A66" s="255"/>
      <c r="B66" s="255"/>
      <c r="D66" s="2"/>
      <c r="E66" s="2"/>
      <c r="F66" s="2"/>
      <c r="G66" s="2"/>
      <c r="H66" s="2"/>
      <c r="I66" s="2"/>
      <c r="J66" s="167"/>
      <c r="L66" s="28"/>
      <c r="M66" s="28"/>
      <c r="O66" s="40"/>
      <c r="P66" s="40"/>
      <c r="Q66" s="40"/>
      <c r="R66" s="40"/>
      <c r="S66" s="40"/>
      <c r="T66" s="40"/>
      <c r="U66" s="40"/>
      <c r="V66" s="40"/>
      <c r="W66" s="40"/>
      <c r="X66" s="40"/>
      <c r="Y66" s="40"/>
      <c r="Z66" s="40"/>
      <c r="AA66" s="40"/>
      <c r="AB66" s="26"/>
      <c r="AC66" s="168"/>
      <c r="AD66" s="169"/>
      <c r="AE66" s="170"/>
      <c r="AF66" s="28"/>
      <c r="AG66" s="255"/>
      <c r="AJ66" s="160"/>
      <c r="AK66" s="160"/>
      <c r="AL66" s="160"/>
      <c r="AM66" s="160"/>
      <c r="AN66" s="160"/>
      <c r="AO66" s="160"/>
      <c r="AP66" s="160"/>
      <c r="AQ66" s="160"/>
      <c r="AR66" s="160"/>
      <c r="AS66" s="171"/>
      <c r="AT66" s="161"/>
      <c r="AU66" s="160"/>
      <c r="AV66" s="161"/>
      <c r="AW66" s="161"/>
    </row>
    <row r="67" spans="1:51" ht="14.25" customHeight="1">
      <c r="B67" s="255"/>
      <c r="J67" s="272" t="str">
        <f>IF(IFERROR(SEARCH(".",J65),0)=0,CONCATENATE(J65,".",1),IF(IFERROR(SEARCH(".",J65),0)&gt;1,CONCATENATE(IFERROR(LEFT(J65,IFERROR(SEARCH(".",J65),0)-1),0),".",IFERROR(RIGHT(J65,LEN(J65)-IFERROR(SEARCH(".",J65),0)),0)+1),0))</f>
        <v>2.17</v>
      </c>
      <c r="K67" s="2" t="s">
        <v>260</v>
      </c>
      <c r="L67" s="7"/>
      <c r="M67" s="7"/>
      <c r="O67" s="467" t="str">
        <f>CONCATENATE(J67,". ",K67,$K$17)</f>
        <v>2.17. Declaração de Regularidade da Situação junto à SUDAM, fornecida pelo Banco da Amazônia;------------------------------------------------------------------------------------------------------------------------------------------------------------------------</v>
      </c>
      <c r="P67" s="467"/>
      <c r="Q67" s="467"/>
      <c r="R67" s="467"/>
      <c r="S67" s="467"/>
      <c r="T67" s="467"/>
      <c r="U67" s="467"/>
      <c r="V67" s="467"/>
      <c r="W67" s="467"/>
      <c r="X67" s="467"/>
      <c r="Y67" s="467"/>
      <c r="Z67" s="467"/>
      <c r="AA67" s="467"/>
      <c r="AB67" s="9"/>
      <c r="AC67" s="191"/>
      <c r="AD67" s="162"/>
      <c r="AE67" s="166"/>
      <c r="AF67" s="7"/>
      <c r="AG67" s="80"/>
      <c r="AK67" s="160"/>
      <c r="AM67" s="255">
        <v>1</v>
      </c>
      <c r="AN67" s="271">
        <f t="shared" ref="AN67" si="94">IF(AND(AC67&lt;&gt;"",AE67&lt;&gt;""),4,IF(AC67&lt;&gt;"",1,IF(AE67&lt;&gt;"",2,0)))</f>
        <v>0</v>
      </c>
      <c r="AO67" s="255" t="str">
        <f t="shared" ref="AO67" si="95">IF(AND(AE67="",AN67=2),"",IF(AND(AE67="",AN67&lt;&gt;3),"X",""))</f>
        <v>X</v>
      </c>
      <c r="AP67" s="188">
        <f t="shared" ref="AP67" si="96">IF(AND(AC67&lt;&gt;"",AE67&lt;&gt;""),1,IF(AND(AE67="",AN67=2),1,IF(OR(AN67&lt;&gt;0),0,1)))</f>
        <v>1</v>
      </c>
      <c r="AQ67" s="255">
        <f ca="1">SUM($AP$21:OFFSET(AQ67,-2,-1))</f>
        <v>22</v>
      </c>
      <c r="AR67" s="13" t="str">
        <f t="shared" ref="AR67" ca="1" si="97">IF(AND(AC67="",AQ67=0),AS67,"XX")</f>
        <v>XX</v>
      </c>
      <c r="AS67" s="255">
        <f>MAX($AE$21:AE65)</f>
        <v>0</v>
      </c>
      <c r="AT67" s="255">
        <f>IF(SUM(AE69:$AE$259)&gt;0,MIN(AE69:$AE$259),10000)</f>
        <v>10000</v>
      </c>
      <c r="AU67" s="78"/>
      <c r="AV67" s="78"/>
      <c r="AW67" s="13">
        <f t="shared" ref="AW67" si="98">IF(AND(AC67&lt;&gt;"",AE67&lt;&gt;""),4,0)</f>
        <v>0</v>
      </c>
      <c r="AX67" s="78" t="e">
        <f ca="1">IF(AND(AN67&lt;&gt;1,AN67&lt;&gt;3,AN67&lt;&gt;4),AR67+1,XX)</f>
        <v>#VALUE!</v>
      </c>
      <c r="AY67" s="78">
        <f>IF(AND(AN67&lt;&gt;1,AN67&lt;&gt;3,AN67&lt;&gt;4),AT67-1,XX)</f>
        <v>9999</v>
      </c>
    </row>
    <row r="68" spans="1:51" s="6" customFormat="1" ht="3" customHeight="1">
      <c r="A68" s="255"/>
      <c r="B68" s="255"/>
      <c r="D68" s="2"/>
      <c r="E68" s="2"/>
      <c r="F68" s="2"/>
      <c r="G68" s="2"/>
      <c r="H68" s="2"/>
      <c r="I68" s="2"/>
      <c r="J68" s="167"/>
      <c r="L68" s="28"/>
      <c r="M68" s="28"/>
      <c r="O68" s="40"/>
      <c r="P68" s="40"/>
      <c r="Q68" s="40"/>
      <c r="R68" s="40"/>
      <c r="S68" s="40"/>
      <c r="T68" s="40"/>
      <c r="U68" s="40"/>
      <c r="V68" s="40"/>
      <c r="W68" s="40"/>
      <c r="X68" s="40"/>
      <c r="Y68" s="40"/>
      <c r="Z68" s="40"/>
      <c r="AA68" s="40"/>
      <c r="AB68" s="26"/>
      <c r="AC68" s="168"/>
      <c r="AD68" s="169"/>
      <c r="AE68" s="170"/>
      <c r="AF68" s="28"/>
      <c r="AG68" s="2"/>
      <c r="AJ68" s="160"/>
      <c r="AK68" s="160"/>
      <c r="AL68" s="160"/>
      <c r="AM68" s="160"/>
      <c r="AN68" s="160"/>
      <c r="AO68" s="160"/>
      <c r="AP68" s="160"/>
      <c r="AQ68" s="160"/>
      <c r="AR68" s="160"/>
      <c r="AS68" s="171"/>
      <c r="AT68" s="161"/>
      <c r="AU68" s="160"/>
      <c r="AV68" s="161"/>
      <c r="AW68" s="161"/>
    </row>
    <row r="69" spans="1:51" ht="14.25" customHeight="1">
      <c r="B69" s="255"/>
      <c r="J69" s="272" t="str">
        <f>IF(IFERROR(SEARCH(".",J67),0)=0,CONCATENATE(J67,".",1),IF(IFERROR(SEARCH(".",J67),0)&gt;1,CONCATENATE(IFERROR(LEFT(J67,IFERROR(SEARCH(".",J67),0)-1),0),".",IFERROR(RIGHT(J67,LEN(J67)-IFERROR(SEARCH(".",J67),0)),0)+1),0))</f>
        <v>2.18</v>
      </c>
      <c r="K69" s="2" t="s">
        <v>191</v>
      </c>
      <c r="L69" s="7"/>
      <c r="M69" s="7"/>
      <c r="O69" s="467" t="str">
        <f>CONCATENATE(J69,". ",K69,$K$17)</f>
        <v>2.18. Declaração de Regularidade da Situação junto à Comissão de Valores Mobiliários - fornecidas pela CVM;------------------------------------------------------------------------------------------------------------------------------------------------------------------------</v>
      </c>
      <c r="P69" s="467"/>
      <c r="Q69" s="467"/>
      <c r="R69" s="467"/>
      <c r="S69" s="467"/>
      <c r="T69" s="467"/>
      <c r="U69" s="467"/>
      <c r="V69" s="467"/>
      <c r="W69" s="467"/>
      <c r="X69" s="467"/>
      <c r="Y69" s="467"/>
      <c r="Z69" s="467"/>
      <c r="AA69" s="467"/>
      <c r="AB69" s="9"/>
      <c r="AC69" s="191"/>
      <c r="AD69" s="162"/>
      <c r="AE69" s="166"/>
      <c r="AF69" s="7"/>
      <c r="AG69" s="80"/>
      <c r="AK69" s="160"/>
      <c r="AM69" s="255">
        <v>1</v>
      </c>
      <c r="AN69" s="271">
        <f t="shared" ref="AN69" si="99">IF(AND(AC69&lt;&gt;"",AE69&lt;&gt;""),4,IF(AC69&lt;&gt;"",1,IF(AE69&lt;&gt;"",2,0)))</f>
        <v>0</v>
      </c>
      <c r="AO69" s="255" t="str">
        <f t="shared" ref="AO69" si="100">IF(AND(AE69="",AN69=2),"",IF(AND(AE69="",AN69&lt;&gt;3),"X",""))</f>
        <v>X</v>
      </c>
      <c r="AP69" s="188">
        <f t="shared" ref="AP69" si="101">IF(AND(AC69&lt;&gt;"",AE69&lt;&gt;""),1,IF(AND(AE69="",AN69=2),1,IF(OR(AN69&lt;&gt;0),0,1)))</f>
        <v>1</v>
      </c>
      <c r="AQ69" s="255">
        <f ca="1">SUM($AP$21:OFFSET(AQ69,-2,-1))</f>
        <v>23</v>
      </c>
      <c r="AR69" s="13" t="str">
        <f t="shared" ref="AR69" ca="1" si="102">IF(AND(AC69="",AQ69=0),AS69,"XX")</f>
        <v>XX</v>
      </c>
      <c r="AS69" s="255">
        <f>MAX($AE$21:AE67)</f>
        <v>0</v>
      </c>
      <c r="AT69" s="255">
        <f>IF(SUM(AE71:$AE$259)&gt;0,MIN(AE71:$AE$259),10000)</f>
        <v>10000</v>
      </c>
      <c r="AU69" s="78"/>
      <c r="AV69" s="78"/>
      <c r="AW69" s="13">
        <f t="shared" ref="AW69" si="103">IF(AND(AC69&lt;&gt;"",AE69&lt;&gt;""),4,0)</f>
        <v>0</v>
      </c>
      <c r="AX69" s="78" t="e">
        <f ca="1">IF(AND(AN69&lt;&gt;1,AN69&lt;&gt;3,AN69&lt;&gt;4),AR69+1,XX)</f>
        <v>#VALUE!</v>
      </c>
      <c r="AY69" s="78">
        <f>IF(AND(AN69&lt;&gt;1,AN69&lt;&gt;3,AN69&lt;&gt;4),AT69-1,XX)</f>
        <v>9999</v>
      </c>
    </row>
    <row r="70" spans="1:51" s="6" customFormat="1" ht="3" customHeight="1">
      <c r="A70" s="255"/>
      <c r="B70" s="255"/>
      <c r="D70" s="2"/>
      <c r="E70" s="2"/>
      <c r="F70" s="2"/>
      <c r="G70" s="2"/>
      <c r="H70" s="2"/>
      <c r="I70" s="2"/>
      <c r="J70" s="167"/>
      <c r="L70" s="28"/>
      <c r="M70" s="28"/>
      <c r="O70" s="40"/>
      <c r="P70" s="40"/>
      <c r="Q70" s="40"/>
      <c r="R70" s="40"/>
      <c r="S70" s="40"/>
      <c r="T70" s="40"/>
      <c r="U70" s="40"/>
      <c r="V70" s="40"/>
      <c r="W70" s="40"/>
      <c r="X70" s="40"/>
      <c r="Y70" s="40"/>
      <c r="Z70" s="40"/>
      <c r="AA70" s="40"/>
      <c r="AB70" s="26"/>
      <c r="AC70" s="168"/>
      <c r="AD70" s="169"/>
      <c r="AE70" s="170"/>
      <c r="AF70" s="28"/>
      <c r="AG70" s="2"/>
      <c r="AJ70" s="160"/>
      <c r="AK70" s="160"/>
      <c r="AL70" s="160"/>
      <c r="AM70" s="160"/>
      <c r="AN70" s="160"/>
      <c r="AO70" s="160"/>
      <c r="AP70" s="160"/>
      <c r="AQ70" s="160"/>
      <c r="AR70" s="160"/>
      <c r="AS70" s="171"/>
      <c r="AT70" s="161"/>
      <c r="AU70" s="160"/>
      <c r="AV70" s="161"/>
      <c r="AW70" s="161"/>
    </row>
    <row r="71" spans="1:51" ht="14.25" customHeight="1">
      <c r="B71" s="255"/>
      <c r="J71" s="272" t="str">
        <f>IF(IFERROR(SEARCH(".",J69),0)=0,CONCATENATE(J69,".",1),IF(IFERROR(SEARCH(".",J69),0)&gt;1,CONCATENATE(IFERROR(LEFT(J69,IFERROR(SEARCH(".",J69),0)-1),0),".",IFERROR(RIGHT(J69,LEN(J69)-IFERROR(SEARCH(".",J69),0)),0)+1),0))</f>
        <v>2.19</v>
      </c>
      <c r="K71" s="2" t="s">
        <v>177</v>
      </c>
      <c r="L71" s="7"/>
      <c r="M71" s="7"/>
      <c r="O71" s="467" t="str">
        <f>CONCATENATE(J71,". ",K71,$K$17)</f>
        <v>2.19. Declaração do BNDES;------------------------------------------------------------------------------------------------------------------------------------------------------------------------</v>
      </c>
      <c r="P71" s="467"/>
      <c r="Q71" s="467"/>
      <c r="R71" s="467"/>
      <c r="S71" s="467"/>
      <c r="T71" s="467"/>
      <c r="U71" s="467"/>
      <c r="V71" s="467"/>
      <c r="W71" s="467"/>
      <c r="X71" s="467"/>
      <c r="Y71" s="467"/>
      <c r="Z71" s="467"/>
      <c r="AA71" s="467"/>
      <c r="AB71" s="9"/>
      <c r="AC71" s="191"/>
      <c r="AD71" s="162"/>
      <c r="AE71" s="166"/>
      <c r="AF71" s="7"/>
      <c r="AG71" s="80"/>
      <c r="AK71" s="160"/>
      <c r="AM71" s="255">
        <v>1</v>
      </c>
      <c r="AN71" s="271">
        <f t="shared" ref="AN71" si="104">IF(AND(AC71&lt;&gt;"",AE71&lt;&gt;""),4,IF(AC71&lt;&gt;"",1,IF(AE71&lt;&gt;"",2,0)))</f>
        <v>0</v>
      </c>
      <c r="AO71" s="255" t="str">
        <f t="shared" ref="AO71" si="105">IF(AND(AE71="",AN71=2),"",IF(AND(AE71="",AN71&lt;&gt;3),"X",""))</f>
        <v>X</v>
      </c>
      <c r="AP71" s="188">
        <f t="shared" ref="AP71" si="106">IF(AND(AC71&lt;&gt;"",AE71&lt;&gt;""),1,IF(AND(AE71="",AN71=2),1,IF(OR(AN71&lt;&gt;0),0,1)))</f>
        <v>1</v>
      </c>
      <c r="AQ71" s="255">
        <f ca="1">SUM($AP$21:OFFSET(AQ71,-2,-1))</f>
        <v>24</v>
      </c>
      <c r="AR71" s="13" t="str">
        <f t="shared" ref="AR71" ca="1" si="107">IF(AND(AC71="",AQ71=0),AS71,"XX")</f>
        <v>XX</v>
      </c>
      <c r="AS71" s="255">
        <f>MAX($AE$21:AE69)</f>
        <v>0</v>
      </c>
      <c r="AT71" s="255">
        <f>IF(SUM(AE73:$AE$259)&gt;0,MIN(AE73:$AE$259),10000)</f>
        <v>10000</v>
      </c>
      <c r="AU71" s="78"/>
      <c r="AV71" s="78"/>
      <c r="AW71" s="13">
        <f t="shared" ref="AW71" si="108">IF(AND(AC71&lt;&gt;"",AE71&lt;&gt;""),4,0)</f>
        <v>0</v>
      </c>
      <c r="AX71" s="78" t="e">
        <f ca="1">IF(AND(AN71&lt;&gt;1,AN71&lt;&gt;3,AN71&lt;&gt;4),AR71+1,XX)</f>
        <v>#VALUE!</v>
      </c>
      <c r="AY71" s="78">
        <f>IF(AND(AN71&lt;&gt;1,AN71&lt;&gt;3,AN71&lt;&gt;4),AT71-1,XX)</f>
        <v>9999</v>
      </c>
    </row>
    <row r="72" spans="1:51" s="6" customFormat="1" ht="3" customHeight="1">
      <c r="A72" s="255"/>
      <c r="B72" s="255"/>
      <c r="D72" s="2"/>
      <c r="E72" s="2"/>
      <c r="F72" s="2"/>
      <c r="G72" s="2"/>
      <c r="H72" s="2"/>
      <c r="I72" s="2"/>
      <c r="J72" s="167"/>
      <c r="L72" s="28"/>
      <c r="M72" s="28"/>
      <c r="O72" s="40"/>
      <c r="P72" s="40"/>
      <c r="Q72" s="40"/>
      <c r="R72" s="40"/>
      <c r="S72" s="40"/>
      <c r="T72" s="40"/>
      <c r="U72" s="40"/>
      <c r="V72" s="40"/>
      <c r="W72" s="40"/>
      <c r="X72" s="40"/>
      <c r="Y72" s="40"/>
      <c r="Z72" s="40"/>
      <c r="AA72" s="40"/>
      <c r="AB72" s="26"/>
      <c r="AC72" s="168"/>
      <c r="AD72" s="169"/>
      <c r="AE72" s="170"/>
      <c r="AF72" s="28"/>
      <c r="AG72" s="255"/>
      <c r="AJ72" s="160"/>
      <c r="AK72" s="160"/>
      <c r="AL72" s="160"/>
      <c r="AM72" s="160"/>
      <c r="AN72" s="160"/>
      <c r="AO72" s="160"/>
      <c r="AP72" s="160"/>
      <c r="AQ72" s="160"/>
      <c r="AR72" s="160"/>
      <c r="AS72" s="171"/>
      <c r="AT72" s="161"/>
      <c r="AU72" s="160"/>
      <c r="AV72" s="161"/>
      <c r="AW72" s="161"/>
    </row>
    <row r="73" spans="1:51" ht="14.25" customHeight="1">
      <c r="B73" s="255"/>
      <c r="J73" s="272" t="str">
        <f>IF(IFERROR(SEARCH(".",J71),0)=0,CONCATENATE(J71,".",1),IF(IFERROR(SEARCH(".",J71),0)&gt;1,CONCATENATE(IFERROR(LEFT(J71,IFERROR(SEARCH(".",J71),0)-1),0),".",IFERROR(RIGHT(J71,LEN(J71)-IFERROR(SEARCH(".",J71),0)),0)+1),0))</f>
        <v>2.20</v>
      </c>
      <c r="K73" s="2" t="s">
        <v>190</v>
      </c>
      <c r="L73" s="7"/>
      <c r="M73" s="7"/>
      <c r="O73" s="467" t="str">
        <f>CONCATENATE(J73,". ",K73,$K$17)</f>
        <v>2.20. Declaração quanto a regularidade para com a CVM e Fundos Constitucionais de Financ./Invest.;------------------------------------------------------------------------------------------------------------------------------------------------------------------------</v>
      </c>
      <c r="P73" s="467"/>
      <c r="Q73" s="467"/>
      <c r="R73" s="467"/>
      <c r="S73" s="467"/>
      <c r="T73" s="467"/>
      <c r="U73" s="467"/>
      <c r="V73" s="467"/>
      <c r="W73" s="467"/>
      <c r="X73" s="467"/>
      <c r="Y73" s="467"/>
      <c r="Z73" s="467"/>
      <c r="AA73" s="467"/>
      <c r="AB73" s="9"/>
      <c r="AC73" s="191"/>
      <c r="AD73" s="162"/>
      <c r="AE73" s="166"/>
      <c r="AF73" s="7"/>
      <c r="AG73" s="80"/>
      <c r="AK73" s="160"/>
      <c r="AM73" s="255">
        <v>1</v>
      </c>
      <c r="AN73" s="271">
        <f t="shared" ref="AN73" si="109">IF(AND(AC73&lt;&gt;"",AE73&lt;&gt;""),4,IF(AC73&lt;&gt;"",1,IF(AE73&lt;&gt;"",2,0)))</f>
        <v>0</v>
      </c>
      <c r="AO73" s="255" t="str">
        <f t="shared" ref="AO73" si="110">IF(AND(AE73="",AN73=2),"",IF(AND(AE73="",AN73&lt;&gt;3),"X",""))</f>
        <v>X</v>
      </c>
      <c r="AP73" s="188">
        <f t="shared" ref="AP73" si="111">IF(AND(AC73&lt;&gt;"",AE73&lt;&gt;""),1,IF(AND(AE73="",AN73=2),1,IF(OR(AN73&lt;&gt;0),0,1)))</f>
        <v>1</v>
      </c>
      <c r="AQ73" s="255">
        <f ca="1">SUM($AP$21:OFFSET(AQ73,-2,-1))</f>
        <v>25</v>
      </c>
      <c r="AR73" s="13" t="str">
        <f t="shared" ref="AR73" ca="1" si="112">IF(AND(AC73="",AQ73=0),AS73,"XX")</f>
        <v>XX</v>
      </c>
      <c r="AS73" s="255">
        <f>MAX($AE$21:AE71)</f>
        <v>0</v>
      </c>
      <c r="AT73" s="255">
        <f>IF(SUM(AE75:$AE$259)&gt;0,MIN(AE75:$AE$259),10000)</f>
        <v>10000</v>
      </c>
      <c r="AU73" s="78"/>
      <c r="AV73" s="78"/>
      <c r="AW73" s="13">
        <f t="shared" ref="AW73" si="113">IF(AND(AC73&lt;&gt;"",AE73&lt;&gt;""),4,0)</f>
        <v>0</v>
      </c>
      <c r="AX73" s="78" t="e">
        <f ca="1">IF(AND(AN73&lt;&gt;1,AN73&lt;&gt;3,AN73&lt;&gt;4),AR73+1,XX)</f>
        <v>#VALUE!</v>
      </c>
      <c r="AY73" s="78">
        <f>IF(AND(AN73&lt;&gt;1,AN73&lt;&gt;3,AN73&lt;&gt;4),AT73-1,XX)</f>
        <v>9999</v>
      </c>
    </row>
    <row r="74" spans="1:51" s="6" customFormat="1" ht="3" customHeight="1">
      <c r="A74" s="255"/>
      <c r="B74" s="255"/>
      <c r="D74" s="2"/>
      <c r="E74" s="2"/>
      <c r="F74" s="2"/>
      <c r="G74" s="2"/>
      <c r="H74" s="2"/>
      <c r="I74" s="2"/>
      <c r="J74" s="167"/>
      <c r="L74" s="28"/>
      <c r="M74" s="28"/>
      <c r="O74" s="40"/>
      <c r="P74" s="40"/>
      <c r="Q74" s="40"/>
      <c r="R74" s="40"/>
      <c r="S74" s="40"/>
      <c r="T74" s="40"/>
      <c r="U74" s="40"/>
      <c r="V74" s="40"/>
      <c r="W74" s="40"/>
      <c r="X74" s="40"/>
      <c r="Y74" s="40"/>
      <c r="Z74" s="40"/>
      <c r="AA74" s="40"/>
      <c r="AB74" s="26"/>
      <c r="AC74" s="168"/>
      <c r="AD74" s="169"/>
      <c r="AE74" s="170"/>
      <c r="AF74" s="28"/>
      <c r="AG74" s="255"/>
      <c r="AJ74" s="160"/>
      <c r="AK74" s="160"/>
      <c r="AL74" s="160"/>
      <c r="AM74" s="160"/>
      <c r="AN74" s="160"/>
      <c r="AO74" s="160"/>
      <c r="AP74" s="160"/>
      <c r="AQ74" s="160"/>
      <c r="AR74" s="160"/>
      <c r="AS74" s="171"/>
      <c r="AT74" s="161"/>
      <c r="AU74" s="160"/>
      <c r="AV74" s="161"/>
      <c r="AW74" s="161"/>
    </row>
    <row r="75" spans="1:51" ht="14.25" customHeight="1">
      <c r="B75" s="255"/>
      <c r="J75" s="272" t="str">
        <f>IF(IFERROR(SEARCH(".",J73),0)=0,CONCATENATE(J73,".",1),IF(IFERROR(SEARCH(".",J73),0)&gt;1,CONCATENATE(IFERROR(LEFT(J73,IFERROR(SEARCH(".",J73),0)-1),0),".",IFERROR(RIGHT(J73,LEN(J73)-IFERROR(SEARCH(".",J73),0)),0)+1),0))</f>
        <v>2.21</v>
      </c>
      <c r="K75" s="2" t="s">
        <v>236</v>
      </c>
      <c r="L75" s="7"/>
      <c r="M75" s="7"/>
      <c r="O75" s="483" t="str">
        <f>CONCATENATE(J75,". ",K75,$K$17)</f>
        <v>2.21. Certidão que comprove a propriedade ou Contrato de arrendamento/aluguel - do imóvel onde opera;------------------------------------------------------------------------------------------------------------------------------------------------------------------------</v>
      </c>
      <c r="P75" s="483"/>
      <c r="Q75" s="483"/>
      <c r="R75" s="483"/>
      <c r="S75" s="483"/>
      <c r="T75" s="483"/>
      <c r="U75" s="483"/>
      <c r="V75" s="483"/>
      <c r="W75" s="483"/>
      <c r="X75" s="483"/>
      <c r="Y75" s="483"/>
      <c r="Z75" s="483"/>
      <c r="AA75" s="483"/>
      <c r="AB75" s="483"/>
      <c r="AC75" s="483"/>
      <c r="AD75" s="162"/>
      <c r="AE75" s="166"/>
      <c r="AF75" s="7"/>
      <c r="AG75" s="80"/>
      <c r="AK75" s="160"/>
      <c r="AM75" s="255">
        <v>1</v>
      </c>
      <c r="AN75" s="271">
        <f t="shared" ref="AN75" si="114">IF(AND(AC75&lt;&gt;"",AE75&lt;&gt;""),4,IF(AC75&lt;&gt;"",1,IF(AE75&lt;&gt;"",2,0)))</f>
        <v>0</v>
      </c>
      <c r="AO75" s="255" t="str">
        <f t="shared" ref="AO75" si="115">IF(AND(AE75="",AN75=2),"",IF(AND(AE75="",AN75&lt;&gt;3),"X",""))</f>
        <v>X</v>
      </c>
      <c r="AP75" s="188">
        <f t="shared" ref="AP75" si="116">IF(AND(AC75&lt;&gt;"",AE75&lt;&gt;""),1,IF(AND(AE75="",AN75=2),1,IF(OR(AN75&lt;&gt;0),0,1)))</f>
        <v>1</v>
      </c>
      <c r="AQ75" s="255">
        <f ca="1">SUM($AP$21:OFFSET(AQ75,-2,-1))</f>
        <v>26</v>
      </c>
      <c r="AR75" s="13" t="str">
        <f t="shared" ref="AR75" ca="1" si="117">IF(AND(AC75="",AQ75=0),AS75,"XX")</f>
        <v>XX</v>
      </c>
      <c r="AS75" s="255">
        <f>MAX($AE$21:AE73)</f>
        <v>0</v>
      </c>
      <c r="AT75" s="255">
        <f>IF(SUM(AE77:$AE$259)&gt;0,MIN(AE77:$AE$259),10000)</f>
        <v>10000</v>
      </c>
      <c r="AU75" s="78"/>
      <c r="AV75" s="78"/>
      <c r="AW75" s="13">
        <f t="shared" ref="AW75" si="118">IF(AND(AC75&lt;&gt;"",AE75&lt;&gt;""),4,0)</f>
        <v>0</v>
      </c>
      <c r="AX75" s="78" t="e">
        <f ca="1">IF(AND(AN75&lt;&gt;1,AN75&lt;&gt;3,AN75&lt;&gt;4),AR75+1,XX)</f>
        <v>#VALUE!</v>
      </c>
      <c r="AY75" s="78">
        <f>IF(AND(AN75&lt;&gt;1,AN75&lt;&gt;3,AN75&lt;&gt;4),AT75-1,XX)</f>
        <v>9999</v>
      </c>
    </row>
    <row r="76" spans="1:51" ht="3" customHeight="1">
      <c r="B76" s="255"/>
      <c r="J76" s="274"/>
      <c r="L76" s="7"/>
      <c r="M76" s="7"/>
      <c r="O76" s="36"/>
      <c r="P76" s="36"/>
      <c r="Q76" s="36"/>
      <c r="R76" s="36"/>
      <c r="S76" s="36"/>
      <c r="T76" s="36"/>
      <c r="U76" s="36"/>
      <c r="V76" s="36"/>
      <c r="W76" s="36"/>
      <c r="X76" s="36"/>
      <c r="Y76" s="36"/>
      <c r="Z76" s="36"/>
      <c r="AA76" s="36"/>
      <c r="AB76" s="9"/>
      <c r="AC76" s="164"/>
      <c r="AD76" s="162"/>
      <c r="AE76" s="170"/>
      <c r="AF76" s="7"/>
      <c r="AG76" s="255"/>
      <c r="AK76" s="160"/>
      <c r="AS76" s="171"/>
      <c r="AT76" s="171"/>
      <c r="AU76" s="160"/>
      <c r="AX76" s="6"/>
      <c r="AY76" s="6"/>
    </row>
    <row r="77" spans="1:51" ht="14.25" customHeight="1">
      <c r="B77" s="255"/>
      <c r="J77" s="275">
        <f>J33+1</f>
        <v>3</v>
      </c>
      <c r="K77" s="2" t="s">
        <v>175</v>
      </c>
      <c r="L77" s="7"/>
      <c r="M77" s="7"/>
      <c r="O77" s="454" t="str">
        <f>CONCATENATE(J77,". ",K77)</f>
        <v>3. Das Coligadas:</v>
      </c>
      <c r="P77" s="454"/>
      <c r="Q77" s="454"/>
      <c r="R77" s="454"/>
      <c r="S77" s="454"/>
      <c r="T77" s="454"/>
      <c r="U77" s="454"/>
      <c r="V77" s="454"/>
      <c r="W77" s="454"/>
      <c r="X77" s="454"/>
      <c r="Y77" s="454"/>
      <c r="Z77" s="454"/>
      <c r="AA77" s="454"/>
      <c r="AB77" s="9"/>
      <c r="AC77" s="191"/>
      <c r="AD77" s="162"/>
      <c r="AE77" s="136" t="s">
        <v>389</v>
      </c>
      <c r="AF77" s="7"/>
      <c r="AK77" s="160"/>
      <c r="AM77" s="255"/>
      <c r="AN77" s="283">
        <f>IF(OR(AE79&lt;&gt;"",AE81&lt;&gt;"",AC79&lt;&gt;"",AC81&lt;&gt;""),3,0)</f>
        <v>0</v>
      </c>
      <c r="AO77" s="255" t="str">
        <f>IF(AND(AE77="-",AN77=2),"",IF(AND(AE77="-",AN77&lt;&gt;3),"X",""))</f>
        <v>X</v>
      </c>
      <c r="AP77" s="188"/>
      <c r="AQ77" s="255"/>
      <c r="AR77" s="13"/>
      <c r="AS77" s="255"/>
      <c r="AT77" s="255"/>
      <c r="AU77" s="78"/>
      <c r="AV77" s="78"/>
      <c r="AW77" s="13"/>
      <c r="AX77" s="78"/>
      <c r="AY77" s="78"/>
    </row>
    <row r="78" spans="1:51" ht="3" customHeight="1">
      <c r="B78" s="255"/>
      <c r="J78" s="269"/>
      <c r="L78" s="7"/>
      <c r="M78" s="7"/>
      <c r="O78" s="34"/>
      <c r="P78" s="34"/>
      <c r="Q78" s="34"/>
      <c r="R78" s="34"/>
      <c r="S78" s="34"/>
      <c r="T78" s="34"/>
      <c r="U78" s="34"/>
      <c r="V78" s="34"/>
      <c r="W78" s="34"/>
      <c r="X78" s="34"/>
      <c r="Y78" s="34"/>
      <c r="Z78" s="34"/>
      <c r="AA78" s="34"/>
      <c r="AB78" s="9"/>
      <c r="AC78" s="164"/>
      <c r="AD78" s="162"/>
      <c r="AE78" s="165"/>
      <c r="AF78" s="7"/>
      <c r="AG78" s="25"/>
      <c r="AK78" s="160"/>
      <c r="AS78" s="171"/>
      <c r="AT78" s="171"/>
      <c r="AU78" s="160"/>
      <c r="AX78" s="6"/>
      <c r="AY78" s="6"/>
    </row>
    <row r="79" spans="1:51" ht="14.25" customHeight="1">
      <c r="B79" s="255"/>
      <c r="J79" s="272" t="str">
        <f>IF(IFERROR(SEARCH(".",J77),0)=0,CONCATENATE(J77,".",1),IF(IFERROR(SEARCH(".",J77),0)&gt;1,CONCATENATE(IFERROR(LEFT(J77,IFERROR(SEARCH(".",J77),0)-1),0),".",IFERROR(RIGHT(J77,LEN(J77)-IFERROR(SEARCH(".",J77),0)),0)+1),0))</f>
        <v>3.1</v>
      </c>
      <c r="K79" s="2" t="s">
        <v>280</v>
      </c>
      <c r="L79" s="7"/>
      <c r="M79" s="7"/>
      <c r="O79" s="467" t="str">
        <f>CONCATENATE(J79,". ",K79,$K$17)</f>
        <v>3.1. Levantamentos extra contábeis ou Balanço com DRE do último exercício e Balancete;------------------------------------------------------------------------------------------------------------------------------------------------------------------------</v>
      </c>
      <c r="P79" s="467"/>
      <c r="Q79" s="467"/>
      <c r="R79" s="467"/>
      <c r="S79" s="467"/>
      <c r="T79" s="467"/>
      <c r="U79" s="467"/>
      <c r="V79" s="467"/>
      <c r="W79" s="467"/>
      <c r="X79" s="467"/>
      <c r="Y79" s="467"/>
      <c r="Z79" s="467"/>
      <c r="AA79" s="467"/>
      <c r="AB79" s="467"/>
      <c r="AC79" s="467"/>
      <c r="AD79" s="162"/>
      <c r="AE79" s="166"/>
      <c r="AF79" s="7"/>
      <c r="AG79" s="80"/>
      <c r="AK79" s="160"/>
      <c r="AM79" s="255">
        <v>1</v>
      </c>
      <c r="AN79" s="271">
        <f>IF(AND(AC79&lt;&gt;"",AE79&lt;&gt;""),4,IF($AC$77&lt;&gt;"",3,IF(AC79&lt;&gt;"",1,IF(AE79&lt;&gt;"",2,0))))</f>
        <v>0</v>
      </c>
      <c r="AO79" s="255" t="str">
        <f t="shared" ref="AO79" si="119">IF(AND(AE79="",AN79=2),"",IF(AND(AE79="",AN79&lt;&gt;3),"X",""))</f>
        <v>X</v>
      </c>
      <c r="AP79" s="188">
        <f t="shared" ref="AP79" si="120">IF(AND(AC79&lt;&gt;"",AE79&lt;&gt;""),1,IF(AND(AE79="",AN79=2),1,IF(OR(AN79&lt;&gt;0),0,1)))</f>
        <v>1</v>
      </c>
      <c r="AQ79" s="255">
        <f ca="1">SUM($AP$21:OFFSET(AQ79,-2,-1))</f>
        <v>27</v>
      </c>
      <c r="AR79" s="13" t="str">
        <f t="shared" ref="AR79" ca="1" si="121">IF(AND(AC79="",AQ79=0),AS79,"XX")</f>
        <v>XX</v>
      </c>
      <c r="AS79" s="255">
        <f>MAX($AE$21:AE77)</f>
        <v>0</v>
      </c>
      <c r="AT79" s="255">
        <f>IF(SUM(AE81:$AE$259)&gt;0,MIN(AE81:$AE$259),10000)</f>
        <v>10000</v>
      </c>
      <c r="AU79" s="78"/>
      <c r="AV79" s="78"/>
      <c r="AW79" s="13">
        <f t="shared" ref="AW79" si="122">IF(AND(AC79&lt;&gt;"",AE79&lt;&gt;""),4,0)</f>
        <v>0</v>
      </c>
      <c r="AX79" s="78" t="e">
        <f ca="1">IF(AND(AN79&lt;&gt;1,AN79&lt;&gt;3,AN79&lt;&gt;4),AR79+1,XX)</f>
        <v>#VALUE!</v>
      </c>
      <c r="AY79" s="78">
        <f>IF(AND(AN79&lt;&gt;1,AN79&lt;&gt;3,AN79&lt;&gt;4),AT79-1,XX)</f>
        <v>9999</v>
      </c>
    </row>
    <row r="80" spans="1:51" ht="3" customHeight="1">
      <c r="B80" s="255"/>
      <c r="J80" s="269"/>
      <c r="L80" s="7"/>
      <c r="M80" s="7"/>
      <c r="O80" s="34"/>
      <c r="P80" s="34"/>
      <c r="Q80" s="34"/>
      <c r="R80" s="34"/>
      <c r="S80" s="34"/>
      <c r="T80" s="34"/>
      <c r="U80" s="34"/>
      <c r="V80" s="34"/>
      <c r="W80" s="34"/>
      <c r="X80" s="34"/>
      <c r="Y80" s="34"/>
      <c r="Z80" s="34"/>
      <c r="AA80" s="34"/>
      <c r="AB80" s="9"/>
      <c r="AC80" s="164"/>
      <c r="AD80" s="162"/>
      <c r="AE80" s="165"/>
      <c r="AF80" s="7"/>
      <c r="AG80" s="255"/>
      <c r="AK80" s="160"/>
      <c r="AS80" s="171"/>
      <c r="AT80" s="171"/>
      <c r="AU80" s="160"/>
      <c r="AX80" s="6"/>
      <c r="AY80" s="6"/>
    </row>
    <row r="81" spans="1:51" ht="14.25" customHeight="1">
      <c r="B81" s="255"/>
      <c r="J81" s="272" t="str">
        <f>IF(IFERROR(SEARCH(".",J79),0)=0,CONCATENATE(J79,".",1),IF(IFERROR(SEARCH(".",J79),0)&gt;1,CONCATENATE(IFERROR(LEFT(J79,IFERROR(SEARCH(".",J79),0)-1),0),".",IFERROR(RIGHT(J79,LEN(J79)-IFERROR(SEARCH(".",J79),0)),0)+1),0))</f>
        <v>3.2</v>
      </c>
      <c r="K81" s="2" t="s">
        <v>261</v>
      </c>
      <c r="L81" s="7"/>
      <c r="M81" s="7"/>
      <c r="O81" s="467" t="str">
        <f>CONCATENATE(J81,". ",K81,$K$17)</f>
        <v>3.2. Ato constitutivo da sociedade e suas modificações;------------------------------------------------------------------------------------------------------------------------------------------------------------------------</v>
      </c>
      <c r="P81" s="467"/>
      <c r="Q81" s="467"/>
      <c r="R81" s="467"/>
      <c r="S81" s="467"/>
      <c r="T81" s="467"/>
      <c r="U81" s="467"/>
      <c r="V81" s="467"/>
      <c r="W81" s="467"/>
      <c r="X81" s="467"/>
      <c r="Y81" s="467"/>
      <c r="Z81" s="467"/>
      <c r="AA81" s="467"/>
      <c r="AB81" s="467"/>
      <c r="AC81" s="467"/>
      <c r="AD81" s="162"/>
      <c r="AE81" s="166"/>
      <c r="AF81" s="7"/>
      <c r="AG81" s="80"/>
      <c r="AK81" s="160"/>
      <c r="AM81" s="255">
        <v>1</v>
      </c>
      <c r="AN81" s="271">
        <f>IF(AND(AC81&lt;&gt;"",AE81&lt;&gt;""),4,IF($AC$77&lt;&gt;"",3,IF(AC81&lt;&gt;"",1,IF(AE81&lt;&gt;"",2,0))))</f>
        <v>0</v>
      </c>
      <c r="AO81" s="255" t="str">
        <f t="shared" ref="AO81" si="123">IF(AND(AE81="",AN81=2),"",IF(AND(AE81="",AN81&lt;&gt;3),"X",""))</f>
        <v>X</v>
      </c>
      <c r="AP81" s="188">
        <f t="shared" ref="AP81" si="124">IF(AND(AC81&lt;&gt;"",AE81&lt;&gt;""),1,IF(AND(AE81="",AN81=2),1,IF(OR(AN81&lt;&gt;0),0,1)))</f>
        <v>1</v>
      </c>
      <c r="AQ81" s="255">
        <f ca="1">SUM($AP$21:OFFSET(AQ81,-2,-1))</f>
        <v>28</v>
      </c>
      <c r="AR81" s="13" t="str">
        <f t="shared" ref="AR81" ca="1" si="125">IF(AND(AC81="",AQ81=0),AS81,"XX")</f>
        <v>XX</v>
      </c>
      <c r="AS81" s="255">
        <f>MAX($AE$21:AE79)</f>
        <v>0</v>
      </c>
      <c r="AT81" s="255">
        <f>IF(SUM(AE83:$AE$259)&gt;0,MIN(AE83:$AE$259),10000)</f>
        <v>10000</v>
      </c>
      <c r="AU81" s="78"/>
      <c r="AV81" s="78"/>
      <c r="AW81" s="13">
        <f t="shared" ref="AW81" si="126">IF(AND(AC81&lt;&gt;"",AE81&lt;&gt;""),4,0)</f>
        <v>0</v>
      </c>
      <c r="AX81" s="78" t="e">
        <f ca="1">IF(AND(AN81&lt;&gt;1,AN81&lt;&gt;3,AN81&lt;&gt;4),AR81+1,XX)</f>
        <v>#VALUE!</v>
      </c>
      <c r="AY81" s="78">
        <f>IF(AND(AN81&lt;&gt;1,AN81&lt;&gt;3,AN81&lt;&gt;4),AT81-1,XX)</f>
        <v>9999</v>
      </c>
    </row>
    <row r="82" spans="1:51" ht="3" customHeight="1">
      <c r="B82" s="255"/>
      <c r="J82" s="274"/>
      <c r="L82" s="7"/>
      <c r="M82" s="7"/>
      <c r="O82" s="36"/>
      <c r="P82" s="36"/>
      <c r="Q82" s="36"/>
      <c r="R82" s="36"/>
      <c r="S82" s="36"/>
      <c r="T82" s="36"/>
      <c r="U82" s="36"/>
      <c r="V82" s="36"/>
      <c r="W82" s="36"/>
      <c r="X82" s="36"/>
      <c r="Y82" s="36"/>
      <c r="Z82" s="36"/>
      <c r="AA82" s="36"/>
      <c r="AB82" s="9"/>
      <c r="AC82" s="164"/>
      <c r="AD82" s="162"/>
      <c r="AE82" s="165"/>
      <c r="AF82" s="7"/>
      <c r="AG82" s="255"/>
      <c r="AK82" s="160"/>
      <c r="AS82" s="171"/>
      <c r="AT82" s="171"/>
      <c r="AU82" s="160"/>
      <c r="AX82" s="6"/>
      <c r="AY82" s="6"/>
    </row>
    <row r="83" spans="1:51" ht="15.75" customHeight="1">
      <c r="B83" s="255"/>
      <c r="J83" s="275">
        <f>J77+1</f>
        <v>4</v>
      </c>
      <c r="K83" s="2" t="s">
        <v>212</v>
      </c>
      <c r="L83" s="7"/>
      <c r="M83" s="7"/>
      <c r="O83" s="454" t="str">
        <f>CONCATENATE(J83,". ",K83)</f>
        <v>4. Dos Sócios/avalistas/dirigentes:</v>
      </c>
      <c r="P83" s="454"/>
      <c r="Q83" s="454"/>
      <c r="R83" s="454"/>
      <c r="S83" s="454"/>
      <c r="T83" s="454"/>
      <c r="U83" s="454"/>
      <c r="V83" s="454"/>
      <c r="W83" s="454"/>
      <c r="X83" s="454"/>
      <c r="Y83" s="454"/>
      <c r="Z83" s="454"/>
      <c r="AA83" s="454"/>
      <c r="AB83" s="286"/>
      <c r="AC83" s="287"/>
      <c r="AD83" s="162"/>
      <c r="AE83" s="136" t="s">
        <v>389</v>
      </c>
      <c r="AF83" s="7"/>
      <c r="AK83" s="160"/>
      <c r="AM83" s="255"/>
      <c r="AN83" s="271"/>
      <c r="AO83" s="255"/>
      <c r="AP83" s="188"/>
      <c r="AQ83" s="255"/>
      <c r="AR83" s="13"/>
      <c r="AS83" s="255"/>
      <c r="AT83" s="255"/>
      <c r="AU83" s="78"/>
      <c r="AV83" s="78"/>
      <c r="AW83" s="13"/>
      <c r="AX83" s="78"/>
      <c r="AY83" s="78"/>
    </row>
    <row r="84" spans="1:51" s="6" customFormat="1" ht="3" customHeight="1">
      <c r="A84" s="255"/>
      <c r="B84" s="255"/>
      <c r="D84" s="2"/>
      <c r="E84" s="2"/>
      <c r="F84" s="2"/>
      <c r="G84" s="2"/>
      <c r="H84" s="2"/>
      <c r="I84" s="2"/>
      <c r="J84" s="274"/>
      <c r="L84" s="28"/>
      <c r="M84" s="28"/>
      <c r="O84" s="34"/>
      <c r="P84" s="34"/>
      <c r="Q84" s="34"/>
      <c r="R84" s="34"/>
      <c r="S84" s="34"/>
      <c r="T84" s="34"/>
      <c r="U84" s="34"/>
      <c r="V84" s="34"/>
      <c r="W84" s="34"/>
      <c r="X84" s="34"/>
      <c r="Y84" s="34"/>
      <c r="Z84" s="34"/>
      <c r="AA84" s="34"/>
      <c r="AB84" s="9"/>
      <c r="AC84" s="164"/>
      <c r="AD84" s="162"/>
      <c r="AE84" s="165"/>
      <c r="AF84" s="28"/>
      <c r="AG84" s="2"/>
      <c r="AJ84" s="160"/>
      <c r="AK84" s="160"/>
      <c r="AL84" s="172"/>
      <c r="AM84" s="160"/>
      <c r="AN84" s="160"/>
      <c r="AO84" s="160"/>
      <c r="AP84" s="160"/>
      <c r="AQ84" s="160"/>
      <c r="AR84" s="160"/>
      <c r="AS84" s="171"/>
      <c r="AT84" s="171"/>
      <c r="AU84" s="160"/>
      <c r="AV84" s="161"/>
      <c r="AW84" s="161"/>
    </row>
    <row r="85" spans="1:51" ht="14.25" customHeight="1">
      <c r="B85" s="255"/>
      <c r="J85" s="272" t="str">
        <f>IF(IFERROR(SEARCH(".",J83),0)=0,CONCATENATE(J83,".",1),IF(IFERROR(SEARCH(".",J83),0)&gt;1,CONCATENATE(IFERROR(LEFT(J83,IFERROR(SEARCH(".",J83),0)-1),0),".",IFERROR(RIGHT(J83,LEN(J83)-IFERROR(SEARCH(".",J83),0)),0)+1),0))</f>
        <v>4.1</v>
      </c>
      <c r="K85" s="2" t="s">
        <v>225</v>
      </c>
      <c r="L85" s="7"/>
      <c r="M85" s="7"/>
      <c r="O85" s="467" t="str">
        <f>CONCATENATE(J85,". ",K85,$K$17)</f>
        <v>4.1. Instrumento de mandato/procurações; (quando proponente/sócios/avalistas forem representados)------------------------------------------------------------------------------------------------------------------------------------------------------------------------</v>
      </c>
      <c r="P85" s="467"/>
      <c r="Q85" s="467"/>
      <c r="R85" s="467"/>
      <c r="S85" s="467"/>
      <c r="T85" s="467"/>
      <c r="U85" s="467"/>
      <c r="V85" s="467"/>
      <c r="W85" s="467"/>
      <c r="X85" s="467"/>
      <c r="Y85" s="467"/>
      <c r="Z85" s="467"/>
      <c r="AA85" s="467"/>
      <c r="AB85" s="9"/>
      <c r="AC85" s="191"/>
      <c r="AD85" s="162"/>
      <c r="AE85" s="166"/>
      <c r="AF85" s="7"/>
      <c r="AG85" s="80"/>
      <c r="AK85" s="160"/>
      <c r="AM85" s="255">
        <v>1</v>
      </c>
      <c r="AN85" s="271">
        <f t="shared" ref="AN85" si="127">IF(AND(AC85&lt;&gt;"",AE85&lt;&gt;""),4,IF(AC85&lt;&gt;"",1,IF(AE85&lt;&gt;"",2,0)))</f>
        <v>0</v>
      </c>
      <c r="AO85" s="255" t="str">
        <f t="shared" ref="AO85" si="128">IF(AND(AE85="",AN85=2),"",IF(AND(AE85="",AN85&lt;&gt;3),"X",""))</f>
        <v>X</v>
      </c>
      <c r="AP85" s="188">
        <f t="shared" ref="AP85" si="129">IF(AND(AC85&lt;&gt;"",AE85&lt;&gt;""),1,IF(AND(AE85="",AN85=2),1,IF(OR(AN85&lt;&gt;0),0,1)))</f>
        <v>1</v>
      </c>
      <c r="AQ85" s="255">
        <f ca="1">SUM($AP$21:OFFSET(AQ85,-2,-1))</f>
        <v>29</v>
      </c>
      <c r="AR85" s="13" t="str">
        <f t="shared" ref="AR85" ca="1" si="130">IF(AND(AC85="",AQ85=0),AS85,"XX")</f>
        <v>XX</v>
      </c>
      <c r="AS85" s="255">
        <f>MAX($AE$21:AE83)</f>
        <v>0</v>
      </c>
      <c r="AT85" s="255">
        <f>IF(SUM(AE87:$AE$259)&gt;0,MIN(AE87:$AE$259),10000)</f>
        <v>10000</v>
      </c>
      <c r="AU85" s="78"/>
      <c r="AV85" s="78"/>
      <c r="AW85" s="13">
        <f t="shared" ref="AW85" si="131">IF(AND(AC85&lt;&gt;"",AE85&lt;&gt;""),4,0)</f>
        <v>0</v>
      </c>
      <c r="AX85" s="78" t="e">
        <f ca="1">IF(AND(AN85&lt;&gt;1,AN85&lt;&gt;3,AN85&lt;&gt;4),AR85+1,XX)</f>
        <v>#VALUE!</v>
      </c>
      <c r="AY85" s="78">
        <f>IF(AND(AN85&lt;&gt;1,AN85&lt;&gt;3,AN85&lt;&gt;4),AT85-1,XX)</f>
        <v>9999</v>
      </c>
    </row>
    <row r="86" spans="1:51" ht="3" customHeight="1">
      <c r="B86" s="255"/>
      <c r="J86" s="157"/>
      <c r="L86" s="7"/>
      <c r="M86" s="7"/>
      <c r="O86" s="158"/>
      <c r="P86" s="158"/>
      <c r="Q86" s="158"/>
      <c r="R86" s="158"/>
      <c r="S86" s="158"/>
      <c r="T86" s="158"/>
      <c r="U86" s="158"/>
      <c r="V86" s="158"/>
      <c r="W86" s="158"/>
      <c r="X86" s="158"/>
      <c r="Y86" s="158"/>
      <c r="Z86" s="158"/>
      <c r="AA86" s="158"/>
      <c r="AB86" s="29"/>
      <c r="AC86" s="159"/>
      <c r="AD86" s="159"/>
      <c r="AE86" s="159"/>
      <c r="AF86" s="7"/>
      <c r="AK86" s="160"/>
      <c r="AS86" s="171"/>
      <c r="AT86" s="171"/>
      <c r="AU86" s="160"/>
      <c r="AX86" s="6"/>
      <c r="AY86" s="6"/>
    </row>
    <row r="87" spans="1:51" ht="14.25" customHeight="1">
      <c r="B87" s="255"/>
      <c r="J87" s="272" t="str">
        <f>IF(IFERROR(SEARCH(".",J85),0)=0,CONCATENATE(J85,".",1),IF(IFERROR(SEARCH(".",J85),0)&gt;1,CONCATENATE(IFERROR(LEFT(J85,IFERROR(SEARCH(".",J85),0)-1),0),".",IFERROR(RIGHT(J85,LEN(J85)-IFERROR(SEARCH(".",J85),0)),0)+1),0))</f>
        <v>4.2</v>
      </c>
      <c r="K87" s="2" t="s">
        <v>58</v>
      </c>
      <c r="L87" s="7"/>
      <c r="M87" s="7"/>
      <c r="O87" s="480" t="str">
        <f>CONCATENATE(J87,". ",K87,$K$17)</f>
        <v>4.2. Relação Patrimonial com estimativa de valores e/ou IRPF; (dos Avalistas)------------------------------------------------------------------------------------------------------------------------------------------------------------------------</v>
      </c>
      <c r="P87" s="480"/>
      <c r="Q87" s="480"/>
      <c r="R87" s="480"/>
      <c r="S87" s="480"/>
      <c r="T87" s="480"/>
      <c r="U87" s="480"/>
      <c r="V87" s="480"/>
      <c r="W87" s="480"/>
      <c r="X87" s="480"/>
      <c r="Y87" s="480"/>
      <c r="Z87" s="480"/>
      <c r="AA87" s="480"/>
      <c r="AB87" s="480"/>
      <c r="AC87" s="480"/>
      <c r="AD87" s="162"/>
      <c r="AE87" s="166"/>
      <c r="AF87" s="7"/>
      <c r="AG87" s="80"/>
      <c r="AK87" s="160"/>
      <c r="AM87" s="255">
        <v>1</v>
      </c>
      <c r="AN87" s="271">
        <f t="shared" ref="AN87" si="132">IF(AND(AC87&lt;&gt;"",AE87&lt;&gt;""),4,IF(AC87&lt;&gt;"",1,IF(AE87&lt;&gt;"",2,0)))</f>
        <v>0</v>
      </c>
      <c r="AO87" s="255" t="str">
        <f t="shared" ref="AO87" si="133">IF(AND(AE87="",AN87=2),"",IF(AND(AE87="",AN87&lt;&gt;3),"X",""))</f>
        <v>X</v>
      </c>
      <c r="AP87" s="188">
        <f t="shared" ref="AP87" si="134">IF(AND(AC87&lt;&gt;"",AE87&lt;&gt;""),1,IF(AND(AE87="",AN87=2),1,IF(OR(AN87&lt;&gt;0),0,1)))</f>
        <v>1</v>
      </c>
      <c r="AQ87" s="255">
        <f ca="1">SUM($AP$21:OFFSET(AQ87,-2,-1))</f>
        <v>30</v>
      </c>
      <c r="AR87" s="13" t="str">
        <f t="shared" ref="AR87" ca="1" si="135">IF(AND(AC87="",AQ87=0),AS87,"XX")</f>
        <v>XX</v>
      </c>
      <c r="AS87" s="255">
        <f>MAX($AE$21:AE85)</f>
        <v>0</v>
      </c>
      <c r="AT87" s="255">
        <f>IF(SUM(AE89:$AE$259)&gt;0,MIN(AE89:$AE$259),10000)</f>
        <v>10000</v>
      </c>
      <c r="AU87" s="78"/>
      <c r="AV87" s="78"/>
      <c r="AW87" s="13">
        <f t="shared" ref="AW87" si="136">IF(AND(AC87&lt;&gt;"",AE87&lt;&gt;""),4,0)</f>
        <v>0</v>
      </c>
      <c r="AX87" s="78" t="e">
        <f ca="1">IF(AND(AN87&lt;&gt;1,AN87&lt;&gt;3,AN87&lt;&gt;4),AR87+1,XX)</f>
        <v>#VALUE!</v>
      </c>
      <c r="AY87" s="78">
        <f>IF(AND(AN87&lt;&gt;1,AN87&lt;&gt;3,AN87&lt;&gt;4),AT87-1,XX)</f>
        <v>9999</v>
      </c>
    </row>
    <row r="88" spans="1:51" ht="3" customHeight="1">
      <c r="B88" s="255"/>
      <c r="J88" s="157"/>
      <c r="L88" s="7"/>
      <c r="M88" s="7"/>
      <c r="O88" s="173"/>
      <c r="P88" s="173"/>
      <c r="Q88" s="173"/>
      <c r="R88" s="173"/>
      <c r="S88" s="173"/>
      <c r="T88" s="173"/>
      <c r="U88" s="173"/>
      <c r="V88" s="173"/>
      <c r="W88" s="173"/>
      <c r="X88" s="173"/>
      <c r="Y88" s="173"/>
      <c r="Z88" s="173"/>
      <c r="AA88" s="173"/>
      <c r="AB88" s="33"/>
      <c r="AC88" s="174"/>
      <c r="AD88" s="159"/>
      <c r="AE88" s="159"/>
      <c r="AF88" s="7"/>
      <c r="AG88" s="255"/>
      <c r="AK88" s="160"/>
      <c r="AS88" s="171"/>
      <c r="AT88" s="171"/>
      <c r="AU88" s="160"/>
      <c r="AX88" s="6"/>
      <c r="AY88" s="6"/>
    </row>
    <row r="89" spans="1:51" ht="14.25" customHeight="1">
      <c r="B89" s="255"/>
      <c r="J89" s="272" t="str">
        <f>IF(IFERROR(SEARCH(".",J87),0)=0,CONCATENATE(J87,".",1),IF(IFERROR(SEARCH(".",J87),0)&gt;1,CONCATENATE(IFERROR(LEFT(J87,IFERROR(SEARCH(".",J87),0)-1),0),".",IFERROR(RIGHT(J87,LEN(J87)-IFERROR(SEARCH(".",J87),0)),0)+1),0))</f>
        <v>4.3</v>
      </c>
      <c r="K89" s="2" t="s">
        <v>407</v>
      </c>
      <c r="L89" s="7"/>
      <c r="M89" s="7"/>
      <c r="O89" s="480" t="str">
        <f>CONCATENATE(J89,". ",K89,$K$17)</f>
        <v>4.3. Curriculum Vitae - dos dirigentes;------------------------------------------------------------------------------------------------------------------------------------------------------------------------</v>
      </c>
      <c r="P89" s="480"/>
      <c r="Q89" s="480"/>
      <c r="R89" s="480"/>
      <c r="S89" s="480"/>
      <c r="T89" s="480"/>
      <c r="U89" s="480"/>
      <c r="V89" s="480"/>
      <c r="W89" s="480"/>
      <c r="X89" s="480"/>
      <c r="Y89" s="480"/>
      <c r="Z89" s="480"/>
      <c r="AA89" s="480"/>
      <c r="AB89" s="480"/>
      <c r="AC89" s="480"/>
      <c r="AD89" s="162"/>
      <c r="AE89" s="166"/>
      <c r="AF89" s="7"/>
      <c r="AG89" s="80"/>
      <c r="AK89" s="160"/>
      <c r="AM89" s="255">
        <v>1</v>
      </c>
      <c r="AN89" s="271">
        <f t="shared" ref="AN89" si="137">IF(AND(AC89&lt;&gt;"",AE89&lt;&gt;""),4,IF(AC89&lt;&gt;"",1,IF(AE89&lt;&gt;"",2,0)))</f>
        <v>0</v>
      </c>
      <c r="AO89" s="255" t="str">
        <f t="shared" ref="AO89" si="138">IF(AND(AE89="",AN89=2),"",IF(AND(AE89="",AN89&lt;&gt;3),"X",""))</f>
        <v>X</v>
      </c>
      <c r="AP89" s="188">
        <f t="shared" ref="AP89" si="139">IF(AND(AC89&lt;&gt;"",AE89&lt;&gt;""),1,IF(AND(AE89="",AN89=2),1,IF(OR(AN89&lt;&gt;0),0,1)))</f>
        <v>1</v>
      </c>
      <c r="AQ89" s="255">
        <f ca="1">SUM($AP$21:OFFSET(AQ89,-2,-1))</f>
        <v>31</v>
      </c>
      <c r="AR89" s="13" t="str">
        <f t="shared" ref="AR89" ca="1" si="140">IF(AND(AC89="",AQ89=0),AS89,"XX")</f>
        <v>XX</v>
      </c>
      <c r="AS89" s="255">
        <f>MAX($AE$21:AE87)</f>
        <v>0</v>
      </c>
      <c r="AT89" s="255">
        <f>IF(SUM(AE91:$AE$259)&gt;0,MIN(AE91:$AE$259),10000)</f>
        <v>10000</v>
      </c>
      <c r="AU89" s="78"/>
      <c r="AV89" s="78"/>
      <c r="AW89" s="13">
        <f t="shared" ref="AW89" si="141">IF(AND(AC89&lt;&gt;"",AE89&lt;&gt;""),4,0)</f>
        <v>0</v>
      </c>
      <c r="AX89" s="78" t="e">
        <f ca="1">IF(AND(AN89&lt;&gt;1,AN89&lt;&gt;3,AN89&lt;&gt;4),AR89+1,XX)</f>
        <v>#VALUE!</v>
      </c>
      <c r="AY89" s="78">
        <f>IF(AND(AN89&lt;&gt;1,AN89&lt;&gt;3,AN89&lt;&gt;4),AT89-1,XX)</f>
        <v>9999</v>
      </c>
    </row>
    <row r="90" spans="1:51" ht="3" customHeight="1">
      <c r="B90" s="255"/>
      <c r="J90" s="157"/>
      <c r="L90" s="7"/>
      <c r="M90" s="7"/>
      <c r="O90" s="173"/>
      <c r="P90" s="173"/>
      <c r="Q90" s="173"/>
      <c r="R90" s="173"/>
      <c r="S90" s="173"/>
      <c r="T90" s="173"/>
      <c r="U90" s="173"/>
      <c r="V90" s="173"/>
      <c r="W90" s="173"/>
      <c r="X90" s="173"/>
      <c r="Y90" s="173"/>
      <c r="Z90" s="173"/>
      <c r="AA90" s="173"/>
      <c r="AB90" s="33"/>
      <c r="AC90" s="174"/>
      <c r="AD90" s="159"/>
      <c r="AE90" s="159"/>
      <c r="AF90" s="7"/>
      <c r="AG90" s="255"/>
      <c r="AK90" s="160"/>
      <c r="AS90" s="171"/>
      <c r="AT90" s="171"/>
      <c r="AU90" s="160"/>
      <c r="AX90" s="6"/>
      <c r="AY90" s="6"/>
    </row>
    <row r="91" spans="1:51" ht="14.25" customHeight="1">
      <c r="B91" s="255"/>
      <c r="J91" s="272" t="str">
        <f>IF(IFERROR(SEARCH(".",J89),0)=0,CONCATENATE(J89,".",1),IF(IFERROR(SEARCH(".",J89),0)&gt;1,CONCATENATE(IFERROR(LEFT(J89,IFERROR(SEARCH(".",J89),0)-1),0),".",IFERROR(RIGHT(J89,LEN(J89)-IFERROR(SEARCH(".",J89),0)),0)+1),0))</f>
        <v>4.4</v>
      </c>
      <c r="K91" s="2" t="s">
        <v>281</v>
      </c>
      <c r="L91" s="7"/>
      <c r="M91" s="7"/>
      <c r="O91" s="480" t="str">
        <f>CONCATENATE(J91,". ",K91,$K$17)</f>
        <v>4.4. Declaração dos sócios administradores quanto a não se encontrar na condição de Servidor Público Federal;------------------------------------------------------------------------------------------------------------------------------------------------------------------------</v>
      </c>
      <c r="P91" s="480"/>
      <c r="Q91" s="480"/>
      <c r="R91" s="480"/>
      <c r="S91" s="480"/>
      <c r="T91" s="480"/>
      <c r="U91" s="480"/>
      <c r="V91" s="480"/>
      <c r="W91" s="480"/>
      <c r="X91" s="480"/>
      <c r="Y91" s="480"/>
      <c r="Z91" s="480"/>
      <c r="AA91" s="480"/>
      <c r="AB91" s="279"/>
      <c r="AC91" s="191"/>
      <c r="AD91" s="162"/>
      <c r="AE91" s="166"/>
      <c r="AF91" s="7"/>
      <c r="AG91" s="80"/>
      <c r="AK91" s="160"/>
      <c r="AM91" s="255">
        <v>1</v>
      </c>
      <c r="AN91" s="271">
        <f t="shared" ref="AN91" si="142">IF(AND(AC91&lt;&gt;"",AE91&lt;&gt;""),4,IF(AC91&lt;&gt;"",1,IF(AE91&lt;&gt;"",2,0)))</f>
        <v>0</v>
      </c>
      <c r="AO91" s="255" t="str">
        <f t="shared" ref="AO91" si="143">IF(AND(AE91="",AN91=2),"",IF(AND(AE91="",AN91&lt;&gt;3),"X",""))</f>
        <v>X</v>
      </c>
      <c r="AP91" s="188">
        <f t="shared" ref="AP91" si="144">IF(AND(AC91&lt;&gt;"",AE91&lt;&gt;""),1,IF(AND(AE91="",AN91=2),1,IF(OR(AN91&lt;&gt;0),0,1)))</f>
        <v>1</v>
      </c>
      <c r="AQ91" s="255">
        <f ca="1">SUM($AP$21:OFFSET(AQ91,-2,-1))</f>
        <v>32</v>
      </c>
      <c r="AR91" s="13" t="str">
        <f t="shared" ref="AR91" ca="1" si="145">IF(AND(AC91="",AQ91=0),AS91,"XX")</f>
        <v>XX</v>
      </c>
      <c r="AS91" s="255">
        <f>MAX($AE$21:AE89)</f>
        <v>0</v>
      </c>
      <c r="AT91" s="255">
        <f>IF(SUM(AE93:$AE$259)&gt;0,MIN(AE93:$AE$259),10000)</f>
        <v>10000</v>
      </c>
      <c r="AU91" s="78"/>
      <c r="AV91" s="78"/>
      <c r="AW91" s="13">
        <f t="shared" ref="AW91" si="146">IF(AND(AC91&lt;&gt;"",AE91&lt;&gt;""),4,0)</f>
        <v>0</v>
      </c>
      <c r="AX91" s="78" t="e">
        <f ca="1">IF(AND(AN91&lt;&gt;1,AN91&lt;&gt;3,AN91&lt;&gt;4),AR91+1,XX)</f>
        <v>#VALUE!</v>
      </c>
      <c r="AY91" s="78">
        <f>IF(AND(AN91&lt;&gt;1,AN91&lt;&gt;3,AN91&lt;&gt;4),AT91-1,XX)</f>
        <v>9999</v>
      </c>
    </row>
    <row r="92" spans="1:51" ht="3" customHeight="1">
      <c r="B92" s="255"/>
      <c r="J92" s="274"/>
      <c r="L92" s="7"/>
      <c r="M92" s="7"/>
      <c r="O92" s="36"/>
      <c r="P92" s="36"/>
      <c r="Q92" s="36"/>
      <c r="R92" s="36"/>
      <c r="S92" s="36"/>
      <c r="T92" s="36"/>
      <c r="U92" s="36"/>
      <c r="V92" s="36"/>
      <c r="W92" s="36"/>
      <c r="X92" s="36"/>
      <c r="Y92" s="36"/>
      <c r="Z92" s="36"/>
      <c r="AA92" s="36"/>
      <c r="AB92" s="9"/>
      <c r="AC92" s="164"/>
      <c r="AD92" s="162"/>
      <c r="AE92" s="165"/>
      <c r="AF92" s="7"/>
      <c r="AG92" s="25"/>
      <c r="AK92" s="160"/>
      <c r="AS92" s="171"/>
      <c r="AT92" s="171"/>
      <c r="AU92" s="160"/>
      <c r="AX92" s="6"/>
      <c r="AY92" s="6"/>
    </row>
    <row r="93" spans="1:51" ht="14.25" customHeight="1">
      <c r="B93" s="255"/>
      <c r="J93" s="284">
        <f>J83+1</f>
        <v>5</v>
      </c>
      <c r="K93" s="2" t="s">
        <v>20</v>
      </c>
      <c r="L93" s="7"/>
      <c r="M93" s="7"/>
      <c r="O93" s="454" t="str">
        <f>CONCATENATE(J93,". ",K93)</f>
        <v>5. Se oferecido Garantias pré-existentes:</v>
      </c>
      <c r="P93" s="454"/>
      <c r="Q93" s="454"/>
      <c r="R93" s="454"/>
      <c r="S93" s="454"/>
      <c r="T93" s="454"/>
      <c r="U93" s="454"/>
      <c r="V93" s="454"/>
      <c r="W93" s="454"/>
      <c r="X93" s="454"/>
      <c r="Y93" s="454"/>
      <c r="Z93" s="454"/>
      <c r="AA93" s="454"/>
      <c r="AB93" s="9"/>
      <c r="AC93" s="191"/>
      <c r="AD93" s="162"/>
      <c r="AE93" s="136" t="s">
        <v>389</v>
      </c>
      <c r="AF93" s="7"/>
      <c r="AK93" s="160"/>
      <c r="AM93" s="255"/>
      <c r="AN93" s="283">
        <f>IF(OR(AE95&lt;&gt;"",AE97&lt;&gt;"",AE99&lt;&gt;"",AC95&lt;&gt;"",AC97&lt;&gt;"",AC99&lt;&gt;""),3,0)</f>
        <v>0</v>
      </c>
      <c r="AO93" s="255" t="str">
        <f t="shared" ref="AO93" si="147">IF(AND(AE93="",AN93=2),"",IF(AND(AE93="",AN93&lt;&gt;3),"X",""))</f>
        <v/>
      </c>
      <c r="AP93" s="188"/>
      <c r="AQ93" s="255"/>
      <c r="AR93" s="13"/>
      <c r="AS93" s="255"/>
      <c r="AT93" s="255"/>
      <c r="AU93" s="78"/>
      <c r="AV93" s="78"/>
      <c r="AW93" s="13"/>
      <c r="AX93" s="78"/>
      <c r="AY93" s="78"/>
    </row>
    <row r="94" spans="1:51" ht="3" customHeight="1">
      <c r="B94" s="255"/>
      <c r="J94" s="274"/>
      <c r="L94" s="7"/>
      <c r="M94" s="7"/>
      <c r="O94" s="36"/>
      <c r="P94" s="36"/>
      <c r="Q94" s="36"/>
      <c r="R94" s="36"/>
      <c r="S94" s="36"/>
      <c r="T94" s="36"/>
      <c r="U94" s="36"/>
      <c r="V94" s="36"/>
      <c r="W94" s="36"/>
      <c r="X94" s="36"/>
      <c r="Y94" s="36"/>
      <c r="Z94" s="36"/>
      <c r="AA94" s="36"/>
      <c r="AB94" s="9"/>
      <c r="AC94" s="164"/>
      <c r="AD94" s="162"/>
      <c r="AE94" s="165"/>
      <c r="AF94" s="7"/>
      <c r="AG94" s="255"/>
      <c r="AK94" s="160"/>
      <c r="AS94" s="171"/>
      <c r="AT94" s="171"/>
      <c r="AU94" s="160"/>
      <c r="AX94" s="6"/>
      <c r="AY94" s="6"/>
    </row>
    <row r="95" spans="1:51" ht="14.25" customHeight="1">
      <c r="B95" s="255"/>
      <c r="J95" s="272" t="str">
        <f>IF(IFERROR(SEARCH(".",J93),0)=0,CONCATENATE(J93,".",1),IF(IFERROR(SEARCH(".",J93),0)&gt;1,CONCATENATE(IFERROR(LEFT(J93,IFERROR(SEARCH(".",J93),0)-1),0),".",IFERROR(RIGHT(J93,LEN(J93)-IFERROR(SEARCH(".",J93),0)),0)+1),0))</f>
        <v>5.1</v>
      </c>
      <c r="K95" s="2" t="s">
        <v>490</v>
      </c>
      <c r="L95" s="7"/>
      <c r="M95" s="7"/>
      <c r="O95" s="467" t="str">
        <f>CONCATENATE(J95,". ",K95,$K$17)</f>
        <v>5.1. Laudo de Avaliação - garantias;------------------------------------------------------------------------------------------------------------------------------------------------------------------------</v>
      </c>
      <c r="P95" s="467"/>
      <c r="Q95" s="467"/>
      <c r="R95" s="467"/>
      <c r="S95" s="467"/>
      <c r="T95" s="467"/>
      <c r="U95" s="467"/>
      <c r="V95" s="467"/>
      <c r="W95" s="467"/>
      <c r="X95" s="467"/>
      <c r="Y95" s="467"/>
      <c r="Z95" s="467"/>
      <c r="AA95" s="467"/>
      <c r="AB95" s="9"/>
      <c r="AC95" s="191"/>
      <c r="AD95" s="162"/>
      <c r="AE95" s="166"/>
      <c r="AF95" s="7"/>
      <c r="AG95" s="80"/>
      <c r="AK95" s="160"/>
      <c r="AM95" s="255">
        <v>1</v>
      </c>
      <c r="AN95" s="271">
        <f>IF(AND(AC95&lt;&gt;"",AE95&lt;&gt;""),4,IF($AC$93&lt;&gt;"",3,IF(AC95&lt;&gt;"",1,IF(AE95&lt;&gt;"",2,0))))</f>
        <v>0</v>
      </c>
      <c r="AO95" s="255" t="str">
        <f t="shared" ref="AO95" si="148">IF(AND(AE95="",AN95=2),"",IF(AND(AE95="",AN95&lt;&gt;3),"X",""))</f>
        <v>X</v>
      </c>
      <c r="AP95" s="188">
        <f t="shared" ref="AP95" si="149">IF(AND(AC95&lt;&gt;"",AE95&lt;&gt;""),1,IF(AND(AE95="",AN95=2),1,IF(OR(AN95&lt;&gt;0),0,1)))</f>
        <v>1</v>
      </c>
      <c r="AQ95" s="255">
        <f ca="1">SUM($AP$21:OFFSET(AQ95,-2,-1))</f>
        <v>33</v>
      </c>
      <c r="AR95" s="13" t="str">
        <f t="shared" ref="AR95" ca="1" si="150">IF(AND(AC95="",AQ95=0),AS95,"XX")</f>
        <v>XX</v>
      </c>
      <c r="AS95" s="255">
        <f>MAX($AE$21:AE93)</f>
        <v>0</v>
      </c>
      <c r="AT95" s="255">
        <f>IF(SUM(AE97:$AE$259)&gt;0,MIN(AE97:$AE$259),10000)</f>
        <v>10000</v>
      </c>
      <c r="AU95" s="78"/>
      <c r="AV95" s="78"/>
      <c r="AW95" s="13">
        <f t="shared" ref="AW95" si="151">IF(AND(AC95&lt;&gt;"",AE95&lt;&gt;""),4,0)</f>
        <v>0</v>
      </c>
      <c r="AX95" s="78" t="e">
        <f ca="1">IF(AND(AN95&lt;&gt;1,AN95&lt;&gt;3,AN95&lt;&gt;4),AR95+1,XX)</f>
        <v>#VALUE!</v>
      </c>
      <c r="AY95" s="78">
        <f>IF(AND(AN95&lt;&gt;1,AN95&lt;&gt;3,AN95&lt;&gt;4),AT95-1,XX)</f>
        <v>9999</v>
      </c>
    </row>
    <row r="96" spans="1:51" ht="3" customHeight="1">
      <c r="B96" s="255"/>
      <c r="J96" s="274"/>
      <c r="L96" s="7"/>
      <c r="M96" s="7"/>
      <c r="O96" s="36"/>
      <c r="P96" s="36"/>
      <c r="Q96" s="36"/>
      <c r="R96" s="36"/>
      <c r="S96" s="36"/>
      <c r="T96" s="36"/>
      <c r="U96" s="36"/>
      <c r="V96" s="36"/>
      <c r="W96" s="36"/>
      <c r="X96" s="36"/>
      <c r="Y96" s="36"/>
      <c r="Z96" s="36"/>
      <c r="AA96" s="36"/>
      <c r="AB96" s="9"/>
      <c r="AC96" s="164"/>
      <c r="AD96" s="162"/>
      <c r="AE96" s="165"/>
      <c r="AF96" s="7"/>
      <c r="AG96" s="255"/>
      <c r="AK96" s="160"/>
      <c r="AS96" s="171"/>
      <c r="AT96" s="171"/>
      <c r="AU96" s="160"/>
      <c r="AX96" s="6"/>
      <c r="AY96" s="6"/>
    </row>
    <row r="97" spans="1:59" ht="14.25" customHeight="1">
      <c r="B97" s="255"/>
      <c r="J97" s="272" t="str">
        <f>IF(IFERROR(SEARCH(".",J95),0)=0,CONCATENATE(J95,".",1),IF(IFERROR(SEARCH(".",J95),0)&gt;1,CONCATENATE(IFERROR(LEFT(J95,IFERROR(SEARCH(".",J95),0)-1),0),".",IFERROR(RIGHT(J95,LEN(J95)-IFERROR(SEARCH(".",J95),0)),0)+1),0))</f>
        <v>5.2</v>
      </c>
      <c r="K97" s="2" t="s">
        <v>50</v>
      </c>
      <c r="L97" s="7"/>
      <c r="M97" s="7"/>
      <c r="O97" s="467" t="str">
        <f>CONCATENATE(J97,". ",K97,$K$17)</f>
        <v>5.2. ART do Laudo de Avaliação;------------------------------------------------------------------------------------------------------------------------------------------------------------------------</v>
      </c>
      <c r="P97" s="467"/>
      <c r="Q97" s="467"/>
      <c r="R97" s="467"/>
      <c r="S97" s="467"/>
      <c r="T97" s="467"/>
      <c r="U97" s="467"/>
      <c r="V97" s="467"/>
      <c r="W97" s="467"/>
      <c r="X97" s="467"/>
      <c r="Y97" s="467"/>
      <c r="Z97" s="467"/>
      <c r="AA97" s="467"/>
      <c r="AB97" s="9"/>
      <c r="AC97" s="191"/>
      <c r="AD97" s="162"/>
      <c r="AE97" s="166"/>
      <c r="AF97" s="7"/>
      <c r="AG97" s="80"/>
      <c r="AK97" s="160"/>
      <c r="AM97" s="255">
        <v>1</v>
      </c>
      <c r="AN97" s="271">
        <f t="shared" ref="AN97" si="152">IF(AND(AC97&lt;&gt;"",AE97&lt;&gt;""),4,IF($AC$93&lt;&gt;"",3,IF(AC97&lt;&gt;"",1,IF(AE97&lt;&gt;"",2,0))))</f>
        <v>0</v>
      </c>
      <c r="AO97" s="255" t="str">
        <f t="shared" ref="AO97" si="153">IF(AND(AE97="",AN97=2),"",IF(AND(AE97="",AN97&lt;&gt;3),"X",""))</f>
        <v>X</v>
      </c>
      <c r="AP97" s="188">
        <f t="shared" ref="AP97" si="154">IF(AND(AC97&lt;&gt;"",AE97&lt;&gt;""),1,IF(AND(AE97="",AN97=2),1,IF(OR(AN97&lt;&gt;0),0,1)))</f>
        <v>1</v>
      </c>
      <c r="AQ97" s="255">
        <f ca="1">SUM($AP$21:OFFSET(AQ97,-2,-1))</f>
        <v>34</v>
      </c>
      <c r="AR97" s="13" t="str">
        <f t="shared" ref="AR97" ca="1" si="155">IF(AND(AC97="",AQ97=0),AS97,"XX")</f>
        <v>XX</v>
      </c>
      <c r="AS97" s="255">
        <f>MAX($AE$21:AE95)</f>
        <v>0</v>
      </c>
      <c r="AT97" s="255">
        <f>IF(SUM(AE99:$AE$259)&gt;0,MIN(AE99:$AE$259),10000)</f>
        <v>10000</v>
      </c>
      <c r="AU97" s="78"/>
      <c r="AV97" s="78"/>
      <c r="AW97" s="13">
        <f t="shared" ref="AW97" si="156">IF(AND(AC97&lt;&gt;"",AE97&lt;&gt;""),4,0)</f>
        <v>0</v>
      </c>
      <c r="AX97" s="78" t="e">
        <f ca="1">IF(AND(AN97&lt;&gt;1,AN97&lt;&gt;3,AN97&lt;&gt;4),AR97+1,XX)</f>
        <v>#VALUE!</v>
      </c>
      <c r="AY97" s="78">
        <f>IF(AND(AN97&lt;&gt;1,AN97&lt;&gt;3,AN97&lt;&gt;4),AT97-1,XX)</f>
        <v>9999</v>
      </c>
    </row>
    <row r="98" spans="1:59" s="6" customFormat="1" ht="3" customHeight="1">
      <c r="A98" s="255"/>
      <c r="B98" s="255"/>
      <c r="D98" s="2"/>
      <c r="E98" s="2"/>
      <c r="F98" s="2"/>
      <c r="G98" s="2"/>
      <c r="H98" s="2"/>
      <c r="I98" s="2"/>
      <c r="J98" s="274"/>
      <c r="L98" s="28"/>
      <c r="M98" s="28"/>
      <c r="O98" s="36"/>
      <c r="P98" s="36"/>
      <c r="Q98" s="36"/>
      <c r="R98" s="36"/>
      <c r="S98" s="36"/>
      <c r="T98" s="36"/>
      <c r="U98" s="36"/>
      <c r="V98" s="36"/>
      <c r="W98" s="36"/>
      <c r="X98" s="36"/>
      <c r="Y98" s="36"/>
      <c r="Z98" s="36"/>
      <c r="AA98" s="36"/>
      <c r="AB98" s="9"/>
      <c r="AC98" s="164"/>
      <c r="AD98" s="162"/>
      <c r="AE98" s="165"/>
      <c r="AF98" s="28"/>
      <c r="AG98" s="255"/>
      <c r="AJ98" s="160"/>
      <c r="AK98" s="160"/>
      <c r="AL98" s="172"/>
      <c r="AM98" s="160"/>
      <c r="AN98" s="160"/>
      <c r="AO98" s="160"/>
      <c r="AP98" s="160"/>
      <c r="AQ98" s="160"/>
      <c r="AR98" s="160"/>
      <c r="AS98" s="171"/>
      <c r="AT98" s="171"/>
      <c r="AU98" s="160"/>
      <c r="AV98" s="161"/>
      <c r="AW98" s="161"/>
    </row>
    <row r="99" spans="1:59" ht="14.25" customHeight="1">
      <c r="B99" s="255"/>
      <c r="J99" s="272" t="str">
        <f>IF(IFERROR(SEARCH(".",J97),0)=0,CONCATENATE(J97,".",1),IF(IFERROR(SEARCH(".",J97),0)&gt;1,CONCATENATE(IFERROR(LEFT(J97,IFERROR(SEARCH(".",J97),0)-1),0),".",IFERROR(RIGHT(J97,LEN(J97)-IFERROR(SEARCH(".",J97),0)),0)+1),0))</f>
        <v>5.3</v>
      </c>
      <c r="K99" s="2" t="s">
        <v>227</v>
      </c>
      <c r="L99" s="7"/>
      <c r="M99" s="7"/>
      <c r="O99" s="467" t="str">
        <f>CONCATENATE(J99,". ",K99,$K$17)</f>
        <v>5.3. Certidão de inexistência de ônus - Cartório de Registro de Imóveis; (se máquinas/equipamentos/etc.)------------------------------------------------------------------------------------------------------------------------------------------------------------------------</v>
      </c>
      <c r="P99" s="467"/>
      <c r="Q99" s="467"/>
      <c r="R99" s="467"/>
      <c r="S99" s="467"/>
      <c r="T99" s="467"/>
      <c r="U99" s="467"/>
      <c r="V99" s="467"/>
      <c r="W99" s="467"/>
      <c r="X99" s="467"/>
      <c r="Y99" s="467"/>
      <c r="Z99" s="467"/>
      <c r="AA99" s="467"/>
      <c r="AB99" s="9"/>
      <c r="AC99" s="191"/>
      <c r="AD99" s="162"/>
      <c r="AE99" s="166"/>
      <c r="AF99" s="7"/>
      <c r="AG99" s="80"/>
      <c r="AK99" s="160"/>
      <c r="AM99" s="255">
        <v>1</v>
      </c>
      <c r="AN99" s="271">
        <f t="shared" ref="AN99" si="157">IF(AND(AC99&lt;&gt;"",AE99&lt;&gt;""),4,IF($AC$93&lt;&gt;"",3,IF(AC99&lt;&gt;"",1,IF(AE99&lt;&gt;"",2,0))))</f>
        <v>0</v>
      </c>
      <c r="AO99" s="255" t="str">
        <f t="shared" ref="AO99" si="158">IF(AND(AE99="",AN99=2),"",IF(AND(AE99="",AN99&lt;&gt;3),"X",""))</f>
        <v>X</v>
      </c>
      <c r="AP99" s="188">
        <f t="shared" ref="AP99" si="159">IF(AND(AC99&lt;&gt;"",AE99&lt;&gt;""),1,IF(AND(AE99="",AN99=2),1,IF(OR(AN99&lt;&gt;0),0,1)))</f>
        <v>1</v>
      </c>
      <c r="AQ99" s="255">
        <f ca="1">SUM($AP$21:OFFSET(AQ99,-2,-1))</f>
        <v>35</v>
      </c>
      <c r="AR99" s="13" t="str">
        <f t="shared" ref="AR99" ca="1" si="160">IF(AND(AC99="",AQ99=0),AS99,"XX")</f>
        <v>XX</v>
      </c>
      <c r="AS99" s="255">
        <f>MAX($AE$21:AE97)</f>
        <v>0</v>
      </c>
      <c r="AT99" s="255">
        <f>IF(SUM(AE101:$AE$259)&gt;0,MIN(AE101:$AE$259),10000)</f>
        <v>10000</v>
      </c>
      <c r="AU99" s="78"/>
      <c r="AV99" s="78"/>
      <c r="AW99" s="13">
        <f t="shared" ref="AW99" si="161">IF(AND(AC99&lt;&gt;"",AE99&lt;&gt;""),4,0)</f>
        <v>0</v>
      </c>
      <c r="AX99" s="78" t="e">
        <f ca="1">IF(AND(AN99&lt;&gt;1,AN99&lt;&gt;3,AN99&lt;&gt;4),AR99+1,XX)</f>
        <v>#VALUE!</v>
      </c>
      <c r="AY99" s="78">
        <f>IF(AND(AN99&lt;&gt;1,AN99&lt;&gt;3,AN99&lt;&gt;4),AT99-1,XX)</f>
        <v>9999</v>
      </c>
    </row>
    <row r="100" spans="1:59" ht="3" customHeight="1">
      <c r="B100" s="255"/>
      <c r="J100" s="274"/>
      <c r="L100" s="7"/>
      <c r="M100" s="7"/>
      <c r="O100" s="36"/>
      <c r="P100" s="36"/>
      <c r="Q100" s="36"/>
      <c r="R100" s="36"/>
      <c r="S100" s="36"/>
      <c r="T100" s="36"/>
      <c r="U100" s="36"/>
      <c r="V100" s="36"/>
      <c r="W100" s="36"/>
      <c r="X100" s="36"/>
      <c r="Y100" s="36"/>
      <c r="Z100" s="36"/>
      <c r="AA100" s="36"/>
      <c r="AB100" s="9"/>
      <c r="AC100" s="164"/>
      <c r="AD100" s="162"/>
      <c r="AE100" s="165"/>
      <c r="AF100" s="7"/>
      <c r="AK100" s="160"/>
      <c r="AS100" s="171"/>
      <c r="AT100" s="171"/>
      <c r="AU100" s="160"/>
      <c r="AX100" s="6"/>
      <c r="AY100" s="6"/>
    </row>
    <row r="101" spans="1:59" ht="14.25" customHeight="1">
      <c r="B101" s="255"/>
      <c r="J101" s="284">
        <f>J93+1</f>
        <v>6</v>
      </c>
      <c r="K101" s="2" t="s">
        <v>53</v>
      </c>
      <c r="L101" s="7"/>
      <c r="M101" s="7"/>
      <c r="O101" s="481" t="str">
        <f>CONCATENATE(J101,". ",K101)</f>
        <v>6. Se Imóvel Objeto de Garantia:</v>
      </c>
      <c r="P101" s="481"/>
      <c r="Q101" s="481"/>
      <c r="R101" s="481"/>
      <c r="S101" s="481"/>
      <c r="T101" s="481"/>
      <c r="U101" s="342"/>
      <c r="V101" s="482" t="s">
        <v>178</v>
      </c>
      <c r="W101" s="482"/>
      <c r="X101" s="482"/>
      <c r="Y101" s="482"/>
      <c r="Z101" s="285"/>
      <c r="AA101" s="285" t="str">
        <f>BB123</f>
        <v>-</v>
      </c>
      <c r="AB101" s="9"/>
      <c r="AC101" s="223"/>
      <c r="AD101" s="162"/>
      <c r="AE101" s="136" t="s">
        <v>389</v>
      </c>
      <c r="AF101" s="7"/>
      <c r="AK101" s="160"/>
      <c r="AM101" s="255"/>
      <c r="AN101" s="283">
        <f>IF(OR(AE103&lt;&gt;"",AE105&lt;&gt;"",AE107&lt;&gt;"",AE109&lt;&gt;"",AE111&lt;&gt;"",AE113&lt;&gt;"",AE115&lt;&gt;"",AE117&lt;&gt;"",AE119&lt;&gt;"",AE121&lt;&gt;"",AC103&lt;&gt;"",AC105&lt;&gt;"",AC107&lt;&gt;"",AC109&lt;&gt;"",AC111&lt;&gt;"",AC113&lt;&gt;"",AC115&lt;&gt;"",AC117&lt;&gt;"",AC119&lt;&gt;"",AC121&lt;&gt;""),3,0)</f>
        <v>0</v>
      </c>
      <c r="AO101" s="255" t="str">
        <f>IF(AND(AE101="-",AN101=2),"",IF(AND(AE101="-",AN101&lt;&gt;3),"X",""))</f>
        <v>X</v>
      </c>
      <c r="AP101" s="188"/>
      <c r="AQ101" s="255"/>
      <c r="AR101" s="13"/>
      <c r="AS101" s="255"/>
      <c r="AT101" s="255"/>
      <c r="AU101" s="78"/>
      <c r="AV101" s="78"/>
      <c r="AW101" s="13"/>
      <c r="AX101" s="78"/>
      <c r="AY101" s="78"/>
    </row>
    <row r="102" spans="1:59" ht="3" customHeight="1">
      <c r="B102" s="255"/>
      <c r="J102" s="274"/>
      <c r="L102" s="7"/>
      <c r="M102" s="7"/>
      <c r="O102" s="36"/>
      <c r="P102" s="36"/>
      <c r="Q102" s="36"/>
      <c r="R102" s="36"/>
      <c r="S102" s="36"/>
      <c r="T102" s="36"/>
      <c r="U102" s="36"/>
      <c r="V102" s="36"/>
      <c r="W102" s="36"/>
      <c r="X102" s="36"/>
      <c r="Y102" s="36"/>
      <c r="Z102" s="36"/>
      <c r="AA102" s="36"/>
      <c r="AB102" s="9"/>
      <c r="AC102" s="164"/>
      <c r="AD102" s="162"/>
      <c r="AE102" s="165"/>
      <c r="AF102" s="7"/>
      <c r="AG102" s="255"/>
      <c r="AK102" s="160"/>
      <c r="AS102" s="171"/>
      <c r="AT102" s="171"/>
      <c r="AU102" s="160"/>
      <c r="AX102" s="6"/>
      <c r="AY102" s="6"/>
    </row>
    <row r="103" spans="1:59" ht="14.25" customHeight="1">
      <c r="A103" s="386"/>
      <c r="B103" s="255"/>
      <c r="J103" s="272" t="str">
        <f>IF(AND($AA$101&gt;1,$AA$101&lt;&gt;"-"),CONCATENATE($J$101,".",BE103,".1"),""&amp;$J$101&amp;".1")</f>
        <v>6.1</v>
      </c>
      <c r="K103" s="2" t="s">
        <v>390</v>
      </c>
      <c r="L103" s="7"/>
      <c r="M103" s="7"/>
      <c r="O103" s="467" t="str">
        <f>CONCATENATE(J103,". ",K103,$K$17)</f>
        <v>6.1. Título Translativo de Propriedade;------------------------------------------------------------------------------------------------------------------------------------------------------------------------</v>
      </c>
      <c r="P103" s="467"/>
      <c r="Q103" s="467"/>
      <c r="R103" s="467"/>
      <c r="S103" s="467"/>
      <c r="T103" s="467"/>
      <c r="U103" s="467"/>
      <c r="V103" s="467"/>
      <c r="W103" s="467"/>
      <c r="X103" s="467"/>
      <c r="Y103" s="467"/>
      <c r="Z103" s="467"/>
      <c r="AA103" s="467"/>
      <c r="AB103" s="467"/>
      <c r="AC103" s="467"/>
      <c r="AD103" s="162"/>
      <c r="AE103" s="166"/>
      <c r="AF103" s="7"/>
      <c r="AG103" s="80"/>
      <c r="AK103" s="160"/>
      <c r="AM103" s="255">
        <v>1</v>
      </c>
      <c r="AN103" s="271">
        <f>IF(AND(AC103&lt;&gt;"",AE103&lt;&gt;""),4,IF($AC$101&lt;&gt;"",3,IF(AC103&lt;&gt;"",1,IF(AE103&lt;&gt;"",2,0))))</f>
        <v>0</v>
      </c>
      <c r="AO103" s="255" t="str">
        <f t="shared" ref="AO103" si="162">IF(AND(AE103="",AN103=2),"",IF(AND(AE103="",AN103&lt;&gt;3),"X",""))</f>
        <v>X</v>
      </c>
      <c r="AP103" s="188">
        <f t="shared" ref="AP103" si="163">IF(AND(AC103&lt;&gt;"",AE103&lt;&gt;""),1,IF(AND(AE103="",AN103=2),1,IF(OR(AN103&lt;&gt;0),0,1)))</f>
        <v>1</v>
      </c>
      <c r="AQ103" s="255">
        <f ca="1">SUM($AP$21:OFFSET(AQ103,-2,-1))</f>
        <v>36</v>
      </c>
      <c r="AR103" s="13" t="str">
        <f t="shared" ref="AR103" ca="1" si="164">IF(AND(AC103="",AQ103=0),AS103,"XX")</f>
        <v>XX</v>
      </c>
      <c r="AS103" s="255">
        <f>MAX($AE$21:AE61)</f>
        <v>0</v>
      </c>
      <c r="AT103" s="255">
        <f>IF(SUM(AE105:$AE$259)&gt;0,MIN(AE105:$AE$259),10000)</f>
        <v>10000</v>
      </c>
      <c r="AU103" s="78"/>
      <c r="AV103" s="78"/>
      <c r="AW103" s="13">
        <f t="shared" ref="AW103" si="165">IF(AND(AC103&lt;&gt;"",AE103&lt;&gt;""),4,0)</f>
        <v>0</v>
      </c>
      <c r="AX103" s="78" t="e">
        <f ca="1">IF(AND(AN103&lt;&gt;1,AN103&lt;&gt;3,AN103&lt;&gt;4),AR103+1,XX)</f>
        <v>#VALUE!</v>
      </c>
      <c r="AY103" s="78">
        <f>IF(AND(AN103&lt;&gt;1,AN103&lt;&gt;3,AN103&lt;&gt;4),AT103-1,XX)</f>
        <v>9999</v>
      </c>
      <c r="BB103" s="4"/>
      <c r="BC103" s="4">
        <f>IF(OR(SUM(ImovGarantia_3:ImovSup_3)&gt;0,BG103&gt;1),1,0)</f>
        <v>0</v>
      </c>
      <c r="BD103" s="4">
        <f>IF($AA$101&lt;&gt;"-",SUM($BC$99:BC103),0)</f>
        <v>0</v>
      </c>
      <c r="BE103" s="4">
        <f>SUM(BF$100:$BF103)</f>
        <v>1</v>
      </c>
      <c r="BF103" s="4">
        <v>1</v>
      </c>
      <c r="BG103" s="4">
        <f>SUM(ImovGar5:ImovGar4)</f>
        <v>1</v>
      </c>
    </row>
    <row r="104" spans="1:59" ht="3" customHeight="1">
      <c r="A104" s="386"/>
      <c r="B104" s="255"/>
      <c r="J104" s="274"/>
      <c r="L104" s="7"/>
      <c r="M104" s="7"/>
      <c r="O104" s="467"/>
      <c r="P104" s="467"/>
      <c r="Q104" s="467"/>
      <c r="R104" s="467"/>
      <c r="S104" s="467"/>
      <c r="T104" s="467"/>
      <c r="U104" s="467"/>
      <c r="V104" s="467"/>
      <c r="W104" s="467"/>
      <c r="X104" s="467"/>
      <c r="Y104" s="467"/>
      <c r="Z104" s="467"/>
      <c r="AA104" s="467"/>
      <c r="AB104" s="467"/>
      <c r="AC104" s="467"/>
      <c r="AD104" s="162"/>
      <c r="AE104" s="165"/>
      <c r="AF104" s="7"/>
      <c r="AG104" s="255"/>
      <c r="AK104" s="160"/>
      <c r="AS104" s="171"/>
      <c r="AT104" s="171"/>
      <c r="AU104" s="160"/>
      <c r="AX104" s="6"/>
      <c r="AY104" s="6"/>
    </row>
    <row r="105" spans="1:59" ht="14.25" customHeight="1">
      <c r="A105" s="386"/>
      <c r="B105" s="255"/>
      <c r="J105" s="272" t="str">
        <f>IF(AND($AA$101&gt;1,$AA$101&lt;&gt;"-"),CONCATENATE($J$101,".",BE103,".2"),""&amp;$J$101&amp;".2")</f>
        <v>6.2</v>
      </c>
      <c r="K105" s="2" t="s">
        <v>33</v>
      </c>
      <c r="L105" s="7"/>
      <c r="M105" s="7"/>
      <c r="O105" s="467" t="str">
        <f>CONCATENATE(J105,". ",K105,$K$17)</f>
        <v>6.2. Certidão de Cadeia Dominial ou Vintenária;------------------------------------------------------------------------------------------------------------------------------------------------------------------------</v>
      </c>
      <c r="P105" s="467"/>
      <c r="Q105" s="467"/>
      <c r="R105" s="467"/>
      <c r="S105" s="467"/>
      <c r="T105" s="467"/>
      <c r="U105" s="467"/>
      <c r="V105" s="467"/>
      <c r="W105" s="467"/>
      <c r="X105" s="467"/>
      <c r="Y105" s="467"/>
      <c r="Z105" s="467"/>
      <c r="AA105" s="467"/>
      <c r="AB105" s="467"/>
      <c r="AC105" s="467"/>
      <c r="AD105" s="162"/>
      <c r="AE105" s="166"/>
      <c r="AF105" s="7"/>
      <c r="AG105" s="80"/>
      <c r="AK105" s="160"/>
      <c r="AM105" s="255">
        <v>1</v>
      </c>
      <c r="AN105" s="271">
        <f t="shared" ref="AN105" si="166">IF(AND(AC105&lt;&gt;"",AE105&lt;&gt;""),4,IF($AC$101&lt;&gt;"",3,IF(AC105&lt;&gt;"",1,IF(AE105&lt;&gt;"",2,0))))</f>
        <v>0</v>
      </c>
      <c r="AO105" s="255" t="str">
        <f t="shared" ref="AO105" si="167">IF(AND(AE105="",AN105=2),"",IF(AND(AE105="",AN105&lt;&gt;3),"X",""))</f>
        <v>X</v>
      </c>
      <c r="AP105" s="188">
        <f t="shared" ref="AP105" si="168">IF(AND(AC105&lt;&gt;"",AE105&lt;&gt;""),1,IF(AND(AE105="",AN105=2),1,IF(OR(AN105&lt;&gt;0),0,1)))</f>
        <v>1</v>
      </c>
      <c r="AQ105" s="255">
        <f ca="1">SUM($AP$21:OFFSET(AQ105,-2,-1))</f>
        <v>37</v>
      </c>
      <c r="AR105" s="13" t="str">
        <f t="shared" ref="AR105" ca="1" si="169">IF(AND(AC105="",AQ105=0),AS105,"XX")</f>
        <v>XX</v>
      </c>
      <c r="AS105" s="255">
        <f>MAX($AE$21:AE103)</f>
        <v>0</v>
      </c>
      <c r="AT105" s="255">
        <f>IF(SUM(AE107:$AE$259)&gt;0,MIN(AE107:$AE$259),10000)</f>
        <v>10000</v>
      </c>
      <c r="AU105" s="78"/>
      <c r="AV105" s="78"/>
      <c r="AW105" s="13">
        <f t="shared" ref="AW105" si="170">IF(AND(AC105&lt;&gt;"",AE105&lt;&gt;""),4,0)</f>
        <v>0</v>
      </c>
      <c r="AX105" s="78" t="e">
        <f ca="1">IF(AND(AN105&lt;&gt;1,AN105&lt;&gt;3,AN105&lt;&gt;4),AR105+1,XX)</f>
        <v>#VALUE!</v>
      </c>
      <c r="AY105" s="78">
        <f>IF(AND(AN105&lt;&gt;1,AN105&lt;&gt;3,AN105&lt;&gt;4),AT105-1,XX)</f>
        <v>9999</v>
      </c>
    </row>
    <row r="106" spans="1:59" ht="3" customHeight="1">
      <c r="A106" s="386"/>
      <c r="B106" s="255"/>
      <c r="J106" s="274"/>
      <c r="L106" s="7"/>
      <c r="M106" s="7"/>
      <c r="O106" s="36"/>
      <c r="P106" s="36"/>
      <c r="Q106" s="36"/>
      <c r="R106" s="36"/>
      <c r="S106" s="36"/>
      <c r="T106" s="36"/>
      <c r="U106" s="36"/>
      <c r="V106" s="36"/>
      <c r="W106" s="36"/>
      <c r="X106" s="36"/>
      <c r="Y106" s="36"/>
      <c r="Z106" s="36"/>
      <c r="AA106" s="36"/>
      <c r="AB106" s="9"/>
      <c r="AC106" s="164"/>
      <c r="AD106" s="162"/>
      <c r="AE106" s="165"/>
      <c r="AF106" s="7"/>
      <c r="AG106" s="25"/>
      <c r="AK106" s="160"/>
      <c r="AS106" s="171"/>
      <c r="AT106" s="171"/>
      <c r="AU106" s="160"/>
      <c r="AX106" s="6"/>
      <c r="AY106" s="6"/>
    </row>
    <row r="107" spans="1:59" ht="14.25" customHeight="1">
      <c r="A107" s="386"/>
      <c r="B107" s="255"/>
      <c r="J107" s="272" t="str">
        <f>IF(AND($AA$101&gt;1,$AA$101&lt;&gt;"-"),CONCATENATE($J$101,".",BE103,".3"),""&amp;$J$101&amp;".3")</f>
        <v>6.3</v>
      </c>
      <c r="K107" s="2" t="s">
        <v>264</v>
      </c>
      <c r="L107" s="7"/>
      <c r="M107" s="7"/>
      <c r="O107" s="467" t="str">
        <f>CONCATENATE(J107,". ",K107,$K$17)</f>
        <v>6.3. Certidão de Averbação das benfeitorias existentes; (se Imóvel Urbano)------------------------------------------------------------------------------------------------------------------------------------------------------------------------</v>
      </c>
      <c r="P107" s="467"/>
      <c r="Q107" s="467"/>
      <c r="R107" s="467"/>
      <c r="S107" s="467"/>
      <c r="T107" s="467"/>
      <c r="U107" s="467"/>
      <c r="V107" s="467"/>
      <c r="W107" s="467"/>
      <c r="X107" s="467"/>
      <c r="Y107" s="467"/>
      <c r="Z107" s="467"/>
      <c r="AA107" s="467"/>
      <c r="AB107" s="9"/>
      <c r="AC107" s="223"/>
      <c r="AD107" s="162"/>
      <c r="AE107" s="166"/>
      <c r="AF107" s="7"/>
      <c r="AG107" s="80"/>
      <c r="AK107" s="160"/>
      <c r="AM107" s="255">
        <v>1</v>
      </c>
      <c r="AN107" s="271">
        <f t="shared" ref="AN107" si="171">IF(AND(AC107&lt;&gt;"",AE107&lt;&gt;""),4,IF($AC$101&lt;&gt;"",3,IF(AC107&lt;&gt;"",1,IF(AE107&lt;&gt;"",2,0))))</f>
        <v>0</v>
      </c>
      <c r="AO107" s="255" t="str">
        <f t="shared" ref="AO107" si="172">IF(AND(AE107="",AN107=2),"",IF(AND(AE107="",AN107&lt;&gt;3),"X",""))</f>
        <v>X</v>
      </c>
      <c r="AP107" s="188">
        <f t="shared" ref="AP107" si="173">IF(AND(AC107&lt;&gt;"",AE107&lt;&gt;""),1,IF(AND(AE107="",AN107=2),1,IF(OR(AN107&lt;&gt;0),0,1)))</f>
        <v>1</v>
      </c>
      <c r="AQ107" s="255">
        <f ca="1">SUM($AP$21:OFFSET(AQ107,-2,-1))</f>
        <v>38</v>
      </c>
      <c r="AR107" s="13" t="str">
        <f t="shared" ref="AR107" ca="1" si="174">IF(AND(AC107="",AQ107=0),AS107,"XX")</f>
        <v>XX</v>
      </c>
      <c r="AS107" s="255">
        <f>MAX($AE$21:AE105)</f>
        <v>0</v>
      </c>
      <c r="AT107" s="255">
        <f>IF(SUM(AE109:$AE$259)&gt;0,MIN(AE109:$AE$259),10000)</f>
        <v>10000</v>
      </c>
      <c r="AU107" s="78"/>
      <c r="AV107" s="78"/>
      <c r="AW107" s="13">
        <f t="shared" ref="AW107" si="175">IF(AND(AC107&lt;&gt;"",AE107&lt;&gt;""),4,0)</f>
        <v>0</v>
      </c>
      <c r="AX107" s="78" t="e">
        <f ca="1">IF(AND(AN107&lt;&gt;1,AN107&lt;&gt;3,AN107&lt;&gt;4),AR107+1,XX)</f>
        <v>#VALUE!</v>
      </c>
      <c r="AY107" s="78">
        <f>IF(AND(AN107&lt;&gt;1,AN107&lt;&gt;3,AN107&lt;&gt;4),AT107-1,XX)</f>
        <v>9999</v>
      </c>
    </row>
    <row r="108" spans="1:59" ht="3" customHeight="1">
      <c r="A108" s="386"/>
      <c r="B108" s="255"/>
      <c r="J108" s="274"/>
      <c r="L108" s="7"/>
      <c r="M108" s="7"/>
      <c r="O108" s="36"/>
      <c r="P108" s="36"/>
      <c r="Q108" s="36"/>
      <c r="R108" s="36"/>
      <c r="S108" s="36"/>
      <c r="T108" s="36"/>
      <c r="U108" s="36"/>
      <c r="V108" s="36"/>
      <c r="W108" s="36"/>
      <c r="X108" s="36"/>
      <c r="Y108" s="36"/>
      <c r="Z108" s="36"/>
      <c r="AA108" s="36"/>
      <c r="AB108" s="9"/>
      <c r="AC108" s="164"/>
      <c r="AD108" s="162"/>
      <c r="AE108" s="165"/>
      <c r="AF108" s="7"/>
      <c r="AG108" s="255"/>
      <c r="AK108" s="160"/>
      <c r="AS108" s="171"/>
      <c r="AT108" s="171"/>
      <c r="AU108" s="160"/>
      <c r="AX108" s="6"/>
      <c r="AY108" s="6"/>
    </row>
    <row r="109" spans="1:59" ht="14.25" customHeight="1">
      <c r="A109" s="386"/>
      <c r="B109" s="255"/>
      <c r="J109" s="272" t="str">
        <f>IF(AND($AA$101&gt;1,$AA$101&lt;&gt;"-"),CONCATENATE($J$101,".",BE103,".4"),""&amp;$J$101&amp;".4")</f>
        <v>6.4</v>
      </c>
      <c r="K109" s="2" t="s">
        <v>265</v>
      </c>
      <c r="L109" s="7"/>
      <c r="M109" s="7"/>
      <c r="O109" s="467" t="str">
        <f>CONCATENATE(J109,". ",K109,$K$17)</f>
        <v>6.4. Certidão de Inexistência de Ônus ou Certidão de Inteiro Teor;------------------------------------------------------------------------------------------------------------------------------------------------------------------------</v>
      </c>
      <c r="P109" s="467"/>
      <c r="Q109" s="467"/>
      <c r="R109" s="467"/>
      <c r="S109" s="467"/>
      <c r="T109" s="467"/>
      <c r="U109" s="467"/>
      <c r="V109" s="467"/>
      <c r="W109" s="467"/>
      <c r="X109" s="467"/>
      <c r="Y109" s="467"/>
      <c r="Z109" s="467"/>
      <c r="AA109" s="467"/>
      <c r="AB109" s="467"/>
      <c r="AC109" s="467"/>
      <c r="AD109" s="162"/>
      <c r="AE109" s="166"/>
      <c r="AF109" s="7"/>
      <c r="AG109" s="80"/>
      <c r="AK109" s="160"/>
      <c r="AM109" s="255">
        <v>1</v>
      </c>
      <c r="AN109" s="271">
        <f t="shared" ref="AN109" si="176">IF(AND(AC109&lt;&gt;"",AE109&lt;&gt;""),4,IF($AC$101&lt;&gt;"",3,IF(AC109&lt;&gt;"",1,IF(AE109&lt;&gt;"",2,0))))</f>
        <v>0</v>
      </c>
      <c r="AO109" s="255" t="str">
        <f t="shared" ref="AO109" si="177">IF(AND(AE109="",AN109=2),"",IF(AND(AE109="",AN109&lt;&gt;3),"X",""))</f>
        <v>X</v>
      </c>
      <c r="AP109" s="188">
        <f t="shared" ref="AP109" si="178">IF(AND(AC109&lt;&gt;"",AE109&lt;&gt;""),1,IF(AND(AE109="",AN109=2),1,IF(OR(AN109&lt;&gt;0),0,1)))</f>
        <v>1</v>
      </c>
      <c r="AQ109" s="255">
        <f ca="1">SUM($AP$21:OFFSET(AQ109,-2,-1))</f>
        <v>39</v>
      </c>
      <c r="AR109" s="13" t="str">
        <f t="shared" ref="AR109" ca="1" si="179">IF(AND(AC109="",AQ109=0),AS109,"XX")</f>
        <v>XX</v>
      </c>
      <c r="AS109" s="255">
        <f>MAX($AE$21:AE107)</f>
        <v>0</v>
      </c>
      <c r="AT109" s="255">
        <f>IF(SUM(AE111:$AE$259)&gt;0,MIN(AE111:$AE$259),10000)</f>
        <v>10000</v>
      </c>
      <c r="AU109" s="78"/>
      <c r="AV109" s="78"/>
      <c r="AW109" s="13">
        <f t="shared" ref="AW109" si="180">IF(AND(AC109&lt;&gt;"",AE109&lt;&gt;""),4,0)</f>
        <v>0</v>
      </c>
      <c r="AX109" s="78" t="e">
        <f ca="1">IF(AND(AN109&lt;&gt;1,AN109&lt;&gt;3,AN109&lt;&gt;4),AR109+1,XX)</f>
        <v>#VALUE!</v>
      </c>
      <c r="AY109" s="78">
        <f>IF(AND(AN109&lt;&gt;1,AN109&lt;&gt;3,AN109&lt;&gt;4),AT109-1,XX)</f>
        <v>9999</v>
      </c>
    </row>
    <row r="110" spans="1:59" s="6" customFormat="1" ht="3" customHeight="1">
      <c r="A110" s="386"/>
      <c r="B110" s="255"/>
      <c r="D110" s="2"/>
      <c r="E110" s="2"/>
      <c r="F110" s="2"/>
      <c r="G110" s="2"/>
      <c r="H110" s="2"/>
      <c r="I110" s="2"/>
      <c r="J110" s="274"/>
      <c r="L110" s="28"/>
      <c r="M110" s="28"/>
      <c r="O110" s="36"/>
      <c r="P110" s="36"/>
      <c r="Q110" s="36"/>
      <c r="R110" s="36"/>
      <c r="S110" s="36"/>
      <c r="T110" s="36"/>
      <c r="U110" s="36"/>
      <c r="V110" s="36"/>
      <c r="W110" s="36"/>
      <c r="X110" s="36"/>
      <c r="Y110" s="36"/>
      <c r="Z110" s="36"/>
      <c r="AA110" s="36"/>
      <c r="AB110" s="9"/>
      <c r="AC110" s="164"/>
      <c r="AD110" s="162"/>
      <c r="AE110" s="165"/>
      <c r="AF110" s="28"/>
      <c r="AG110" s="2"/>
      <c r="AJ110" s="160"/>
      <c r="AK110" s="160"/>
      <c r="AL110" s="172"/>
      <c r="AM110" s="160"/>
      <c r="AN110" s="160"/>
      <c r="AO110" s="160"/>
      <c r="AP110" s="160"/>
      <c r="AQ110" s="160"/>
      <c r="AR110" s="160"/>
      <c r="AS110" s="171"/>
      <c r="AT110" s="171"/>
      <c r="AU110" s="160"/>
      <c r="AV110" s="161"/>
      <c r="AW110" s="161"/>
    </row>
    <row r="111" spans="1:59" ht="14.25" customHeight="1">
      <c r="A111" s="386"/>
      <c r="B111" s="255"/>
      <c r="J111" s="272" t="str">
        <f>IF(AND($AA$101&gt;1,$AA$101&lt;&gt;"-"),CONCATENATE($J$101,".",BE103,".5"),""&amp;$J$101&amp;".5")</f>
        <v>6.5</v>
      </c>
      <c r="K111" s="2" t="s">
        <v>268</v>
      </c>
      <c r="L111" s="7"/>
      <c r="M111" s="7"/>
      <c r="O111" s="467" t="str">
        <f>CONCATENATE(J111,". ",K111,$K$17)</f>
        <v>6.5. Certidão de Inexistência de Ônus - Cartório de Títulos e Documentos; ------------------------------------------------------------------------------------------------------------------------------------------------------------------------</v>
      </c>
      <c r="P111" s="467"/>
      <c r="Q111" s="467"/>
      <c r="R111" s="467"/>
      <c r="S111" s="467"/>
      <c r="T111" s="467"/>
      <c r="U111" s="467"/>
      <c r="V111" s="467"/>
      <c r="W111" s="467"/>
      <c r="X111" s="467"/>
      <c r="Y111" s="467"/>
      <c r="Z111" s="467"/>
      <c r="AA111" s="467"/>
      <c r="AB111" s="9"/>
      <c r="AC111" s="223"/>
      <c r="AD111" s="162"/>
      <c r="AE111" s="166"/>
      <c r="AF111" s="7"/>
      <c r="AG111" s="80"/>
      <c r="AK111" s="160"/>
      <c r="AM111" s="255">
        <v>1</v>
      </c>
      <c r="AN111" s="271">
        <f t="shared" ref="AN111" si="181">IF(AND(AC111&lt;&gt;"",AE111&lt;&gt;""),4,IF($AC$101&lt;&gt;"",3,IF(AC111&lt;&gt;"",1,IF(AE111&lt;&gt;"",2,0))))</f>
        <v>0</v>
      </c>
      <c r="AO111" s="255" t="str">
        <f t="shared" ref="AO111" si="182">IF(AND(AE111="",AN111=2),"",IF(AND(AE111="",AN111&lt;&gt;3),"X",""))</f>
        <v>X</v>
      </c>
      <c r="AP111" s="188">
        <f t="shared" ref="AP111" si="183">IF(AND(AC111&lt;&gt;"",AE111&lt;&gt;""),1,IF(AND(AE111="",AN111=2),1,IF(OR(AN111&lt;&gt;0),0,1)))</f>
        <v>1</v>
      </c>
      <c r="AQ111" s="255">
        <f ca="1">SUM($AP$21:OFFSET(AQ111,-2,-1))</f>
        <v>40</v>
      </c>
      <c r="AR111" s="13" t="str">
        <f t="shared" ref="AR111" ca="1" si="184">IF(AND(AC111="",AQ111=0),AS111,"XX")</f>
        <v>XX</v>
      </c>
      <c r="AS111" s="255">
        <f>MAX($AE$21:AE109)</f>
        <v>0</v>
      </c>
      <c r="AT111" s="255">
        <f>IF(SUM(AE113:$AE$259)&gt;0,MIN(AE113:$AE$259),10000)</f>
        <v>10000</v>
      </c>
      <c r="AU111" s="78"/>
      <c r="AV111" s="78"/>
      <c r="AW111" s="13">
        <f t="shared" ref="AW111" si="185">IF(AND(AC111&lt;&gt;"",AE111&lt;&gt;""),4,0)</f>
        <v>0</v>
      </c>
      <c r="AX111" s="78" t="e">
        <f ca="1">IF(AND(AN111&lt;&gt;1,AN111&lt;&gt;3,AN111&lt;&gt;4),AR111+1,XX)</f>
        <v>#VALUE!</v>
      </c>
      <c r="AY111" s="78">
        <f>IF(AND(AN111&lt;&gt;1,AN111&lt;&gt;3,AN111&lt;&gt;4),AT111-1,XX)</f>
        <v>9999</v>
      </c>
    </row>
    <row r="112" spans="1:59" s="6" customFormat="1" ht="3" customHeight="1">
      <c r="A112" s="386"/>
      <c r="B112" s="255"/>
      <c r="D112" s="2"/>
      <c r="E112" s="2"/>
      <c r="F112" s="2"/>
      <c r="G112" s="2"/>
      <c r="H112" s="2"/>
      <c r="I112" s="2"/>
      <c r="J112" s="274"/>
      <c r="L112" s="28"/>
      <c r="M112" s="28"/>
      <c r="O112" s="36"/>
      <c r="P112" s="36"/>
      <c r="Q112" s="36"/>
      <c r="R112" s="36"/>
      <c r="S112" s="36"/>
      <c r="T112" s="36"/>
      <c r="U112" s="36"/>
      <c r="V112" s="36"/>
      <c r="W112" s="36"/>
      <c r="X112" s="36"/>
      <c r="Y112" s="36"/>
      <c r="Z112" s="36"/>
      <c r="AA112" s="36"/>
      <c r="AB112" s="9"/>
      <c r="AC112" s="164"/>
      <c r="AD112" s="162"/>
      <c r="AE112" s="165"/>
      <c r="AF112" s="28"/>
      <c r="AG112" s="255"/>
      <c r="AJ112" s="160"/>
      <c r="AK112" s="160"/>
      <c r="AL112" s="172"/>
      <c r="AM112" s="160"/>
      <c r="AN112" s="160"/>
      <c r="AO112" s="160"/>
      <c r="AP112" s="160"/>
      <c r="AQ112" s="160"/>
      <c r="AR112" s="160"/>
      <c r="AS112" s="171"/>
      <c r="AT112" s="171"/>
      <c r="AU112" s="160"/>
      <c r="AV112" s="161"/>
      <c r="AW112" s="161"/>
    </row>
    <row r="113" spans="1:54" ht="14.25" customHeight="1">
      <c r="A113" s="386"/>
      <c r="B113" s="255"/>
      <c r="J113" s="272" t="str">
        <f>IF(AND($AA$101&gt;1,$AA$101&lt;&gt;"-"),CONCATENATE($J$101,".",BE103,".6"),""&amp;$J$101&amp;".6")</f>
        <v>6.6</v>
      </c>
      <c r="K113" s="2" t="s">
        <v>301</v>
      </c>
      <c r="L113" s="7"/>
      <c r="M113" s="7"/>
      <c r="O113" s="467" t="str">
        <f>CONCATENATE(J113,". ",K113,$K$17)</f>
        <v>6.6. Certidão de Inexistência de Ônus de Imposto Predial e Territorial Urbano - IPTU; (se Imóvel Urbano)------------------------------------------------------------------------------------------------------------------------------------------------------------------------</v>
      </c>
      <c r="P113" s="467"/>
      <c r="Q113" s="467"/>
      <c r="R113" s="467"/>
      <c r="S113" s="467"/>
      <c r="T113" s="467"/>
      <c r="U113" s="467"/>
      <c r="V113" s="467"/>
      <c r="W113" s="467"/>
      <c r="X113" s="467"/>
      <c r="Y113" s="467"/>
      <c r="Z113" s="467"/>
      <c r="AA113" s="467"/>
      <c r="AB113" s="9"/>
      <c r="AC113" s="223"/>
      <c r="AD113" s="162"/>
      <c r="AE113" s="166"/>
      <c r="AF113" s="7"/>
      <c r="AG113" s="80"/>
      <c r="AK113" s="160"/>
      <c r="AM113" s="255">
        <v>1</v>
      </c>
      <c r="AN113" s="271">
        <f t="shared" ref="AN113" si="186">IF(AND(AC113&lt;&gt;"",AE113&lt;&gt;""),4,IF($AC$101&lt;&gt;"",3,IF(AC113&lt;&gt;"",1,IF(AE113&lt;&gt;"",2,0))))</f>
        <v>0</v>
      </c>
      <c r="AO113" s="255" t="str">
        <f t="shared" ref="AO113" si="187">IF(AND(AE113="",AN113=2),"",IF(AND(AE113="",AN113&lt;&gt;3),"X",""))</f>
        <v>X</v>
      </c>
      <c r="AP113" s="188">
        <f t="shared" ref="AP113" si="188">IF(AND(AC113&lt;&gt;"",AE113&lt;&gt;""),1,IF(AND(AE113="",AN113=2),1,IF(OR(AN113&lt;&gt;0),0,1)))</f>
        <v>1</v>
      </c>
      <c r="AQ113" s="255">
        <f ca="1">SUM($AP$21:OFFSET(AQ113,-2,-1))</f>
        <v>41</v>
      </c>
      <c r="AR113" s="13" t="str">
        <f t="shared" ref="AR113" ca="1" si="189">IF(AND(AC113="",AQ113=0),AS113,"XX")</f>
        <v>XX</v>
      </c>
      <c r="AS113" s="255">
        <f>MAX($AE$21:AE111)</f>
        <v>0</v>
      </c>
      <c r="AT113" s="255">
        <f>IF(SUM(AE115:$AE$259)&gt;0,MIN(AE115:$AE$259),10000)</f>
        <v>10000</v>
      </c>
      <c r="AU113" s="78"/>
      <c r="AV113" s="78"/>
      <c r="AW113" s="13">
        <f t="shared" ref="AW113" si="190">IF(AND(AC113&lt;&gt;"",AE113&lt;&gt;""),4,0)</f>
        <v>0</v>
      </c>
      <c r="AX113" s="78" t="e">
        <f ca="1">IF(AND(AN113&lt;&gt;1,AN113&lt;&gt;3,AN113&lt;&gt;4),AR113+1,XX)</f>
        <v>#VALUE!</v>
      </c>
      <c r="AY113" s="78">
        <f>IF(AND(AN113&lt;&gt;1,AN113&lt;&gt;3,AN113&lt;&gt;4),AT113-1,XX)</f>
        <v>9999</v>
      </c>
    </row>
    <row r="114" spans="1:54" s="6" customFormat="1" ht="3" customHeight="1">
      <c r="A114" s="386"/>
      <c r="B114" s="255"/>
      <c r="J114" s="274"/>
      <c r="L114" s="28"/>
      <c r="M114" s="28"/>
      <c r="O114" s="36"/>
      <c r="P114" s="36"/>
      <c r="Q114" s="36"/>
      <c r="R114" s="36"/>
      <c r="S114" s="36"/>
      <c r="T114" s="36"/>
      <c r="U114" s="36"/>
      <c r="V114" s="36"/>
      <c r="W114" s="36"/>
      <c r="X114" s="36"/>
      <c r="Y114" s="36"/>
      <c r="Z114" s="36"/>
      <c r="AA114" s="36"/>
      <c r="AB114" s="9"/>
      <c r="AC114" s="164"/>
      <c r="AD114" s="162"/>
      <c r="AE114" s="165"/>
      <c r="AF114" s="28"/>
      <c r="AG114" s="2"/>
      <c r="AJ114" s="160"/>
      <c r="AK114" s="160"/>
      <c r="AL114" s="172"/>
      <c r="AM114" s="160"/>
      <c r="AN114" s="160"/>
      <c r="AO114" s="160"/>
      <c r="AP114" s="160"/>
      <c r="AQ114" s="160"/>
      <c r="AR114" s="160"/>
      <c r="AS114" s="171"/>
      <c r="AT114" s="171"/>
      <c r="AU114" s="160"/>
      <c r="AV114" s="161"/>
      <c r="AW114" s="161"/>
    </row>
    <row r="115" spans="1:54" ht="14.25" customHeight="1">
      <c r="A115" s="386"/>
      <c r="B115" s="255"/>
      <c r="J115" s="272" t="str">
        <f>IF(AND($AA$101&gt;1,$AA$101&lt;&gt;"-"),CONCATENATE($J$101,".",BE103,".7"),""&amp;$J$101&amp;".7")</f>
        <v>6.7</v>
      </c>
      <c r="K115" s="2" t="s">
        <v>160</v>
      </c>
      <c r="L115" s="7"/>
      <c r="M115" s="7"/>
      <c r="O115" s="467" t="str">
        <f>CONCATENATE(J115,". ",K115,$K$17)</f>
        <v>6.7. Certificado de Cadastro de Imóvel Rural - CCIR; (se Imóvel Rural)------------------------------------------------------------------------------------------------------------------------------------------------------------------------</v>
      </c>
      <c r="P115" s="467"/>
      <c r="Q115" s="467"/>
      <c r="R115" s="467"/>
      <c r="S115" s="467"/>
      <c r="T115" s="467"/>
      <c r="U115" s="467"/>
      <c r="V115" s="467"/>
      <c r="W115" s="467"/>
      <c r="X115" s="467"/>
      <c r="Y115" s="467"/>
      <c r="Z115" s="467"/>
      <c r="AA115" s="467"/>
      <c r="AB115" s="9"/>
      <c r="AC115" s="223"/>
      <c r="AD115" s="162"/>
      <c r="AE115" s="166"/>
      <c r="AF115" s="7"/>
      <c r="AG115" s="80"/>
      <c r="AK115" s="160"/>
      <c r="AM115" s="255">
        <v>1</v>
      </c>
      <c r="AN115" s="271">
        <f t="shared" ref="AN115" si="191">IF(AND(AC115&lt;&gt;"",AE115&lt;&gt;""),4,IF($AC$101&lt;&gt;"",3,IF(AC115&lt;&gt;"",1,IF(AE115&lt;&gt;"",2,0))))</f>
        <v>0</v>
      </c>
      <c r="AO115" s="255" t="str">
        <f t="shared" ref="AO115" si="192">IF(AND(AE115="",AN115=2),"",IF(AND(AE115="",AN115&lt;&gt;3),"X",""))</f>
        <v>X</v>
      </c>
      <c r="AP115" s="188">
        <f t="shared" ref="AP115" si="193">IF(AND(AC115&lt;&gt;"",AE115&lt;&gt;""),1,IF(AND(AE115="",AN115=2),1,IF(OR(AN115&lt;&gt;0),0,1)))</f>
        <v>1</v>
      </c>
      <c r="AQ115" s="255">
        <f ca="1">SUM($AP$21:OFFSET(AQ115,-2,-1))</f>
        <v>42</v>
      </c>
      <c r="AR115" s="13" t="str">
        <f t="shared" ref="AR115" ca="1" si="194">IF(AND(AC115="",AQ115=0),AS115,"XX")</f>
        <v>XX</v>
      </c>
      <c r="AS115" s="255">
        <f>MAX($AE$21:AE113)</f>
        <v>0</v>
      </c>
      <c r="AT115" s="255">
        <f>IF(SUM(AE117:$AE$259)&gt;0,MIN(AE117:$AE$259),10000)</f>
        <v>10000</v>
      </c>
      <c r="AU115" s="78"/>
      <c r="AV115" s="78"/>
      <c r="AW115" s="13">
        <f t="shared" ref="AW115" si="195">IF(AND(AC115&lt;&gt;"",AE115&lt;&gt;""),4,0)</f>
        <v>0</v>
      </c>
      <c r="AX115" s="78" t="e">
        <f ca="1">IF(AND(AN115&lt;&gt;1,AN115&lt;&gt;3,AN115&lt;&gt;4),AR115+1,XX)</f>
        <v>#VALUE!</v>
      </c>
      <c r="AY115" s="78">
        <f>IF(AND(AN115&lt;&gt;1,AN115&lt;&gt;3,AN115&lt;&gt;4),AT115-1,XX)</f>
        <v>9999</v>
      </c>
    </row>
    <row r="116" spans="1:54" s="6" customFormat="1" ht="3" customHeight="1">
      <c r="A116" s="386"/>
      <c r="B116" s="255"/>
      <c r="J116" s="274"/>
      <c r="L116" s="28"/>
      <c r="M116" s="28"/>
      <c r="O116" s="36"/>
      <c r="P116" s="36"/>
      <c r="Q116" s="36"/>
      <c r="R116" s="36"/>
      <c r="S116" s="36"/>
      <c r="T116" s="36"/>
      <c r="U116" s="36"/>
      <c r="V116" s="36"/>
      <c r="W116" s="36"/>
      <c r="X116" s="36"/>
      <c r="Y116" s="36"/>
      <c r="Z116" s="36"/>
      <c r="AA116" s="36"/>
      <c r="AB116" s="9"/>
      <c r="AC116" s="164"/>
      <c r="AD116" s="162"/>
      <c r="AE116" s="165"/>
      <c r="AF116" s="28"/>
      <c r="AG116" s="2"/>
      <c r="AJ116" s="160"/>
      <c r="AK116" s="160"/>
      <c r="AL116" s="172"/>
      <c r="AM116" s="160"/>
      <c r="AN116" s="160"/>
      <c r="AO116" s="160"/>
      <c r="AP116" s="160"/>
      <c r="AQ116" s="160"/>
      <c r="AR116" s="160"/>
      <c r="AS116" s="171"/>
      <c r="AT116" s="171"/>
      <c r="AU116" s="160"/>
      <c r="AV116" s="161"/>
      <c r="AW116" s="161"/>
    </row>
    <row r="117" spans="1:54" ht="14.25" customHeight="1">
      <c r="A117" s="386"/>
      <c r="B117" s="255"/>
      <c r="J117" s="272" t="str">
        <f>IF(AND($AA$101&gt;1,$AA$101&lt;&gt;"-"),CONCATENATE($J$101,".",BE103,".8"),""&amp;$J$101&amp;".8")</f>
        <v>6.8</v>
      </c>
      <c r="K117" s="2" t="s">
        <v>337</v>
      </c>
      <c r="L117" s="7"/>
      <c r="M117" s="7"/>
      <c r="O117" s="467" t="str">
        <f>CONCATENATE(J117,". ",K117,$K$17)</f>
        <v>6.8. Certidão Negativa de Débito de ITR; (se Imóvel Rural)------------------------------------------------------------------------------------------------------------------------------------------------------------------------</v>
      </c>
      <c r="P117" s="467"/>
      <c r="Q117" s="467"/>
      <c r="R117" s="467"/>
      <c r="S117" s="467"/>
      <c r="T117" s="467"/>
      <c r="U117" s="467"/>
      <c r="V117" s="467"/>
      <c r="W117" s="467"/>
      <c r="X117" s="467"/>
      <c r="Y117" s="467"/>
      <c r="Z117" s="467"/>
      <c r="AA117" s="467"/>
      <c r="AB117" s="9"/>
      <c r="AC117" s="223"/>
      <c r="AD117" s="162"/>
      <c r="AE117" s="166"/>
      <c r="AF117" s="7"/>
      <c r="AG117" s="80"/>
      <c r="AK117" s="160"/>
      <c r="AM117" s="255">
        <v>1</v>
      </c>
      <c r="AN117" s="271">
        <f t="shared" ref="AN117" si="196">IF(AND(AC117&lt;&gt;"",AE117&lt;&gt;""),4,IF($AC$101&lt;&gt;"",3,IF(AC117&lt;&gt;"",1,IF(AE117&lt;&gt;"",2,0))))</f>
        <v>0</v>
      </c>
      <c r="AO117" s="255" t="str">
        <f t="shared" ref="AO117" si="197">IF(AND(AE117="",AN117=2),"",IF(AND(AE117="",AN117&lt;&gt;3),"X",""))</f>
        <v>X</v>
      </c>
      <c r="AP117" s="188">
        <f t="shared" ref="AP117" si="198">IF(AND(AC117&lt;&gt;"",AE117&lt;&gt;""),1,IF(AND(AE117="",AN117=2),1,IF(OR(AN117&lt;&gt;0),0,1)))</f>
        <v>1</v>
      </c>
      <c r="AQ117" s="255">
        <f ca="1">SUM($AP$21:OFFSET(AQ117,-2,-1))</f>
        <v>43</v>
      </c>
      <c r="AR117" s="13" t="str">
        <f t="shared" ref="AR117" ca="1" si="199">IF(AND(AC117="",AQ117=0),AS117,"XX")</f>
        <v>XX</v>
      </c>
      <c r="AS117" s="255">
        <f>MAX($AE$21:AE115)</f>
        <v>0</v>
      </c>
      <c r="AT117" s="255">
        <f>IF(SUM(AE119:$AE$259)&gt;0,MIN(AE119:$AE$259),10000)</f>
        <v>10000</v>
      </c>
      <c r="AU117" s="78"/>
      <c r="AV117" s="78"/>
      <c r="AW117" s="13">
        <f t="shared" ref="AW117" si="200">IF(AND(AC117&lt;&gt;"",AE117&lt;&gt;""),4,0)</f>
        <v>0</v>
      </c>
      <c r="AX117" s="78" t="e">
        <f ca="1">IF(AND(AN117&lt;&gt;1,AN117&lt;&gt;3,AN117&lt;&gt;4),AR117+1,XX)</f>
        <v>#VALUE!</v>
      </c>
      <c r="AY117" s="78">
        <f>IF(AND(AN117&lt;&gt;1,AN117&lt;&gt;3,AN117&lt;&gt;4),AT117-1,XX)</f>
        <v>9999</v>
      </c>
    </row>
    <row r="118" spans="1:54" s="6" customFormat="1" ht="3" customHeight="1">
      <c r="A118" s="386"/>
      <c r="B118" s="255"/>
      <c r="J118" s="274"/>
      <c r="L118" s="28"/>
      <c r="M118" s="28"/>
      <c r="O118" s="36"/>
      <c r="P118" s="36"/>
      <c r="Q118" s="36"/>
      <c r="R118" s="36"/>
      <c r="S118" s="36"/>
      <c r="T118" s="36"/>
      <c r="U118" s="36"/>
      <c r="V118" s="36"/>
      <c r="W118" s="36"/>
      <c r="X118" s="36"/>
      <c r="Y118" s="36"/>
      <c r="Z118" s="36"/>
      <c r="AA118" s="36"/>
      <c r="AB118" s="9"/>
      <c r="AC118" s="164"/>
      <c r="AD118" s="162"/>
      <c r="AE118" s="165"/>
      <c r="AF118" s="28"/>
      <c r="AG118" s="2"/>
      <c r="AJ118" s="160"/>
      <c r="AK118" s="160"/>
      <c r="AL118" s="172"/>
      <c r="AM118" s="160"/>
      <c r="AN118" s="160"/>
      <c r="AO118" s="160"/>
      <c r="AP118" s="160"/>
      <c r="AQ118" s="160"/>
      <c r="AR118" s="160"/>
      <c r="AS118" s="171"/>
      <c r="AT118" s="171"/>
      <c r="AU118" s="160"/>
      <c r="AV118" s="161"/>
      <c r="AW118" s="161"/>
    </row>
    <row r="119" spans="1:54" ht="14.25" customHeight="1">
      <c r="A119" s="386"/>
      <c r="B119" s="255"/>
      <c r="J119" s="272" t="str">
        <f>IF(AND($AA$101&gt;1,$AA$101&lt;&gt;"-"),CONCATENATE($J$101,".",BE103,".9"),""&amp;$J$101&amp;".9")</f>
        <v>6.9</v>
      </c>
      <c r="K119" s="2" t="s">
        <v>269</v>
      </c>
      <c r="L119" s="7"/>
      <c r="M119" s="7"/>
      <c r="O119" s="467" t="str">
        <f>CONCATENATE(J119,". ",K119,$K$17)</f>
        <v>6.9. Declaração de Inexistência de Embargo vigentes; (se Imóvel Rural)------------------------------------------------------------------------------------------------------------------------------------------------------------------------</v>
      </c>
      <c r="P119" s="467"/>
      <c r="Q119" s="467"/>
      <c r="R119" s="467"/>
      <c r="S119" s="467"/>
      <c r="T119" s="467"/>
      <c r="U119" s="467"/>
      <c r="V119" s="467"/>
      <c r="W119" s="467"/>
      <c r="X119" s="467"/>
      <c r="Y119" s="467"/>
      <c r="Z119" s="467"/>
      <c r="AA119" s="467"/>
      <c r="AB119" s="9"/>
      <c r="AC119" s="223"/>
      <c r="AD119" s="162"/>
      <c r="AE119" s="166"/>
      <c r="AF119" s="7"/>
      <c r="AG119" s="80"/>
      <c r="AK119" s="160"/>
      <c r="AM119" s="255">
        <v>1</v>
      </c>
      <c r="AN119" s="271">
        <f t="shared" ref="AN119" si="201">IF(AND(AC119&lt;&gt;"",AE119&lt;&gt;""),4,IF($AC$101&lt;&gt;"",3,IF(AC119&lt;&gt;"",1,IF(AE119&lt;&gt;"",2,0))))</f>
        <v>0</v>
      </c>
      <c r="AO119" s="255" t="str">
        <f t="shared" ref="AO119" si="202">IF(AND(AE119="",AN119=2),"",IF(AND(AE119="",AN119&lt;&gt;3),"X",""))</f>
        <v>X</v>
      </c>
      <c r="AP119" s="188">
        <f t="shared" ref="AP119" si="203">IF(AND(AC119&lt;&gt;"",AE119&lt;&gt;""),1,IF(AND(AE119="",AN119=2),1,IF(OR(AN119&lt;&gt;0),0,1)))</f>
        <v>1</v>
      </c>
      <c r="AQ119" s="255">
        <f ca="1">SUM($AP$21:OFFSET(AQ119,-2,-1))</f>
        <v>44</v>
      </c>
      <c r="AR119" s="13" t="str">
        <f t="shared" ref="AR119" ca="1" si="204">IF(AND(AC119="",AQ119=0),AS119,"XX")</f>
        <v>XX</v>
      </c>
      <c r="AS119" s="255">
        <f>MAX($AE$21:AE117)</f>
        <v>0</v>
      </c>
      <c r="AT119" s="255">
        <f>IF(SUM(AE121:$AE$259)&gt;0,MIN(AE121:$AE$259),10000)</f>
        <v>10000</v>
      </c>
      <c r="AU119" s="78"/>
      <c r="AV119" s="78"/>
      <c r="AW119" s="13">
        <f t="shared" ref="AW119" si="205">IF(AND(AC119&lt;&gt;"",AE119&lt;&gt;""),4,0)</f>
        <v>0</v>
      </c>
      <c r="AX119" s="78" t="e">
        <f ca="1">IF(AND(AN119&lt;&gt;1,AN119&lt;&gt;3,AN119&lt;&gt;4),AR119+1,XX)</f>
        <v>#VALUE!</v>
      </c>
      <c r="AY119" s="78">
        <f>IF(AND(AN119&lt;&gt;1,AN119&lt;&gt;3,AN119&lt;&gt;4),AT119-1,XX)</f>
        <v>9999</v>
      </c>
    </row>
    <row r="120" spans="1:54" s="6" customFormat="1" ht="3" customHeight="1">
      <c r="A120" s="386"/>
      <c r="B120" s="255"/>
      <c r="J120" s="274"/>
      <c r="L120" s="28"/>
      <c r="M120" s="28"/>
      <c r="O120" s="36"/>
      <c r="P120" s="36"/>
      <c r="Q120" s="36"/>
      <c r="R120" s="36"/>
      <c r="S120" s="36"/>
      <c r="T120" s="36"/>
      <c r="U120" s="36"/>
      <c r="V120" s="36"/>
      <c r="W120" s="36"/>
      <c r="X120" s="36"/>
      <c r="Y120" s="36"/>
      <c r="Z120" s="36"/>
      <c r="AA120" s="36"/>
      <c r="AB120" s="9"/>
      <c r="AC120" s="164"/>
      <c r="AD120" s="162"/>
      <c r="AE120" s="165"/>
      <c r="AF120" s="28"/>
      <c r="AG120" s="2"/>
      <c r="AJ120" s="160"/>
      <c r="AK120" s="160"/>
      <c r="AL120" s="172"/>
      <c r="AM120" s="160"/>
      <c r="AN120" s="160"/>
      <c r="AO120" s="160"/>
      <c r="AP120" s="160"/>
      <c r="AQ120" s="160"/>
      <c r="AR120" s="160"/>
      <c r="AS120" s="171"/>
      <c r="AT120" s="171"/>
      <c r="AU120" s="160"/>
      <c r="AV120" s="161"/>
      <c r="AW120" s="161"/>
    </row>
    <row r="121" spans="1:54" ht="14.25" customHeight="1">
      <c r="A121" s="386"/>
      <c r="B121" s="255"/>
      <c r="J121" s="272" t="str">
        <f>IF(AND($AA$101&gt;1,$AA$101&lt;&gt;"-"),CONCATENATE($J$101,".",BE103,".10"),""&amp;$J$101&amp;".10")</f>
        <v>6.10</v>
      </c>
      <c r="K121" s="2" t="s">
        <v>194</v>
      </c>
      <c r="L121" s="7"/>
      <c r="M121" s="7"/>
      <c r="O121" s="467" t="str">
        <f>CONCATENATE(J121,". ",K121,$K$17)</f>
        <v>6.10. Certidão Negativa de Terra Indígena - expedida pela FUNAI; (se áreas próximas a reservas indígenas)------------------------------------------------------------------------------------------------------------------------------------------------------------------------</v>
      </c>
      <c r="P121" s="467"/>
      <c r="Q121" s="467"/>
      <c r="R121" s="467"/>
      <c r="S121" s="467"/>
      <c r="T121" s="467"/>
      <c r="U121" s="467"/>
      <c r="V121" s="467"/>
      <c r="W121" s="467"/>
      <c r="X121" s="467"/>
      <c r="Y121" s="467"/>
      <c r="Z121" s="467"/>
      <c r="AA121" s="467"/>
      <c r="AB121" s="9"/>
      <c r="AC121" s="223"/>
      <c r="AD121" s="162"/>
      <c r="AE121" s="166"/>
      <c r="AF121" s="7"/>
      <c r="AG121" s="80"/>
      <c r="AK121" s="160"/>
      <c r="AM121" s="255">
        <v>1</v>
      </c>
      <c r="AN121" s="271">
        <f t="shared" ref="AN121" si="206">IF(AND(AC121&lt;&gt;"",AE121&lt;&gt;""),4,IF($AC$101&lt;&gt;"",3,IF(AC121&lt;&gt;"",1,IF(AE121&lt;&gt;"",2,0))))</f>
        <v>0</v>
      </c>
      <c r="AO121" s="255" t="str">
        <f t="shared" ref="AO121" si="207">IF(AND(AE121="",AN121=2),"",IF(AND(AE121="",AN121&lt;&gt;3),"X",""))</f>
        <v>X</v>
      </c>
      <c r="AP121" s="188">
        <f t="shared" ref="AP121" si="208">IF(AND(AC121&lt;&gt;"",AE121&lt;&gt;""),1,IF(AND(AE121="",AN121=2),1,IF(OR(AN121&lt;&gt;0),0,1)))</f>
        <v>1</v>
      </c>
      <c r="AQ121" s="255">
        <f ca="1">SUM($AP$21:OFFSET(AQ121,-2,-1))</f>
        <v>45</v>
      </c>
      <c r="AR121" s="13" t="str">
        <f t="shared" ref="AR121" ca="1" si="209">IF(AND(AC121="",AQ121=0),AS121,"XX")</f>
        <v>XX</v>
      </c>
      <c r="AS121" s="255">
        <f>MAX($AE$21:AE119)</f>
        <v>0</v>
      </c>
      <c r="AT121" s="255">
        <f>IF(SUM(AE123:$AE$259)&gt;0,MIN(AE123:$AE$259),10000)</f>
        <v>10000</v>
      </c>
      <c r="AU121" s="78"/>
      <c r="AV121" s="78"/>
      <c r="AW121" s="13">
        <f t="shared" ref="AW121" si="210">IF(AND(AC121&lt;&gt;"",AE121&lt;&gt;""),4,0)</f>
        <v>0</v>
      </c>
      <c r="AX121" s="78" t="e">
        <f ca="1">IF(AND(AN121&lt;&gt;1,AN121&lt;&gt;3,AN121&lt;&gt;4),AR121+1,XX)</f>
        <v>#VALUE!</v>
      </c>
      <c r="AY121" s="78">
        <f>IF(AND(AN121&lt;&gt;1,AN121&lt;&gt;3,AN121&lt;&gt;4),AT121-1,XX)</f>
        <v>9999</v>
      </c>
    </row>
    <row r="122" spans="1:54" ht="3" customHeight="1">
      <c r="A122" s="386"/>
      <c r="B122" s="255"/>
      <c r="D122" s="6"/>
      <c r="E122" s="6"/>
      <c r="F122" s="6"/>
      <c r="G122" s="6"/>
      <c r="H122" s="6"/>
      <c r="I122" s="6"/>
      <c r="J122" s="157"/>
      <c r="L122" s="7"/>
      <c r="M122" s="7"/>
      <c r="O122" s="173"/>
      <c r="P122" s="173"/>
      <c r="Q122" s="173"/>
      <c r="R122" s="173"/>
      <c r="S122" s="173"/>
      <c r="T122" s="173"/>
      <c r="U122" s="173"/>
      <c r="V122" s="173"/>
      <c r="W122" s="173"/>
      <c r="X122" s="173"/>
      <c r="Y122" s="173"/>
      <c r="Z122" s="173"/>
      <c r="AA122" s="173"/>
      <c r="AB122" s="29"/>
      <c r="AC122" s="159"/>
      <c r="AD122" s="159"/>
      <c r="AE122" s="159"/>
      <c r="AF122" s="7"/>
      <c r="AG122" s="255"/>
      <c r="AK122" s="160"/>
      <c r="AS122" s="171"/>
      <c r="AT122" s="171"/>
      <c r="AU122" s="160"/>
      <c r="AX122" s="6"/>
      <c r="AY122" s="6"/>
    </row>
    <row r="123" spans="1:54" ht="14.25" customHeight="1">
      <c r="B123" s="255"/>
      <c r="J123" s="284">
        <f>J101+1</f>
        <v>7</v>
      </c>
      <c r="K123" s="2" t="s">
        <v>35</v>
      </c>
      <c r="L123" s="7"/>
      <c r="M123" s="7"/>
      <c r="O123" s="454" t="str">
        <f>CONCATENATE(J123,". ",K123)</f>
        <v>7. Se proposta de financiamento contemplar aquisição de máquinas, equipamentos, móveis e/ou veículos:</v>
      </c>
      <c r="P123" s="454"/>
      <c r="Q123" s="454"/>
      <c r="R123" s="454"/>
      <c r="S123" s="454"/>
      <c r="T123" s="454"/>
      <c r="U123" s="454"/>
      <c r="V123" s="454"/>
      <c r="W123" s="454"/>
      <c r="X123" s="454"/>
      <c r="Y123" s="454"/>
      <c r="Z123" s="454"/>
      <c r="AA123" s="454"/>
      <c r="AB123" s="9"/>
      <c r="AC123" s="191"/>
      <c r="AD123" s="162"/>
      <c r="AE123" s="136" t="s">
        <v>389</v>
      </c>
      <c r="AF123" s="7"/>
      <c r="AK123" s="160"/>
      <c r="AM123" s="255"/>
      <c r="AN123" s="283">
        <f>IF(OR(AE125&lt;&gt;"",AE127&lt;&gt;"",AE129&lt;&gt;"",AC125&lt;&gt;"",AC127&lt;&gt;"",AC129&lt;&gt;""),3,0)</f>
        <v>0</v>
      </c>
      <c r="AO123" s="255" t="str">
        <f>IF(AND(AE123="-",AN123=2),"",IF(AND(AE123="-",AN123&lt;&gt;3),"X",""))</f>
        <v>X</v>
      </c>
      <c r="AP123" s="188"/>
      <c r="AQ123" s="255"/>
      <c r="AR123" s="13"/>
      <c r="AS123" s="255"/>
      <c r="AT123" s="255"/>
      <c r="AU123" s="78"/>
      <c r="AV123" s="78"/>
      <c r="AW123" s="13"/>
      <c r="AX123" s="78"/>
      <c r="AY123" s="78"/>
      <c r="BB123" s="76" t="str">
        <f>IF(SUM(ImovGarantia_3:ImovSup_3)&gt;0,SUM(ImovGar1:ImovGar2),IF(SUM(ImovGar4:ImovGar5)&gt;1,SUM(BF$101:$BF123),"-"))</f>
        <v>-</v>
      </c>
    </row>
    <row r="124" spans="1:54" ht="3" customHeight="1">
      <c r="B124" s="255"/>
      <c r="D124" s="6"/>
      <c r="E124" s="6"/>
      <c r="F124" s="6"/>
      <c r="G124" s="6"/>
      <c r="H124" s="6"/>
      <c r="I124" s="6"/>
      <c r="J124" s="269"/>
      <c r="L124" s="7"/>
      <c r="M124" s="7"/>
      <c r="O124" s="36"/>
      <c r="P124" s="36"/>
      <c r="Q124" s="36"/>
      <c r="R124" s="36"/>
      <c r="S124" s="36"/>
      <c r="T124" s="36"/>
      <c r="U124" s="36"/>
      <c r="V124" s="36"/>
      <c r="W124" s="36"/>
      <c r="X124" s="36"/>
      <c r="Y124" s="36"/>
      <c r="Z124" s="36"/>
      <c r="AA124" s="36"/>
      <c r="AB124" s="9"/>
      <c r="AC124" s="164"/>
      <c r="AD124" s="162"/>
      <c r="AE124" s="165"/>
      <c r="AF124" s="7"/>
      <c r="AG124" s="255"/>
      <c r="AK124" s="160"/>
      <c r="AS124" s="171"/>
      <c r="AT124" s="171"/>
      <c r="AU124" s="160"/>
      <c r="AX124" s="6"/>
      <c r="AY124" s="6"/>
    </row>
    <row r="125" spans="1:54" ht="14.25" customHeight="1">
      <c r="B125" s="255"/>
      <c r="J125" s="272" t="str">
        <f>IF(IFERROR(SEARCH(".",J123),0)=0,CONCATENATE(J123,".",1),IF(IFERROR(SEARCH(".",J123),0)&gt;1,CONCATENATE(IFERROR(LEFT(J123,IFERROR(SEARCH(".",J123),0)-1),0),".",IFERROR(RIGHT(J123,LEN(J123)-IFERROR(SEARCH(".",J123),0)),0)+1),0))</f>
        <v>7.1</v>
      </c>
      <c r="K125" s="2" t="s">
        <v>491</v>
      </c>
      <c r="L125" s="7"/>
      <c r="M125" s="7"/>
      <c r="O125" s="467" t="str">
        <f>CONCATENATE(J125,". ",K125,$K$17)</f>
        <v>7.1. Propostas de fornecimento; (com código FINAME-CFI)------------------------------------------------------------------------------------------------------------------------------------------------------------------------</v>
      </c>
      <c r="P125" s="467"/>
      <c r="Q125" s="467"/>
      <c r="R125" s="467"/>
      <c r="S125" s="467"/>
      <c r="T125" s="467"/>
      <c r="U125" s="467"/>
      <c r="V125" s="467"/>
      <c r="W125" s="467"/>
      <c r="X125" s="467"/>
      <c r="Y125" s="467"/>
      <c r="Z125" s="467"/>
      <c r="AA125" s="467"/>
      <c r="AB125" s="467"/>
      <c r="AC125" s="467"/>
      <c r="AD125" s="162"/>
      <c r="AE125" s="166"/>
      <c r="AF125" s="7"/>
      <c r="AG125" s="80"/>
      <c r="AK125" s="160"/>
      <c r="AM125" s="255">
        <v>1</v>
      </c>
      <c r="AN125" s="271">
        <f>IF(AND(AC125&lt;&gt;"",AE125&lt;&gt;""),4,IF($AC$123&lt;&gt;"",3,IF(AC125&lt;&gt;"",1,IF(AE125&lt;&gt;"",2,0))))</f>
        <v>0</v>
      </c>
      <c r="AO125" s="255" t="str">
        <f t="shared" ref="AO125" si="211">IF(AND(AE125="",AN125=2),"",IF(AND(AE125="",AN125&lt;&gt;3),"X",""))</f>
        <v>X</v>
      </c>
      <c r="AP125" s="188">
        <f t="shared" ref="AP125" si="212">IF(AND(AC125&lt;&gt;"",AE125&lt;&gt;""),1,IF(AND(AE125="",AN125=2),1,IF(OR(AN125&lt;&gt;0),0,1)))</f>
        <v>1</v>
      </c>
      <c r="AQ125" s="255">
        <f ca="1">SUM($AP$21:OFFSET(AQ125,-2,-1))</f>
        <v>46</v>
      </c>
      <c r="AR125" s="13" t="str">
        <f t="shared" ref="AR125" ca="1" si="213">IF(AND(AC125="",AQ125=0),AS125,"XX")</f>
        <v>XX</v>
      </c>
      <c r="AS125" s="255">
        <f>MAX($AE$21:AE123)</f>
        <v>0</v>
      </c>
      <c r="AT125" s="255">
        <f>IF(SUM(AE127:$AE$259)&gt;0,MIN(AE127:$AE$259),10000)</f>
        <v>10000</v>
      </c>
      <c r="AU125" s="78"/>
      <c r="AV125" s="78"/>
      <c r="AW125" s="13">
        <f t="shared" ref="AW125" si="214">IF(AND(AC125&lt;&gt;"",AE125&lt;&gt;""),4,0)</f>
        <v>0</v>
      </c>
      <c r="AX125" s="78" t="e">
        <f ca="1">IF(AND(AN125&lt;&gt;1,AN125&lt;&gt;3,AN125&lt;&gt;4),AR125+1,XX)</f>
        <v>#VALUE!</v>
      </c>
      <c r="AY125" s="78">
        <f>IF(AND(AN125&lt;&gt;1,AN125&lt;&gt;3,AN125&lt;&gt;4),AT125-1,XX)</f>
        <v>9999</v>
      </c>
    </row>
    <row r="126" spans="1:54" ht="3" customHeight="1">
      <c r="B126" s="255"/>
      <c r="D126" s="6"/>
      <c r="E126" s="6"/>
      <c r="F126" s="6"/>
      <c r="G126" s="6"/>
      <c r="H126" s="6"/>
      <c r="I126" s="6"/>
      <c r="J126" s="269"/>
      <c r="L126" s="7"/>
      <c r="M126" s="7"/>
      <c r="O126" s="36"/>
      <c r="P126" s="36"/>
      <c r="Q126" s="36"/>
      <c r="R126" s="36"/>
      <c r="S126" s="36"/>
      <c r="T126" s="36"/>
      <c r="U126" s="36"/>
      <c r="V126" s="36"/>
      <c r="W126" s="36"/>
      <c r="X126" s="36"/>
      <c r="Y126" s="36"/>
      <c r="Z126" s="36"/>
      <c r="AA126" s="36"/>
      <c r="AB126" s="9"/>
      <c r="AC126" s="164"/>
      <c r="AD126" s="162"/>
      <c r="AE126" s="165"/>
      <c r="AF126" s="7"/>
      <c r="AG126" s="25"/>
      <c r="AK126" s="160"/>
      <c r="AS126" s="171"/>
      <c r="AT126" s="171"/>
      <c r="AU126" s="160"/>
      <c r="AX126" s="6"/>
      <c r="AY126" s="6"/>
    </row>
    <row r="127" spans="1:54" ht="14.25" customHeight="1">
      <c r="B127" s="255"/>
      <c r="J127" s="272" t="str">
        <f>IF(IFERROR(SEARCH(".",J125),0)=0,CONCATENATE(J125,".",1),IF(IFERROR(SEARCH(".",J125),0)&gt;1,CONCATENATE(IFERROR(LEFT(J125,IFERROR(SEARCH(".",J125),0)-1),0),".",IFERROR(RIGHT(J125,LEN(J125)-IFERROR(SEARCH(".",J125),0)),0)+1),0))</f>
        <v>7.2</v>
      </c>
      <c r="K127" s="2" t="s">
        <v>112</v>
      </c>
      <c r="L127" s="7"/>
      <c r="M127" s="7"/>
      <c r="O127" s="467" t="str">
        <f>CONCATENATE(J127,". ",K127,$K$17)</f>
        <v>7.2. Catálogos/Folder's; (do fabricante)------------------------------------------------------------------------------------------------------------------------------------------------------------------------</v>
      </c>
      <c r="P127" s="467"/>
      <c r="Q127" s="467"/>
      <c r="R127" s="467"/>
      <c r="S127" s="467"/>
      <c r="T127" s="467"/>
      <c r="U127" s="467"/>
      <c r="V127" s="467"/>
      <c r="W127" s="467"/>
      <c r="X127" s="467"/>
      <c r="Y127" s="467"/>
      <c r="Z127" s="467"/>
      <c r="AA127" s="467"/>
      <c r="AB127" s="467"/>
      <c r="AC127" s="467"/>
      <c r="AD127" s="162"/>
      <c r="AE127" s="166"/>
      <c r="AF127" s="7"/>
      <c r="AG127" s="80"/>
      <c r="AK127" s="160"/>
      <c r="AM127" s="255">
        <v>1</v>
      </c>
      <c r="AN127" s="271">
        <f>IF(AND(AC127&lt;&gt;"",AE127&lt;&gt;""),4,IF($AC$123&lt;&gt;"",3,IF(AC127&lt;&gt;"",1,IF(AE127&lt;&gt;"",2,0))))</f>
        <v>0</v>
      </c>
      <c r="AO127" s="255" t="str">
        <f t="shared" ref="AO127" si="215">IF(AND(AE127="",AN127=2),"",IF(AND(AE127="",AN127&lt;&gt;3),"X",""))</f>
        <v>X</v>
      </c>
      <c r="AP127" s="188">
        <f t="shared" ref="AP127" si="216">IF(AND(AC127&lt;&gt;"",AE127&lt;&gt;""),1,IF(AND(AE127="",AN127=2),1,IF(OR(AN127&lt;&gt;0),0,1)))</f>
        <v>1</v>
      </c>
      <c r="AQ127" s="255">
        <f ca="1">SUM($AP$21:OFFSET(AQ127,-2,-1))</f>
        <v>47</v>
      </c>
      <c r="AR127" s="13" t="str">
        <f t="shared" ref="AR127" ca="1" si="217">IF(AND(AC127="",AQ127=0),AS127,"XX")</f>
        <v>XX</v>
      </c>
      <c r="AS127" s="255">
        <f>MAX($AE$21:AE125)</f>
        <v>0</v>
      </c>
      <c r="AT127" s="255">
        <f>IF(SUM(AE129:$AE$259)&gt;0,MIN(AE129:$AE$259),10000)</f>
        <v>10000</v>
      </c>
      <c r="AU127" s="78"/>
      <c r="AV127" s="78"/>
      <c r="AW127" s="13">
        <f t="shared" ref="AW127" si="218">IF(AND(AC127&lt;&gt;"",AE127&lt;&gt;""),4,0)</f>
        <v>0</v>
      </c>
      <c r="AX127" s="78" t="e">
        <f ca="1">IF(AND(AN127&lt;&gt;1,AN127&lt;&gt;3,AN127&lt;&gt;4),AR127+1,XX)</f>
        <v>#VALUE!</v>
      </c>
      <c r="AY127" s="78">
        <f>IF(AND(AN127&lt;&gt;1,AN127&lt;&gt;3,AN127&lt;&gt;4),AT127-1,XX)</f>
        <v>9999</v>
      </c>
    </row>
    <row r="128" spans="1:54" ht="3" customHeight="1">
      <c r="B128" s="255"/>
      <c r="D128" s="6"/>
      <c r="E128" s="6"/>
      <c r="F128" s="6"/>
      <c r="G128" s="6"/>
      <c r="H128" s="6"/>
      <c r="I128" s="6"/>
      <c r="J128" s="269"/>
      <c r="L128" s="7"/>
      <c r="M128" s="7"/>
      <c r="O128" s="36"/>
      <c r="P128" s="36"/>
      <c r="Q128" s="36"/>
      <c r="R128" s="36"/>
      <c r="S128" s="36"/>
      <c r="T128" s="36"/>
      <c r="U128" s="36"/>
      <c r="V128" s="36"/>
      <c r="W128" s="36"/>
      <c r="X128" s="36"/>
      <c r="Y128" s="36"/>
      <c r="Z128" s="36"/>
      <c r="AA128" s="36"/>
      <c r="AB128" s="9"/>
      <c r="AC128" s="164"/>
      <c r="AD128" s="162"/>
      <c r="AE128" s="165"/>
      <c r="AF128" s="7"/>
      <c r="AG128" s="255"/>
      <c r="AK128" s="160"/>
      <c r="AS128" s="171"/>
      <c r="AT128" s="171"/>
      <c r="AU128" s="160"/>
      <c r="AX128" s="6"/>
      <c r="AY128" s="6"/>
    </row>
    <row r="129" spans="1:51" ht="14.25" customHeight="1">
      <c r="B129" s="255"/>
      <c r="J129" s="272" t="str">
        <f>IF(IFERROR(SEARCH(".",J127),0)=0,CONCATENATE(J127,".",1),IF(IFERROR(SEARCH(".",J127),0)&gt;1,CONCATENATE(IFERROR(LEFT(J127,IFERROR(SEARCH(".",J127),0)-1),0),".",IFERROR(RIGHT(J127,LEN(J127)-IFERROR(SEARCH(".",J127),0)),0)+1),0))</f>
        <v>7.3</v>
      </c>
      <c r="K129" s="2" t="s">
        <v>492</v>
      </c>
      <c r="L129" s="7"/>
      <c r="M129" s="7"/>
      <c r="O129" s="467" t="str">
        <f>CONCATENATE(J129,". ",K129,$K$17)</f>
        <v>7.3. Layout das máquinas e equipamentos; (somente para Indústria e Agroindústrias)------------------------------------------------------------------------------------------------------------------------------------------------------------------------</v>
      </c>
      <c r="P129" s="467"/>
      <c r="Q129" s="467"/>
      <c r="R129" s="467"/>
      <c r="S129" s="467"/>
      <c r="T129" s="467"/>
      <c r="U129" s="467"/>
      <c r="V129" s="467"/>
      <c r="W129" s="467"/>
      <c r="X129" s="467"/>
      <c r="Y129" s="467"/>
      <c r="Z129" s="467"/>
      <c r="AA129" s="467"/>
      <c r="AB129" s="9"/>
      <c r="AC129" s="191"/>
      <c r="AD129" s="162"/>
      <c r="AE129" s="166"/>
      <c r="AF129" s="7"/>
      <c r="AG129" s="80"/>
      <c r="AK129" s="160"/>
      <c r="AM129" s="255">
        <v>1</v>
      </c>
      <c r="AN129" s="271">
        <f>IF(AND(AC129&lt;&gt;"",AE129&lt;&gt;""),4,IF($AC$123&lt;&gt;"",3,IF(AC129&lt;&gt;"",1,IF(AE129&lt;&gt;"",2,0))))</f>
        <v>0</v>
      </c>
      <c r="AO129" s="255" t="str">
        <f t="shared" ref="AO129" si="219">IF(AND(AE129="",AN129=2),"",IF(AND(AE129="",AN129&lt;&gt;3),"X",""))</f>
        <v>X</v>
      </c>
      <c r="AP129" s="188">
        <f t="shared" ref="AP129" si="220">IF(AND(AC129&lt;&gt;"",AE129&lt;&gt;""),1,IF(AND(AE129="",AN129=2),1,IF(OR(AN129&lt;&gt;0),0,1)))</f>
        <v>1</v>
      </c>
      <c r="AQ129" s="255">
        <f ca="1">SUM($AP$21:OFFSET(AQ129,-2,-1))</f>
        <v>48</v>
      </c>
      <c r="AR129" s="13" t="str">
        <f t="shared" ref="AR129" ca="1" si="221">IF(AND(AC129="",AQ129=0),AS129,"XX")</f>
        <v>XX</v>
      </c>
      <c r="AS129" s="255">
        <f>MAX($AE$21:AE127)</f>
        <v>0</v>
      </c>
      <c r="AT129" s="255">
        <f>IF(SUM(AE131:$AE$259)&gt;0,MIN(AE131:$AE$259),10000)</f>
        <v>10000</v>
      </c>
      <c r="AU129" s="78"/>
      <c r="AV129" s="78"/>
      <c r="AW129" s="13">
        <f t="shared" ref="AW129" si="222">IF(AND(AC129&lt;&gt;"",AE129&lt;&gt;""),4,0)</f>
        <v>0</v>
      </c>
      <c r="AX129" s="78" t="e">
        <f ca="1">IF(AND(AN129&lt;&gt;1,AN129&lt;&gt;3,AN129&lt;&gt;4),AR129+1,XX)</f>
        <v>#VALUE!</v>
      </c>
      <c r="AY129" s="78">
        <f>IF(AND(AN129&lt;&gt;1,AN129&lt;&gt;3,AN129&lt;&gt;4),AT129-1,XX)</f>
        <v>9999</v>
      </c>
    </row>
    <row r="130" spans="1:51" ht="3" customHeight="1">
      <c r="B130" s="255"/>
      <c r="J130" s="274"/>
      <c r="L130" s="7"/>
      <c r="M130" s="7"/>
      <c r="O130" s="36"/>
      <c r="P130" s="36"/>
      <c r="Q130" s="36"/>
      <c r="R130" s="36"/>
      <c r="S130" s="36"/>
      <c r="T130" s="36"/>
      <c r="U130" s="36"/>
      <c r="V130" s="36"/>
      <c r="W130" s="36"/>
      <c r="X130" s="36"/>
      <c r="Y130" s="36"/>
      <c r="Z130" s="36"/>
      <c r="AA130" s="36"/>
      <c r="AB130" s="9"/>
      <c r="AC130" s="164"/>
      <c r="AD130" s="162"/>
      <c r="AE130" s="165"/>
      <c r="AF130" s="7"/>
      <c r="AG130" s="255"/>
      <c r="AK130" s="160"/>
      <c r="AS130" s="171"/>
      <c r="AT130" s="171"/>
      <c r="AU130" s="160"/>
      <c r="AX130" s="6"/>
      <c r="AY130" s="6"/>
    </row>
    <row r="131" spans="1:51" ht="14.25" customHeight="1">
      <c r="B131" s="255"/>
      <c r="J131" s="284">
        <f>J123+1</f>
        <v>8</v>
      </c>
      <c r="K131" s="2" t="s">
        <v>55</v>
      </c>
      <c r="L131" s="7"/>
      <c r="M131" s="7"/>
      <c r="O131" s="454" t="str">
        <f>CONCATENATE(J131,". ",K131)</f>
        <v>8. Se proposta de financiamento contemplar edificação:</v>
      </c>
      <c r="P131" s="454"/>
      <c r="Q131" s="454"/>
      <c r="R131" s="454"/>
      <c r="S131" s="454"/>
      <c r="T131" s="454"/>
      <c r="U131" s="454"/>
      <c r="V131" s="454"/>
      <c r="W131" s="454"/>
      <c r="X131" s="454"/>
      <c r="Y131" s="454"/>
      <c r="Z131" s="454"/>
      <c r="AA131" s="454"/>
      <c r="AB131" s="9"/>
      <c r="AC131" s="191"/>
      <c r="AD131" s="162"/>
      <c r="AE131" s="136" t="s">
        <v>389</v>
      </c>
      <c r="AF131" s="7"/>
      <c r="AK131" s="160"/>
      <c r="AM131" s="255"/>
      <c r="AN131" s="283">
        <f>IF(OR(AE133&lt;&gt;"",AE135&lt;&gt;"",AE137&lt;&gt;"",AE139&lt;&gt;"",AE141&lt;&gt;"",AE143&lt;&gt;"",AE145&lt;&gt;"",AE147&lt;&gt;"",AE149&lt;&gt;"",AE151&lt;&gt;"",AE153&lt;&gt;"",AE155&lt;&gt;"",AE157&lt;&gt;"",AE159&lt;&gt;"",AE161&lt;&gt;"",AE163&lt;&gt;"",AE165&lt;&gt;"",AC133&lt;&gt;"",AC135&lt;&gt;"",AC137&lt;&gt;"",AC139&lt;&gt;"",AC141&lt;&gt;"",AC143&lt;&gt;"",AC145&lt;&gt;"",AC147&lt;&gt;"",AC149&lt;&gt;"",AC151&lt;&gt;"",AC153&lt;&gt;"",AC155&lt;&gt;"",AC157&lt;&gt;"",AC159&lt;&gt;"",AC161&lt;&gt;"",AC163&lt;&gt;"",AC165&lt;&gt;""),3,0)</f>
        <v>0</v>
      </c>
      <c r="AO131" s="255" t="str">
        <f>IF(AND(AE131="-",AN131=2),"",IF(AND(AE131="-",AN131&lt;&gt;3),"X",""))</f>
        <v>X</v>
      </c>
      <c r="AP131" s="188"/>
      <c r="AQ131" s="255"/>
      <c r="AR131" s="13"/>
      <c r="AS131" s="255"/>
      <c r="AT131" s="255"/>
      <c r="AU131" s="78"/>
      <c r="AV131" s="78"/>
      <c r="AW131" s="13"/>
      <c r="AX131" s="78"/>
      <c r="AY131" s="78"/>
    </row>
    <row r="132" spans="1:51" ht="3" customHeight="1">
      <c r="B132" s="255"/>
      <c r="J132" s="274"/>
      <c r="L132" s="7"/>
      <c r="M132" s="7"/>
      <c r="O132" s="36"/>
      <c r="P132" s="36"/>
      <c r="Q132" s="36"/>
      <c r="R132" s="36"/>
      <c r="S132" s="36"/>
      <c r="T132" s="36"/>
      <c r="U132" s="36"/>
      <c r="V132" s="36"/>
      <c r="W132" s="36"/>
      <c r="X132" s="36"/>
      <c r="Y132" s="36"/>
      <c r="Z132" s="36"/>
      <c r="AA132" s="36"/>
      <c r="AB132" s="9"/>
      <c r="AC132" s="164"/>
      <c r="AD132" s="162"/>
      <c r="AE132" s="165"/>
      <c r="AF132" s="7"/>
      <c r="AG132" s="255"/>
      <c r="AK132" s="160"/>
      <c r="AS132" s="171"/>
      <c r="AT132" s="171"/>
      <c r="AU132" s="160"/>
      <c r="AX132" s="6"/>
      <c r="AY132" s="6"/>
    </row>
    <row r="133" spans="1:51" s="14" customFormat="1" ht="14.25" customHeight="1">
      <c r="A133" s="255"/>
      <c r="B133" s="255"/>
      <c r="C133" s="2"/>
      <c r="D133" s="2"/>
      <c r="E133" s="2"/>
      <c r="F133" s="2"/>
      <c r="G133" s="2"/>
      <c r="H133" s="2"/>
      <c r="I133" s="2"/>
      <c r="J133" s="272" t="str">
        <f>IF(IFERROR(SEARCH(".",J131),0)=0,CONCATENATE(J131,".",1),IF(IFERROR(SEARCH(".",J131),0)&gt;1,CONCATENATE(IFERROR(LEFT(J131,IFERROR(SEARCH(".",J131),0)-1),0),".",IFERROR(RIGHT(J131,LEN(J131)-IFERROR(SEARCH(".",J131),0)),0)+1),0))</f>
        <v>8.1</v>
      </c>
      <c r="K133" s="2" t="s">
        <v>113</v>
      </c>
      <c r="L133" s="15"/>
      <c r="M133" s="15"/>
      <c r="O133" s="467" t="str">
        <f>CONCATENATE(J133,". ",K133,$K$17)</f>
        <v>8.1. Alvará de Construção; ------------------------------------------------------------------------------------------------------------------------------------------------------------------------</v>
      </c>
      <c r="P133" s="467"/>
      <c r="Q133" s="467"/>
      <c r="R133" s="467"/>
      <c r="S133" s="467"/>
      <c r="T133" s="467"/>
      <c r="U133" s="467"/>
      <c r="V133" s="467"/>
      <c r="W133" s="467"/>
      <c r="X133" s="467"/>
      <c r="Y133" s="467"/>
      <c r="Z133" s="467"/>
      <c r="AA133" s="467"/>
      <c r="AB133" s="467"/>
      <c r="AC133" s="467"/>
      <c r="AD133" s="162"/>
      <c r="AE133" s="166"/>
      <c r="AF133" s="15"/>
      <c r="AG133" s="80"/>
      <c r="AJ133" s="160"/>
      <c r="AK133" s="160"/>
      <c r="AL133" s="160"/>
      <c r="AM133" s="255">
        <v>1</v>
      </c>
      <c r="AN133" s="271">
        <f>IF(AND(AC133&lt;&gt;"",AE133&lt;&gt;""),4,IF($AC$131&lt;&gt;"",3,IF(AC133&lt;&gt;"",1,IF(AE133&lt;&gt;"",2,0))))</f>
        <v>0</v>
      </c>
      <c r="AO133" s="255" t="str">
        <f t="shared" ref="AO133" si="223">IF(AND(AE133="",AN133=2),"",IF(AND(AE133="",AN133&lt;&gt;3),"X",""))</f>
        <v>X</v>
      </c>
      <c r="AP133" s="188">
        <f t="shared" ref="AP133" si="224">IF(AND(AC133&lt;&gt;"",AE133&lt;&gt;""),1,IF(AND(AE133="",AN133=2),1,IF(OR(AN133&lt;&gt;0),0,1)))</f>
        <v>1</v>
      </c>
      <c r="AQ133" s="255">
        <f ca="1">SUM($AP$21:OFFSET(AQ133,-2,-1))</f>
        <v>49</v>
      </c>
      <c r="AR133" s="13" t="str">
        <f t="shared" ref="AR133" ca="1" si="225">IF(AND(AC133="",AQ133=0),AS133,"XX")</f>
        <v>XX</v>
      </c>
      <c r="AS133" s="255">
        <f>MAX($AE$21:AE131)</f>
        <v>0</v>
      </c>
      <c r="AT133" s="255">
        <f>IF(SUM(AE135:$AE$259)&gt;0,MIN(AE135:$AE$259),10000)</f>
        <v>10000</v>
      </c>
      <c r="AU133" s="78"/>
      <c r="AV133" s="78"/>
      <c r="AW133" s="13">
        <f t="shared" ref="AW133" si="226">IF(AND(AC133&lt;&gt;"",AE133&lt;&gt;""),4,0)</f>
        <v>0</v>
      </c>
      <c r="AX133" s="78" t="e">
        <f ca="1">IF(AND(AN133&lt;&gt;1,AN133&lt;&gt;3,AN133&lt;&gt;4),AR133+1,XX)</f>
        <v>#VALUE!</v>
      </c>
      <c r="AY133" s="78">
        <f>IF(AND(AN133&lt;&gt;1,AN133&lt;&gt;3,AN133&lt;&gt;4),AT133-1,XX)</f>
        <v>9999</v>
      </c>
    </row>
    <row r="134" spans="1:51" s="6" customFormat="1" ht="3" customHeight="1">
      <c r="A134" s="255"/>
      <c r="B134" s="255"/>
      <c r="D134" s="2"/>
      <c r="E134" s="2"/>
      <c r="F134" s="2"/>
      <c r="G134" s="2"/>
      <c r="H134" s="2"/>
      <c r="I134" s="2"/>
      <c r="J134" s="274"/>
      <c r="L134" s="28"/>
      <c r="M134" s="28"/>
      <c r="O134" s="36"/>
      <c r="P134" s="36"/>
      <c r="Q134" s="36"/>
      <c r="R134" s="36"/>
      <c r="S134" s="36"/>
      <c r="T134" s="36"/>
      <c r="U134" s="36"/>
      <c r="V134" s="36"/>
      <c r="W134" s="36"/>
      <c r="X134" s="36"/>
      <c r="Y134" s="36"/>
      <c r="Z134" s="36"/>
      <c r="AA134" s="36"/>
      <c r="AB134" s="9"/>
      <c r="AC134" s="164"/>
      <c r="AD134" s="162"/>
      <c r="AE134" s="165"/>
      <c r="AF134" s="28"/>
      <c r="AG134" s="2"/>
      <c r="AJ134" s="160"/>
      <c r="AK134" s="160"/>
      <c r="AL134" s="160"/>
      <c r="AM134" s="160"/>
      <c r="AN134" s="160"/>
      <c r="AO134" s="160"/>
      <c r="AP134" s="160"/>
      <c r="AQ134" s="160"/>
      <c r="AR134" s="160"/>
      <c r="AS134" s="171"/>
      <c r="AT134" s="171"/>
      <c r="AU134" s="160"/>
      <c r="AV134" s="161"/>
      <c r="AW134" s="161"/>
    </row>
    <row r="135" spans="1:51" ht="14.25" customHeight="1">
      <c r="B135" s="255"/>
      <c r="J135" s="272" t="str">
        <f>IF(IFERROR(SEARCH(".",J133),0)=0,CONCATENATE(J133,".",1),IF(IFERROR(SEARCH(".",J133),0)&gt;1,CONCATENATE(IFERROR(LEFT(J133,IFERROR(SEARCH(".",J133),0)-1),0),".",IFERROR(RIGHT(J133,LEN(J133)-IFERROR(SEARCH(".",J133),0)),0)+1),0))</f>
        <v>8.2</v>
      </c>
      <c r="K135" s="2" t="s">
        <v>34</v>
      </c>
      <c r="L135" s="7"/>
      <c r="M135" s="7"/>
      <c r="O135" s="467" t="str">
        <f>CONCATENATE(J135,". ",K135,$K$17)</f>
        <v>8.2. Cadastro Específico do INSS (CEI), referente à matrícula da obra; (se obras em andamento)------------------------------------------------------------------------------------------------------------------------------------------------------------------------</v>
      </c>
      <c r="P135" s="467"/>
      <c r="Q135" s="467"/>
      <c r="R135" s="467"/>
      <c r="S135" s="467"/>
      <c r="T135" s="467"/>
      <c r="U135" s="467"/>
      <c r="V135" s="467"/>
      <c r="W135" s="467"/>
      <c r="X135" s="467"/>
      <c r="Y135" s="467"/>
      <c r="Z135" s="467"/>
      <c r="AA135" s="467"/>
      <c r="AB135" s="9"/>
      <c r="AC135" s="191"/>
      <c r="AD135" s="162"/>
      <c r="AE135" s="166"/>
      <c r="AF135" s="7"/>
      <c r="AG135" s="80"/>
      <c r="AK135" s="160"/>
      <c r="AM135" s="255">
        <v>1</v>
      </c>
      <c r="AN135" s="271">
        <f t="shared" ref="AN135" si="227">IF(AND(AC135&lt;&gt;"",AE135&lt;&gt;""),4,IF($AC$131&lt;&gt;"",3,IF(AC135&lt;&gt;"",1,IF(AE135&lt;&gt;"",2,0))))</f>
        <v>0</v>
      </c>
      <c r="AO135" s="255" t="str">
        <f t="shared" ref="AO135" si="228">IF(AND(AE135="",AN135=2),"",IF(AND(AE135="",AN135&lt;&gt;3),"X",""))</f>
        <v>X</v>
      </c>
      <c r="AP135" s="188">
        <f t="shared" ref="AP135" si="229">IF(AND(AC135&lt;&gt;"",AE135&lt;&gt;""),1,IF(AND(AE135="",AN135=2),1,IF(OR(AN135&lt;&gt;0),0,1)))</f>
        <v>1</v>
      </c>
      <c r="AQ135" s="255">
        <f ca="1">SUM($AP$21:OFFSET(AQ135,-2,-1))</f>
        <v>50</v>
      </c>
      <c r="AR135" s="13" t="str">
        <f t="shared" ref="AR135" ca="1" si="230">IF(AND(AC135="",AQ135=0),AS135,"XX")</f>
        <v>XX</v>
      </c>
      <c r="AS135" s="255">
        <f>MAX($AE$21:AE133)</f>
        <v>0</v>
      </c>
      <c r="AT135" s="255">
        <f>IF(SUM(AE137:$AE$259)&gt;0,MIN(AE137:$AE$259),10000)</f>
        <v>10000</v>
      </c>
      <c r="AU135" s="78"/>
      <c r="AV135" s="78"/>
      <c r="AW135" s="13">
        <f t="shared" ref="AW135" si="231">IF(AND(AC135&lt;&gt;"",AE135&lt;&gt;""),4,0)</f>
        <v>0</v>
      </c>
      <c r="AX135" s="78" t="e">
        <f ca="1">IF(AND(AN135&lt;&gt;1,AN135&lt;&gt;3,AN135&lt;&gt;4),AR135+1,XX)</f>
        <v>#VALUE!</v>
      </c>
      <c r="AY135" s="78">
        <f>IF(AND(AN135&lt;&gt;1,AN135&lt;&gt;3,AN135&lt;&gt;4),AT135-1,XX)</f>
        <v>9999</v>
      </c>
    </row>
    <row r="136" spans="1:51" ht="3" customHeight="1">
      <c r="B136" s="255"/>
      <c r="J136" s="274"/>
      <c r="L136" s="7"/>
      <c r="M136" s="7"/>
      <c r="O136" s="36"/>
      <c r="P136" s="36"/>
      <c r="Q136" s="36"/>
      <c r="R136" s="36"/>
      <c r="S136" s="36"/>
      <c r="T136" s="36"/>
      <c r="U136" s="36"/>
      <c r="V136" s="36"/>
      <c r="W136" s="36"/>
      <c r="X136" s="36"/>
      <c r="Y136" s="36"/>
      <c r="Z136" s="36"/>
      <c r="AA136" s="36"/>
      <c r="AB136" s="9"/>
      <c r="AC136" s="164"/>
      <c r="AD136" s="162"/>
      <c r="AE136" s="165"/>
      <c r="AF136" s="7"/>
      <c r="AK136" s="160"/>
      <c r="AS136" s="171"/>
      <c r="AT136" s="171"/>
      <c r="AU136" s="160"/>
      <c r="AX136" s="6"/>
      <c r="AY136" s="6"/>
    </row>
    <row r="137" spans="1:51" ht="14.25" customHeight="1">
      <c r="B137" s="255"/>
      <c r="J137" s="272" t="str">
        <f>IF(IFERROR(SEARCH(".",J135),0)=0,CONCATENATE(J135,".",1),IF(IFERROR(SEARCH(".",J135),0)&gt;1,CONCATENATE(IFERROR(LEFT(J135,IFERROR(SEARCH(".",J135),0)-1),0),".",IFERROR(RIGHT(J135,LEN(J135)-IFERROR(SEARCH(".",J135),0)),0)+1),0))</f>
        <v>8.3</v>
      </c>
      <c r="K137" s="2" t="s">
        <v>493</v>
      </c>
      <c r="L137" s="7"/>
      <c r="M137" s="7"/>
      <c r="O137" s="467" t="str">
        <f>CONCATENATE(J137,". ",K137,$K$17)</f>
        <v>8.3. Orçamento Analítico das construções civis a realizar ------------------------------------------------------------------------------------------------------------------------------------------------------------------------</v>
      </c>
      <c r="P137" s="467"/>
      <c r="Q137" s="467"/>
      <c r="R137" s="467"/>
      <c r="S137" s="467"/>
      <c r="T137" s="467"/>
      <c r="U137" s="467"/>
      <c r="V137" s="467"/>
      <c r="W137" s="467"/>
      <c r="X137" s="467"/>
      <c r="Y137" s="467"/>
      <c r="Z137" s="467"/>
      <c r="AA137" s="467"/>
      <c r="AB137" s="467"/>
      <c r="AC137" s="467"/>
      <c r="AD137" s="162"/>
      <c r="AE137" s="166"/>
      <c r="AF137" s="7"/>
      <c r="AG137" s="80"/>
      <c r="AK137" s="160"/>
      <c r="AM137" s="255">
        <v>1</v>
      </c>
      <c r="AN137" s="271">
        <f t="shared" ref="AN137" si="232">IF(AND(AC137&lt;&gt;"",AE137&lt;&gt;""),4,IF($AC$131&lt;&gt;"",3,IF(AC137&lt;&gt;"",1,IF(AE137&lt;&gt;"",2,0))))</f>
        <v>0</v>
      </c>
      <c r="AO137" s="255" t="str">
        <f t="shared" ref="AO137" si="233">IF(AND(AE137="",AN137=2),"",IF(AND(AE137="",AN137&lt;&gt;3),"X",""))</f>
        <v>X</v>
      </c>
      <c r="AP137" s="188">
        <f t="shared" ref="AP137" si="234">IF(AND(AC137&lt;&gt;"",AE137&lt;&gt;""),1,IF(AND(AE137="",AN137=2),1,IF(OR(AN137&lt;&gt;0),0,1)))</f>
        <v>1</v>
      </c>
      <c r="AQ137" s="255">
        <f ca="1">SUM($AP$21:OFFSET(AQ137,-2,-1))</f>
        <v>51</v>
      </c>
      <c r="AR137" s="13" t="str">
        <f t="shared" ref="AR137" ca="1" si="235">IF(AND(AC137="",AQ137=0),AS137,"XX")</f>
        <v>XX</v>
      </c>
      <c r="AS137" s="255">
        <f>MAX($AE$21:AE135)</f>
        <v>0</v>
      </c>
      <c r="AT137" s="255">
        <f>IF(SUM(AE139:$AE$259)&gt;0,MIN(AE139:$AE$259),10000)</f>
        <v>10000</v>
      </c>
      <c r="AU137" s="78"/>
      <c r="AV137" s="78"/>
      <c r="AW137" s="13">
        <f t="shared" ref="AW137" si="236">IF(AND(AC137&lt;&gt;"",AE137&lt;&gt;""),4,0)</f>
        <v>0</v>
      </c>
      <c r="AX137" s="78" t="e">
        <f ca="1">IF(AND(AN137&lt;&gt;1,AN137&lt;&gt;3,AN137&lt;&gt;4),AR137+1,XX)</f>
        <v>#VALUE!</v>
      </c>
      <c r="AY137" s="78">
        <f>IF(AND(AN137&lt;&gt;1,AN137&lt;&gt;3,AN137&lt;&gt;4),AT137-1,XX)</f>
        <v>9999</v>
      </c>
    </row>
    <row r="138" spans="1:51" ht="3" customHeight="1">
      <c r="B138" s="255"/>
      <c r="J138" s="274"/>
      <c r="L138" s="7"/>
      <c r="M138" s="7"/>
      <c r="O138" s="36"/>
      <c r="P138" s="36"/>
      <c r="Q138" s="36"/>
      <c r="R138" s="36"/>
      <c r="S138" s="36"/>
      <c r="T138" s="36"/>
      <c r="U138" s="36"/>
      <c r="V138" s="36"/>
      <c r="W138" s="36"/>
      <c r="X138" s="36"/>
      <c r="Y138" s="36"/>
      <c r="Z138" s="36"/>
      <c r="AA138" s="36"/>
      <c r="AB138" s="9"/>
      <c r="AC138" s="164"/>
      <c r="AD138" s="162"/>
      <c r="AE138" s="165"/>
      <c r="AF138" s="7"/>
      <c r="AK138" s="160"/>
      <c r="AS138" s="171"/>
      <c r="AT138" s="171"/>
      <c r="AU138" s="160"/>
      <c r="AX138" s="6"/>
      <c r="AY138" s="6"/>
    </row>
    <row r="139" spans="1:51" ht="14.25" customHeight="1">
      <c r="B139" s="255"/>
      <c r="J139" s="272" t="str">
        <f>IF(IFERROR(SEARCH(".",J137),0)=0,CONCATENATE(J137,".",1),IF(IFERROR(SEARCH(".",J137),0)&gt;1,CONCATENATE(IFERROR(LEFT(J137,IFERROR(SEARCH(".",J137),0)-1),0),".",IFERROR(RIGHT(J137,LEN(J137)-IFERROR(SEARCH(".",J137),0)),0)+1),0))</f>
        <v>8.4</v>
      </c>
      <c r="K139" s="2" t="s">
        <v>109</v>
      </c>
      <c r="L139" s="7"/>
      <c r="M139" s="7"/>
      <c r="O139" s="467" t="str">
        <f>CONCATENATE(J139,". ",K139,$K$17)</f>
        <v>8.4. Memorial descritivo;------------------------------------------------------------------------------------------------------------------------------------------------------------------------</v>
      </c>
      <c r="P139" s="467"/>
      <c r="Q139" s="467"/>
      <c r="R139" s="467"/>
      <c r="S139" s="467"/>
      <c r="T139" s="467"/>
      <c r="U139" s="467"/>
      <c r="V139" s="467"/>
      <c r="W139" s="467"/>
      <c r="X139" s="467"/>
      <c r="Y139" s="467"/>
      <c r="Z139" s="467"/>
      <c r="AA139" s="467"/>
      <c r="AB139" s="467"/>
      <c r="AC139" s="467"/>
      <c r="AD139" s="162"/>
      <c r="AE139" s="166"/>
      <c r="AF139" s="7"/>
      <c r="AG139" s="80"/>
      <c r="AK139" s="160"/>
      <c r="AM139" s="255">
        <v>1</v>
      </c>
      <c r="AN139" s="271">
        <f t="shared" ref="AN139" si="237">IF(AND(AC139&lt;&gt;"",AE139&lt;&gt;""),4,IF($AC$131&lt;&gt;"",3,IF(AC139&lt;&gt;"",1,IF(AE139&lt;&gt;"",2,0))))</f>
        <v>0</v>
      </c>
      <c r="AO139" s="255" t="str">
        <f t="shared" ref="AO139" si="238">IF(AND(AE139="",AN139=2),"",IF(AND(AE139="",AN139&lt;&gt;3),"X",""))</f>
        <v>X</v>
      </c>
      <c r="AP139" s="188">
        <f t="shared" ref="AP139" si="239">IF(AND(AC139&lt;&gt;"",AE139&lt;&gt;""),1,IF(AND(AE139="",AN139=2),1,IF(OR(AN139&lt;&gt;0),0,1)))</f>
        <v>1</v>
      </c>
      <c r="AQ139" s="255">
        <f ca="1">SUM($AP$21:OFFSET(AQ139,-2,-1))</f>
        <v>52</v>
      </c>
      <c r="AR139" s="13" t="str">
        <f t="shared" ref="AR139" ca="1" si="240">IF(AND(AC139="",AQ139=0),AS139,"XX")</f>
        <v>XX</v>
      </c>
      <c r="AS139" s="255">
        <f>MAX($AE$21:AE137)</f>
        <v>0</v>
      </c>
      <c r="AT139" s="255">
        <f>IF(SUM(AE141:$AE$259)&gt;0,MIN(AE141:$AE$259),10000)</f>
        <v>10000</v>
      </c>
      <c r="AU139" s="78"/>
      <c r="AV139" s="78"/>
      <c r="AW139" s="13">
        <f t="shared" ref="AW139" si="241">IF(AND(AC139&lt;&gt;"",AE139&lt;&gt;""),4,0)</f>
        <v>0</v>
      </c>
      <c r="AX139" s="78" t="e">
        <f ca="1">IF(AND(AN139&lt;&gt;1,AN139&lt;&gt;3,AN139&lt;&gt;4),AR139+1,XX)</f>
        <v>#VALUE!</v>
      </c>
      <c r="AY139" s="78">
        <f>IF(AND(AN139&lt;&gt;1,AN139&lt;&gt;3,AN139&lt;&gt;4),AT139-1,XX)</f>
        <v>9999</v>
      </c>
    </row>
    <row r="140" spans="1:51" ht="3" customHeight="1">
      <c r="B140" s="255"/>
      <c r="J140" s="274"/>
      <c r="L140" s="7"/>
      <c r="M140" s="7"/>
      <c r="O140" s="36"/>
      <c r="P140" s="36"/>
      <c r="Q140" s="36"/>
      <c r="R140" s="36"/>
      <c r="S140" s="36"/>
      <c r="T140" s="36"/>
      <c r="U140" s="36"/>
      <c r="V140" s="36"/>
      <c r="W140" s="36"/>
      <c r="X140" s="36"/>
      <c r="Y140" s="36"/>
      <c r="Z140" s="36"/>
      <c r="AA140" s="36"/>
      <c r="AB140" s="9"/>
      <c r="AC140" s="164"/>
      <c r="AD140" s="162"/>
      <c r="AE140" s="165"/>
      <c r="AF140" s="7"/>
      <c r="AG140" s="255"/>
      <c r="AK140" s="160"/>
      <c r="AS140" s="171"/>
      <c r="AT140" s="171"/>
      <c r="AU140" s="160"/>
      <c r="AX140" s="6"/>
      <c r="AY140" s="6"/>
    </row>
    <row r="141" spans="1:51" ht="14.25" customHeight="1">
      <c r="B141" s="255"/>
      <c r="J141" s="272" t="str">
        <f>IF(IFERROR(SEARCH(".",J139),0)=0,CONCATENATE(J139,".",1),IF(IFERROR(SEARCH(".",J139),0)&gt;1,CONCATENATE(IFERROR(LEFT(J139,IFERROR(SEARCH(".",J139),0)-1),0),".",IFERROR(RIGHT(J139,LEN(J139)-IFERROR(SEARCH(".",J139),0)),0)+1),0))</f>
        <v>8.5</v>
      </c>
      <c r="K141" s="2" t="s">
        <v>110</v>
      </c>
      <c r="L141" s="7"/>
      <c r="M141" s="7"/>
      <c r="O141" s="467" t="str">
        <f>CONCATENATE(J141,". ",K141,$K$17)</f>
        <v>8.5. Cronograma físico-financeiro;------------------------------------------------------------------------------------------------------------------------------------------------------------------------</v>
      </c>
      <c r="P141" s="467"/>
      <c r="Q141" s="467"/>
      <c r="R141" s="467"/>
      <c r="S141" s="467"/>
      <c r="T141" s="467"/>
      <c r="U141" s="467"/>
      <c r="V141" s="467"/>
      <c r="W141" s="467"/>
      <c r="X141" s="467"/>
      <c r="Y141" s="467"/>
      <c r="Z141" s="467"/>
      <c r="AA141" s="467"/>
      <c r="AB141" s="467"/>
      <c r="AC141" s="467"/>
      <c r="AD141" s="162"/>
      <c r="AE141" s="166"/>
      <c r="AF141" s="7"/>
      <c r="AG141" s="80"/>
      <c r="AK141" s="160"/>
      <c r="AM141" s="255">
        <v>1</v>
      </c>
      <c r="AN141" s="271">
        <f t="shared" ref="AN141" si="242">IF(AND(AC141&lt;&gt;"",AE141&lt;&gt;""),4,IF($AC$131&lt;&gt;"",3,IF(AC141&lt;&gt;"",1,IF(AE141&lt;&gt;"",2,0))))</f>
        <v>0</v>
      </c>
      <c r="AO141" s="255" t="str">
        <f t="shared" ref="AO141" si="243">IF(AND(AE141="",AN141=2),"",IF(AND(AE141="",AN141&lt;&gt;3),"X",""))</f>
        <v>X</v>
      </c>
      <c r="AP141" s="188">
        <f t="shared" ref="AP141" si="244">IF(AND(AC141&lt;&gt;"",AE141&lt;&gt;""),1,IF(AND(AE141="",AN141=2),1,IF(OR(AN141&lt;&gt;0),0,1)))</f>
        <v>1</v>
      </c>
      <c r="AQ141" s="255">
        <f ca="1">SUM($AP$21:OFFSET(AQ141,-2,-1))</f>
        <v>53</v>
      </c>
      <c r="AR141" s="13" t="str">
        <f t="shared" ref="AR141" ca="1" si="245">IF(AND(AC141="",AQ141=0),AS141,"XX")</f>
        <v>XX</v>
      </c>
      <c r="AS141" s="255">
        <f>MAX($AE$21:AE139)</f>
        <v>0</v>
      </c>
      <c r="AT141" s="255">
        <f>IF(SUM(AE143:$AE$259)&gt;0,MIN(AE143:$AE$259),10000)</f>
        <v>10000</v>
      </c>
      <c r="AU141" s="78"/>
      <c r="AV141" s="78"/>
      <c r="AW141" s="13">
        <f t="shared" ref="AW141" si="246">IF(AND(AC141&lt;&gt;"",AE141&lt;&gt;""),4,0)</f>
        <v>0</v>
      </c>
      <c r="AX141" s="78" t="e">
        <f ca="1">IF(AND(AN141&lt;&gt;1,AN141&lt;&gt;3,AN141&lt;&gt;4),AR141+1,XX)</f>
        <v>#VALUE!</v>
      </c>
      <c r="AY141" s="78">
        <f>IF(AND(AN141&lt;&gt;1,AN141&lt;&gt;3,AN141&lt;&gt;4),AT141-1,XX)</f>
        <v>9999</v>
      </c>
    </row>
    <row r="142" spans="1:51" s="14" customFormat="1" ht="3" customHeight="1">
      <c r="A142" s="255"/>
      <c r="B142" s="255"/>
      <c r="J142" s="274"/>
      <c r="L142" s="15"/>
      <c r="M142" s="15"/>
      <c r="O142" s="36"/>
      <c r="P142" s="36"/>
      <c r="Q142" s="36"/>
      <c r="R142" s="36"/>
      <c r="S142" s="36"/>
      <c r="T142" s="36"/>
      <c r="U142" s="36"/>
      <c r="V142" s="36"/>
      <c r="W142" s="36"/>
      <c r="X142" s="36"/>
      <c r="Y142" s="36"/>
      <c r="Z142" s="36"/>
      <c r="AA142" s="36"/>
      <c r="AB142" s="9"/>
      <c r="AC142" s="164"/>
      <c r="AD142" s="162"/>
      <c r="AE142" s="165"/>
      <c r="AF142" s="15"/>
      <c r="AG142" s="255"/>
      <c r="AJ142" s="160"/>
      <c r="AK142" s="160"/>
      <c r="AL142" s="160"/>
      <c r="AM142" s="160"/>
      <c r="AN142" s="160"/>
      <c r="AO142" s="160"/>
      <c r="AP142" s="160"/>
      <c r="AQ142" s="160"/>
      <c r="AR142" s="160"/>
      <c r="AS142" s="171"/>
      <c r="AT142" s="171"/>
      <c r="AU142" s="160"/>
      <c r="AV142" s="161"/>
      <c r="AW142" s="161"/>
      <c r="AX142" s="6"/>
      <c r="AY142" s="6"/>
    </row>
    <row r="143" spans="1:51" s="14" customFormat="1" ht="14.25" customHeight="1">
      <c r="A143" s="255"/>
      <c r="B143" s="255"/>
      <c r="C143" s="2"/>
      <c r="D143" s="2"/>
      <c r="E143" s="2"/>
      <c r="F143" s="2"/>
      <c r="G143" s="2"/>
      <c r="H143" s="2"/>
      <c r="I143" s="2"/>
      <c r="J143" s="272" t="str">
        <f>IF(IFERROR(SEARCH(".",J141),0)=0,CONCATENATE(J141,".",1),IF(IFERROR(SEARCH(".",J141),0)&gt;1,CONCATENATE(IFERROR(LEFT(J141,IFERROR(SEARCH(".",J141),0)-1),0),".",IFERROR(RIGHT(J141,LEN(J141)-IFERROR(SEARCH(".",J141),0)),0)+1),0))</f>
        <v>8.6</v>
      </c>
      <c r="K143" s="2" t="s">
        <v>216</v>
      </c>
      <c r="L143" s="15"/>
      <c r="M143" s="15"/>
      <c r="O143" s="467" t="str">
        <f>CONCATENATE(J143,". ",K143,$K$17)</f>
        <v>8.6. ART/RRT do Orçamento, Memorial Descritivo e Cronograma físico-financeiro;------------------------------------------------------------------------------------------------------------------------------------------------------------------------</v>
      </c>
      <c r="P143" s="467"/>
      <c r="Q143" s="467"/>
      <c r="R143" s="467"/>
      <c r="S143" s="467"/>
      <c r="T143" s="467"/>
      <c r="U143" s="467"/>
      <c r="V143" s="467"/>
      <c r="W143" s="467"/>
      <c r="X143" s="467"/>
      <c r="Y143" s="467"/>
      <c r="Z143" s="467"/>
      <c r="AA143" s="467"/>
      <c r="AB143" s="467"/>
      <c r="AC143" s="467"/>
      <c r="AD143" s="162"/>
      <c r="AE143" s="166"/>
      <c r="AF143" s="15"/>
      <c r="AG143" s="80"/>
      <c r="AJ143" s="160"/>
      <c r="AK143" s="160"/>
      <c r="AL143" s="160"/>
      <c r="AM143" s="255">
        <v>1</v>
      </c>
      <c r="AN143" s="271">
        <f t="shared" ref="AN143" si="247">IF(AND(AC143&lt;&gt;"",AE143&lt;&gt;""),4,IF($AC$131&lt;&gt;"",3,IF(AC143&lt;&gt;"",1,IF(AE143&lt;&gt;"",2,0))))</f>
        <v>0</v>
      </c>
      <c r="AO143" s="255" t="str">
        <f t="shared" ref="AO143" si="248">IF(AND(AE143="",AN143=2),"",IF(AND(AE143="",AN143&lt;&gt;3),"X",""))</f>
        <v>X</v>
      </c>
      <c r="AP143" s="188">
        <f t="shared" ref="AP143" si="249">IF(AND(AC143&lt;&gt;"",AE143&lt;&gt;""),1,IF(AND(AE143="",AN143=2),1,IF(OR(AN143&lt;&gt;0),0,1)))</f>
        <v>1</v>
      </c>
      <c r="AQ143" s="255">
        <f ca="1">SUM($AP$21:OFFSET(AQ143,-2,-1))</f>
        <v>54</v>
      </c>
      <c r="AR143" s="13" t="str">
        <f t="shared" ref="AR143" ca="1" si="250">IF(AND(AC143="",AQ143=0),AS143,"XX")</f>
        <v>XX</v>
      </c>
      <c r="AS143" s="255">
        <f>MAX($AE$21:AE141)</f>
        <v>0</v>
      </c>
      <c r="AT143" s="255">
        <f>IF(SUM(AE145:$AE$259)&gt;0,MIN(AE145:$AE$259),10000)</f>
        <v>10000</v>
      </c>
      <c r="AU143" s="78"/>
      <c r="AV143" s="78"/>
      <c r="AW143" s="13">
        <f t="shared" ref="AW143" si="251">IF(AND(AC143&lt;&gt;"",AE143&lt;&gt;""),4,0)</f>
        <v>0</v>
      </c>
      <c r="AX143" s="78" t="e">
        <f ca="1">IF(AND(AN143&lt;&gt;1,AN143&lt;&gt;3,AN143&lt;&gt;4),AR143+1,XX)</f>
        <v>#VALUE!</v>
      </c>
      <c r="AY143" s="78">
        <f>IF(AND(AN143&lt;&gt;1,AN143&lt;&gt;3,AN143&lt;&gt;4),AT143-1,XX)</f>
        <v>9999</v>
      </c>
    </row>
    <row r="144" spans="1:51" ht="3" customHeight="1">
      <c r="B144" s="255"/>
      <c r="J144" s="274"/>
      <c r="L144" s="7"/>
      <c r="M144" s="7"/>
      <c r="O144" s="36"/>
      <c r="P144" s="36"/>
      <c r="Q144" s="36"/>
      <c r="R144" s="36"/>
      <c r="S144" s="36"/>
      <c r="T144" s="36"/>
      <c r="U144" s="36"/>
      <c r="V144" s="36"/>
      <c r="W144" s="36"/>
      <c r="X144" s="36"/>
      <c r="Y144" s="36"/>
      <c r="Z144" s="36"/>
      <c r="AA144" s="36"/>
      <c r="AB144" s="9"/>
      <c r="AC144" s="164"/>
      <c r="AD144" s="162"/>
      <c r="AE144" s="165"/>
      <c r="AF144" s="7"/>
      <c r="AG144" s="25"/>
      <c r="AK144" s="160"/>
      <c r="AS144" s="171"/>
      <c r="AT144" s="171"/>
      <c r="AU144" s="160"/>
      <c r="AX144" s="6"/>
      <c r="AY144" s="6"/>
    </row>
    <row r="145" spans="1:51" ht="14.25" customHeight="1">
      <c r="B145" s="255"/>
      <c r="J145" s="272" t="str">
        <f>IF(IFERROR(SEARCH(".",J143),0)=0,CONCATENATE(J143,".",1),IF(IFERROR(SEARCH(".",J143),0)&gt;1,CONCATENATE(IFERROR(LEFT(J143,IFERROR(SEARCH(".",J143),0)-1),0),".",IFERROR(RIGHT(J143,LEN(J143)-IFERROR(SEARCH(".",J143),0)),0)+1),0))</f>
        <v>8.7</v>
      </c>
      <c r="K145" s="2" t="s">
        <v>494</v>
      </c>
      <c r="L145" s="7"/>
      <c r="M145" s="7"/>
      <c r="O145" s="467" t="str">
        <f>CONCATENATE(J145,". ",K145,$K$17)</f>
        <v>8.7. ART/RRT dos projetos de edificação;------------------------------------------------------------------------------------------------------------------------------------------------------------------------</v>
      </c>
      <c r="P145" s="467"/>
      <c r="Q145" s="467"/>
      <c r="R145" s="467"/>
      <c r="S145" s="467"/>
      <c r="T145" s="467"/>
      <c r="U145" s="467"/>
      <c r="V145" s="467"/>
      <c r="W145" s="467"/>
      <c r="X145" s="467"/>
      <c r="Y145" s="467"/>
      <c r="Z145" s="467"/>
      <c r="AA145" s="467"/>
      <c r="AB145" s="467"/>
      <c r="AC145" s="467"/>
      <c r="AD145" s="287"/>
      <c r="AE145" s="166"/>
      <c r="AF145" s="7"/>
      <c r="AG145" s="80"/>
      <c r="AK145" s="160"/>
      <c r="AM145" s="255">
        <v>1</v>
      </c>
      <c r="AN145" s="271">
        <f t="shared" ref="AN145" si="252">IF(AND(AC145&lt;&gt;"",AE145&lt;&gt;""),4,IF($AC$131&lt;&gt;"",3,IF(AC145&lt;&gt;"",1,IF(AE145&lt;&gt;"",2,0))))</f>
        <v>0</v>
      </c>
      <c r="AO145" s="255" t="str">
        <f t="shared" ref="AO145" si="253">IF(AND(AE145="",AN145=2),"",IF(AND(AE145="",AN145&lt;&gt;3),"X",""))</f>
        <v>X</v>
      </c>
      <c r="AP145" s="188">
        <f t="shared" ref="AP145" si="254">IF(AND(AC145&lt;&gt;"",AE145&lt;&gt;""),1,IF(AND(AE145="",AN145=2),1,IF(OR(AN145&lt;&gt;0),0,1)))</f>
        <v>1</v>
      </c>
      <c r="AQ145" s="255">
        <f ca="1">SUM($AP$21:OFFSET(AQ145,-2,-1))</f>
        <v>55</v>
      </c>
      <c r="AR145" s="13" t="str">
        <f t="shared" ref="AR145" ca="1" si="255">IF(AND(AC145="",AQ145=0),AS145,"XX")</f>
        <v>XX</v>
      </c>
      <c r="AS145" s="255">
        <f>MAX($AE$21:AE143)</f>
        <v>0</v>
      </c>
      <c r="AT145" s="255">
        <f>IF(SUM(AE147:$AE$259)&gt;0,MIN(AE147:$AE$259),10000)</f>
        <v>10000</v>
      </c>
      <c r="AU145" s="78"/>
      <c r="AV145" s="78"/>
      <c r="AW145" s="13">
        <f t="shared" ref="AW145" si="256">IF(AND(AC145&lt;&gt;"",AE145&lt;&gt;""),4,0)</f>
        <v>0</v>
      </c>
      <c r="AX145" s="78" t="e">
        <f ca="1">IF(AND(AN145&lt;&gt;1,AN145&lt;&gt;3,AN145&lt;&gt;4),AR145+1,XX)</f>
        <v>#VALUE!</v>
      </c>
      <c r="AY145" s="78">
        <f>IF(AND(AN145&lt;&gt;1,AN145&lt;&gt;3,AN145&lt;&gt;4),AT145-1,XX)</f>
        <v>9999</v>
      </c>
    </row>
    <row r="146" spans="1:51" s="14" customFormat="1" ht="3" customHeight="1">
      <c r="A146" s="255"/>
      <c r="B146" s="255"/>
      <c r="J146" s="274"/>
      <c r="L146" s="15"/>
      <c r="M146" s="15"/>
      <c r="O146" s="36"/>
      <c r="P146" s="36"/>
      <c r="Q146" s="36"/>
      <c r="R146" s="36"/>
      <c r="S146" s="36"/>
      <c r="T146" s="36"/>
      <c r="U146" s="36"/>
      <c r="V146" s="36"/>
      <c r="W146" s="36"/>
      <c r="X146" s="36"/>
      <c r="Y146" s="36"/>
      <c r="Z146" s="36"/>
      <c r="AA146" s="36"/>
      <c r="AB146" s="9"/>
      <c r="AC146" s="164"/>
      <c r="AD146" s="162"/>
      <c r="AE146" s="165"/>
      <c r="AF146" s="15"/>
      <c r="AG146" s="255"/>
      <c r="AJ146" s="160"/>
      <c r="AK146" s="160"/>
      <c r="AL146" s="160"/>
      <c r="AM146" s="160"/>
      <c r="AN146" s="160"/>
      <c r="AO146" s="160"/>
      <c r="AP146" s="160"/>
      <c r="AQ146" s="160"/>
      <c r="AR146" s="160"/>
      <c r="AS146" s="171"/>
      <c r="AT146" s="171"/>
      <c r="AU146" s="160"/>
      <c r="AV146" s="161"/>
      <c r="AW146" s="161"/>
      <c r="AX146" s="6"/>
      <c r="AY146" s="6"/>
    </row>
    <row r="147" spans="1:51" s="14" customFormat="1" ht="14.25" customHeight="1">
      <c r="A147" s="255"/>
      <c r="B147" s="255"/>
      <c r="C147" s="2"/>
      <c r="D147" s="2"/>
      <c r="E147" s="2"/>
      <c r="F147" s="2"/>
      <c r="G147" s="2"/>
      <c r="H147" s="2"/>
      <c r="I147" s="2"/>
      <c r="J147" s="272" t="str">
        <f>IF(IFERROR(SEARCH(".",J145),0)=0,CONCATENATE(J145,".",1),IF(IFERROR(SEARCH(".",J145),0)&gt;1,CONCATENATE(IFERROR(LEFT(J145,IFERROR(SEARCH(".",J145),0)-1),0),".",IFERROR(RIGHT(J145,LEN(J145)-IFERROR(SEARCH(".",J145),0)),0)+1),0))</f>
        <v>8.8</v>
      </c>
      <c r="K147" s="2" t="s">
        <v>495</v>
      </c>
      <c r="L147" s="15"/>
      <c r="M147" s="15"/>
      <c r="O147" s="467" t="str">
        <f>CONCATENATE(J147,". ",K147,$K$17)</f>
        <v>8.8. ART/RRT da Execução da Obra; (se obras em andamento)------------------------------------------------------------------------------------------------------------------------------------------------------------------------</v>
      </c>
      <c r="P147" s="467"/>
      <c r="Q147" s="467"/>
      <c r="R147" s="467"/>
      <c r="S147" s="467"/>
      <c r="T147" s="467"/>
      <c r="U147" s="467"/>
      <c r="V147" s="467"/>
      <c r="W147" s="467"/>
      <c r="X147" s="467"/>
      <c r="Y147" s="467"/>
      <c r="Z147" s="467"/>
      <c r="AA147" s="467"/>
      <c r="AB147" s="9"/>
      <c r="AC147" s="191"/>
      <c r="AD147" s="162"/>
      <c r="AE147" s="166"/>
      <c r="AF147" s="15"/>
      <c r="AG147" s="80"/>
      <c r="AJ147" s="160"/>
      <c r="AK147" s="160"/>
      <c r="AL147" s="160"/>
      <c r="AM147" s="255">
        <v>1</v>
      </c>
      <c r="AN147" s="271">
        <f t="shared" ref="AN147" si="257">IF(AND(AC147&lt;&gt;"",AE147&lt;&gt;""),4,IF($AC$131&lt;&gt;"",3,IF(AC147&lt;&gt;"",1,IF(AE147&lt;&gt;"",2,0))))</f>
        <v>0</v>
      </c>
      <c r="AO147" s="255" t="str">
        <f t="shared" ref="AO147" si="258">IF(AND(AE147="",AN147=2),"",IF(AND(AE147="",AN147&lt;&gt;3),"X",""))</f>
        <v>X</v>
      </c>
      <c r="AP147" s="188">
        <f t="shared" ref="AP147" si="259">IF(AND(AC147&lt;&gt;"",AE147&lt;&gt;""),1,IF(AND(AE147="",AN147=2),1,IF(OR(AN147&lt;&gt;0),0,1)))</f>
        <v>1</v>
      </c>
      <c r="AQ147" s="255">
        <f ca="1">SUM($AP$21:OFFSET(AQ147,-2,-1))</f>
        <v>56</v>
      </c>
      <c r="AR147" s="13" t="str">
        <f t="shared" ref="AR147" ca="1" si="260">IF(AND(AC147="",AQ147=0),AS147,"XX")</f>
        <v>XX</v>
      </c>
      <c r="AS147" s="255">
        <f>MAX($AE$21:AE145)</f>
        <v>0</v>
      </c>
      <c r="AT147" s="255">
        <f>IF(SUM(AE149:$AE$259)&gt;0,MIN(AE149:$AE$259),10000)</f>
        <v>10000</v>
      </c>
      <c r="AU147" s="78"/>
      <c r="AV147" s="78"/>
      <c r="AW147" s="13">
        <f t="shared" ref="AW147" si="261">IF(AND(AC147&lt;&gt;"",AE147&lt;&gt;""),4,0)</f>
        <v>0</v>
      </c>
      <c r="AX147" s="78" t="e">
        <f ca="1">IF(AND(AN147&lt;&gt;1,AN147&lt;&gt;3,AN147&lt;&gt;4),AR147+1,XX)</f>
        <v>#VALUE!</v>
      </c>
      <c r="AY147" s="78">
        <f>IF(AND(AN147&lt;&gt;1,AN147&lt;&gt;3,AN147&lt;&gt;4),AT147-1,XX)</f>
        <v>9999</v>
      </c>
    </row>
    <row r="148" spans="1:51" ht="3" customHeight="1">
      <c r="B148" s="255"/>
      <c r="J148" s="274"/>
      <c r="L148" s="7"/>
      <c r="M148" s="7"/>
      <c r="O148" s="36"/>
      <c r="P148" s="36"/>
      <c r="Q148" s="36"/>
      <c r="R148" s="36"/>
      <c r="S148" s="36"/>
      <c r="T148" s="36"/>
      <c r="U148" s="36"/>
      <c r="V148" s="36"/>
      <c r="W148" s="36"/>
      <c r="X148" s="36"/>
      <c r="Y148" s="36"/>
      <c r="Z148" s="36"/>
      <c r="AA148" s="36"/>
      <c r="AB148" s="9"/>
      <c r="AC148" s="164"/>
      <c r="AD148" s="162"/>
      <c r="AE148" s="165"/>
      <c r="AF148" s="7"/>
      <c r="AK148" s="160"/>
      <c r="AS148" s="171"/>
      <c r="AT148" s="171"/>
      <c r="AU148" s="160"/>
      <c r="AX148" s="6"/>
      <c r="AY148" s="6"/>
    </row>
    <row r="149" spans="1:51" ht="14.25" customHeight="1">
      <c r="B149" s="255"/>
      <c r="J149" s="272" t="str">
        <f>IF(IFERROR(SEARCH(".",J147),0)=0,CONCATENATE(J147,".",1),IF(IFERROR(SEARCH(".",J147),0)&gt;1,CONCATENATE(IFERROR(LEFT(J147,IFERROR(SEARCH(".",J147),0)-1),0),".",IFERROR(RIGHT(J147,LEN(J147)-IFERROR(SEARCH(".",J147),0)),0)+1),0))</f>
        <v>8.9</v>
      </c>
      <c r="K149" s="2" t="s">
        <v>155</v>
      </c>
      <c r="L149" s="7"/>
      <c r="M149" s="7"/>
      <c r="O149" s="467" t="str">
        <f>CONCATENATE(J149,". ",K149,$K$17)</f>
        <v>8.9. Layout das construções civis;------------------------------------------------------------------------------------------------------------------------------------------------------------------------</v>
      </c>
      <c r="P149" s="467"/>
      <c r="Q149" s="467"/>
      <c r="R149" s="467"/>
      <c r="S149" s="467"/>
      <c r="T149" s="467"/>
      <c r="U149" s="467"/>
      <c r="V149" s="467"/>
      <c r="W149" s="467"/>
      <c r="X149" s="467"/>
      <c r="Y149" s="467"/>
      <c r="Z149" s="467"/>
      <c r="AA149" s="467"/>
      <c r="AB149" s="467"/>
      <c r="AC149" s="467"/>
      <c r="AD149" s="162"/>
      <c r="AE149" s="166"/>
      <c r="AF149" s="7"/>
      <c r="AG149" s="80"/>
      <c r="AK149" s="160"/>
      <c r="AM149" s="255">
        <v>1</v>
      </c>
      <c r="AN149" s="271">
        <f t="shared" ref="AN149" si="262">IF(AND(AC149&lt;&gt;"",AE149&lt;&gt;""),4,IF($AC$131&lt;&gt;"",3,IF(AC149&lt;&gt;"",1,IF(AE149&lt;&gt;"",2,0))))</f>
        <v>0</v>
      </c>
      <c r="AO149" s="255" t="str">
        <f t="shared" ref="AO149" si="263">IF(AND(AE149="",AN149=2),"",IF(AND(AE149="",AN149&lt;&gt;3),"X",""))</f>
        <v>X</v>
      </c>
      <c r="AP149" s="188">
        <f t="shared" ref="AP149" si="264">IF(AND(AC149&lt;&gt;"",AE149&lt;&gt;""),1,IF(AND(AE149="",AN149=2),1,IF(OR(AN149&lt;&gt;0),0,1)))</f>
        <v>1</v>
      </c>
      <c r="AQ149" s="255">
        <f ca="1">SUM($AP$21:OFFSET(AQ149,-2,-1))</f>
        <v>57</v>
      </c>
      <c r="AR149" s="13" t="str">
        <f t="shared" ref="AR149" ca="1" si="265">IF(AND(AC149="",AQ149=0),AS149,"XX")</f>
        <v>XX</v>
      </c>
      <c r="AS149" s="255">
        <f>MAX($AE$21:AE147)</f>
        <v>0</v>
      </c>
      <c r="AT149" s="255">
        <f>IF(SUM(AE151:$AE$259)&gt;0,MIN(AE151:$AE$259),10000)</f>
        <v>10000</v>
      </c>
      <c r="AU149" s="78"/>
      <c r="AV149" s="78"/>
      <c r="AW149" s="13">
        <f t="shared" ref="AW149" si="266">IF(AND(AC149&lt;&gt;"",AE149&lt;&gt;""),4,0)</f>
        <v>0</v>
      </c>
      <c r="AX149" s="78" t="e">
        <f ca="1">IF(AND(AN149&lt;&gt;1,AN149&lt;&gt;3,AN149&lt;&gt;4),AR149+1,XX)</f>
        <v>#VALUE!</v>
      </c>
      <c r="AY149" s="78">
        <f>IF(AND(AN149&lt;&gt;1,AN149&lt;&gt;3,AN149&lt;&gt;4),AT149-1,XX)</f>
        <v>9999</v>
      </c>
    </row>
    <row r="150" spans="1:51" ht="3" customHeight="1">
      <c r="B150" s="255"/>
      <c r="J150" s="274"/>
      <c r="L150" s="7"/>
      <c r="M150" s="7"/>
      <c r="O150" s="34"/>
      <c r="P150" s="34"/>
      <c r="Q150" s="34"/>
      <c r="R150" s="34"/>
      <c r="S150" s="34"/>
      <c r="T150" s="34"/>
      <c r="U150" s="34"/>
      <c r="V150" s="34"/>
      <c r="W150" s="34"/>
      <c r="X150" s="34"/>
      <c r="Y150" s="34"/>
      <c r="Z150" s="34"/>
      <c r="AA150" s="34"/>
      <c r="AB150" s="9"/>
      <c r="AC150" s="164"/>
      <c r="AD150" s="162"/>
      <c r="AE150" s="165"/>
      <c r="AF150" s="7"/>
      <c r="AG150" s="255"/>
      <c r="AK150" s="160"/>
      <c r="AS150" s="171"/>
      <c r="AT150" s="171"/>
      <c r="AU150" s="160"/>
      <c r="AX150" s="6"/>
      <c r="AY150" s="6"/>
    </row>
    <row r="151" spans="1:51" ht="14.25" customHeight="1">
      <c r="B151" s="255"/>
      <c r="J151" s="272" t="str">
        <f>IF(IFERROR(SEARCH(".",J149),0)=0,CONCATENATE(J149,".",1),IF(IFERROR(SEARCH(".",J149),0)&gt;1,CONCATENATE(IFERROR(LEFT(J149,IFERROR(SEARCH(".",J149),0)-1),0),".",IFERROR(RIGHT(J149,LEN(J149)-IFERROR(SEARCH(".",J149),0)),0)+1),0))</f>
        <v>8.10</v>
      </c>
      <c r="K151" s="2" t="s">
        <v>111</v>
      </c>
      <c r="L151" s="7"/>
      <c r="M151" s="7"/>
      <c r="O151" s="467" t="str">
        <f>CONCATENATE(J151,". ",K151,$K$17)</f>
        <v>8.10. Planta de Localização/Situação;------------------------------------------------------------------------------------------------------------------------------------------------------------------------</v>
      </c>
      <c r="P151" s="467"/>
      <c r="Q151" s="467"/>
      <c r="R151" s="467"/>
      <c r="S151" s="467"/>
      <c r="T151" s="467"/>
      <c r="U151" s="467"/>
      <c r="V151" s="467"/>
      <c r="W151" s="467"/>
      <c r="X151" s="467"/>
      <c r="Y151" s="467"/>
      <c r="Z151" s="467"/>
      <c r="AA151" s="467"/>
      <c r="AB151" s="467"/>
      <c r="AC151" s="467"/>
      <c r="AD151" s="162"/>
      <c r="AE151" s="166"/>
      <c r="AF151" s="7"/>
      <c r="AG151" s="80"/>
      <c r="AK151" s="160"/>
      <c r="AM151" s="255">
        <v>1</v>
      </c>
      <c r="AN151" s="271">
        <f t="shared" ref="AN151" si="267">IF(AND(AC151&lt;&gt;"",AE151&lt;&gt;""),4,IF($AC$131&lt;&gt;"",3,IF(AC151&lt;&gt;"",1,IF(AE151&lt;&gt;"",2,0))))</f>
        <v>0</v>
      </c>
      <c r="AO151" s="255" t="str">
        <f t="shared" ref="AO151" si="268">IF(AND(AE151="",AN151=2),"",IF(AND(AE151="",AN151&lt;&gt;3),"X",""))</f>
        <v>X</v>
      </c>
      <c r="AP151" s="188">
        <f t="shared" ref="AP151" si="269">IF(AND(AC151&lt;&gt;"",AE151&lt;&gt;""),1,IF(AND(AE151="",AN151=2),1,IF(OR(AN151&lt;&gt;0),0,1)))</f>
        <v>1</v>
      </c>
      <c r="AQ151" s="255">
        <f ca="1">SUM($AP$21:OFFSET(AQ151,-2,-1))</f>
        <v>58</v>
      </c>
      <c r="AR151" s="13" t="str">
        <f t="shared" ref="AR151" ca="1" si="270">IF(AND(AC151="",AQ151=0),AS151,"XX")</f>
        <v>XX</v>
      </c>
      <c r="AS151" s="255">
        <f>MAX($AE$21:AE149)</f>
        <v>0</v>
      </c>
      <c r="AT151" s="255">
        <f>IF(SUM(AE153:$AE$259)&gt;0,MIN(AE153:$AE$259),10000)</f>
        <v>10000</v>
      </c>
      <c r="AU151" s="78"/>
      <c r="AV151" s="78"/>
      <c r="AW151" s="13">
        <f t="shared" ref="AW151" si="271">IF(AND(AC151&lt;&gt;"",AE151&lt;&gt;""),4,0)</f>
        <v>0</v>
      </c>
      <c r="AX151" s="78" t="e">
        <f ca="1">IF(AND(AN151&lt;&gt;1,AN151&lt;&gt;3,AN151&lt;&gt;4),AR151+1,XX)</f>
        <v>#VALUE!</v>
      </c>
      <c r="AY151" s="78">
        <f>IF(AND(AN151&lt;&gt;1,AN151&lt;&gt;3,AN151&lt;&gt;4),AT151-1,XX)</f>
        <v>9999</v>
      </c>
    </row>
    <row r="152" spans="1:51" ht="3" customHeight="1">
      <c r="B152" s="255"/>
      <c r="J152" s="274"/>
      <c r="L152" s="7"/>
      <c r="M152" s="7"/>
      <c r="O152" s="36"/>
      <c r="P152" s="36"/>
      <c r="Q152" s="36"/>
      <c r="R152" s="36"/>
      <c r="S152" s="36"/>
      <c r="T152" s="36"/>
      <c r="U152" s="36"/>
      <c r="V152" s="36"/>
      <c r="W152" s="36"/>
      <c r="X152" s="36"/>
      <c r="Y152" s="36"/>
      <c r="Z152" s="36"/>
      <c r="AA152" s="36"/>
      <c r="AB152" s="9"/>
      <c r="AC152" s="164"/>
      <c r="AD152" s="162"/>
      <c r="AE152" s="165"/>
      <c r="AF152" s="7"/>
      <c r="AG152" s="255"/>
      <c r="AK152" s="160"/>
      <c r="AS152" s="171"/>
      <c r="AT152" s="171"/>
      <c r="AU152" s="160"/>
      <c r="AX152" s="6"/>
      <c r="AY152" s="6"/>
    </row>
    <row r="153" spans="1:51" ht="14.25" customHeight="1">
      <c r="B153" s="255"/>
      <c r="J153" s="272" t="str">
        <f>IF(IFERROR(SEARCH(".",J151),0)=0,CONCATENATE(J151,".",1),IF(IFERROR(SEARCH(".",J151),0)&gt;1,CONCATENATE(IFERROR(LEFT(J151,IFERROR(SEARCH(".",J151),0)-1),0),".",IFERROR(RIGHT(J151,LEN(J151)-IFERROR(SEARCH(".",J151),0)),0)+1),0))</f>
        <v>8.11</v>
      </c>
      <c r="K153" s="2" t="s">
        <v>361</v>
      </c>
      <c r="L153" s="7"/>
      <c r="M153" s="7"/>
      <c r="O153" s="467" t="str">
        <f>CONCATENATE(J153,". ",K153,$K$17)</f>
        <v>8.11. Projetos arquitetônicos das construções civis a realizar;------------------------------------------------------------------------------------------------------------------------------------------------------------------------</v>
      </c>
      <c r="P153" s="467"/>
      <c r="Q153" s="467"/>
      <c r="R153" s="467"/>
      <c r="S153" s="467"/>
      <c r="T153" s="467"/>
      <c r="U153" s="467"/>
      <c r="V153" s="467"/>
      <c r="W153" s="467"/>
      <c r="X153" s="467"/>
      <c r="Y153" s="467"/>
      <c r="Z153" s="467"/>
      <c r="AA153" s="467"/>
      <c r="AB153" s="467"/>
      <c r="AC153" s="467"/>
      <c r="AD153" s="162"/>
      <c r="AE153" s="166"/>
      <c r="AF153" s="7"/>
      <c r="AG153" s="80"/>
      <c r="AK153" s="160"/>
      <c r="AM153" s="255">
        <v>1</v>
      </c>
      <c r="AN153" s="271">
        <f t="shared" ref="AN153" si="272">IF(AND(AC153&lt;&gt;"",AE153&lt;&gt;""),4,IF($AC$131&lt;&gt;"",3,IF(AC153&lt;&gt;"",1,IF(AE153&lt;&gt;"",2,0))))</f>
        <v>0</v>
      </c>
      <c r="AO153" s="255" t="str">
        <f t="shared" ref="AO153" si="273">IF(AND(AE153="",AN153=2),"",IF(AND(AE153="",AN153&lt;&gt;3),"X",""))</f>
        <v>X</v>
      </c>
      <c r="AP153" s="188">
        <f t="shared" ref="AP153" si="274">IF(AND(AC153&lt;&gt;"",AE153&lt;&gt;""),1,IF(AND(AE153="",AN153=2),1,IF(OR(AN153&lt;&gt;0),0,1)))</f>
        <v>1</v>
      </c>
      <c r="AQ153" s="255">
        <f ca="1">SUM($AP$21:OFFSET(AQ153,-2,-1))</f>
        <v>59</v>
      </c>
      <c r="AR153" s="13" t="str">
        <f t="shared" ref="AR153" ca="1" si="275">IF(AND(AC153="",AQ153=0),AS153,"XX")</f>
        <v>XX</v>
      </c>
      <c r="AS153" s="255">
        <f>MAX($AE$21:AE151)</f>
        <v>0</v>
      </c>
      <c r="AT153" s="255">
        <f>IF(SUM(AE155:$AE$259)&gt;0,MIN(AE155:$AE$259),10000)</f>
        <v>10000</v>
      </c>
      <c r="AU153" s="78"/>
      <c r="AV153" s="78"/>
      <c r="AW153" s="13">
        <f t="shared" ref="AW153" si="276">IF(AND(AC153&lt;&gt;"",AE153&lt;&gt;""),4,0)</f>
        <v>0</v>
      </c>
      <c r="AX153" s="78" t="e">
        <f ca="1">IF(AND(AN153&lt;&gt;1,AN153&lt;&gt;3,AN153&lt;&gt;4),AR153+1,XX)</f>
        <v>#VALUE!</v>
      </c>
      <c r="AY153" s="78">
        <f>IF(AND(AN153&lt;&gt;1,AN153&lt;&gt;3,AN153&lt;&gt;4),AT153-1,XX)</f>
        <v>9999</v>
      </c>
    </row>
    <row r="154" spans="1:51" ht="3" customHeight="1">
      <c r="B154" s="255"/>
      <c r="J154" s="274"/>
      <c r="L154" s="7"/>
      <c r="M154" s="7"/>
      <c r="O154" s="36"/>
      <c r="P154" s="36"/>
      <c r="Q154" s="36"/>
      <c r="R154" s="36"/>
      <c r="S154" s="36"/>
      <c r="T154" s="36"/>
      <c r="U154" s="36"/>
      <c r="V154" s="36"/>
      <c r="W154" s="36"/>
      <c r="X154" s="36"/>
      <c r="Y154" s="36"/>
      <c r="Z154" s="36"/>
      <c r="AA154" s="36"/>
      <c r="AB154" s="9"/>
      <c r="AC154" s="164"/>
      <c r="AD154" s="162"/>
      <c r="AE154" s="165"/>
      <c r="AF154" s="7"/>
      <c r="AG154" s="25"/>
      <c r="AK154" s="160"/>
      <c r="AS154" s="171"/>
      <c r="AT154" s="171"/>
      <c r="AU154" s="160"/>
      <c r="AX154" s="6"/>
      <c r="AY154" s="6"/>
    </row>
    <row r="155" spans="1:51" ht="14.25" customHeight="1">
      <c r="B155" s="255"/>
      <c r="J155" s="272" t="str">
        <f>IF(IFERROR(SEARCH(".",J153),0)=0,CONCATENATE(J153,".",1),IF(IFERROR(SEARCH(".",J153),0)&gt;1,CONCATENATE(IFERROR(LEFT(J153,IFERROR(SEARCH(".",J153),0)-1),0),".",IFERROR(RIGHT(J153,LEN(J153)-IFERROR(SEARCH(".",J153),0)),0)+1),0))</f>
        <v>8.12</v>
      </c>
      <c r="K155" s="2" t="s">
        <v>496</v>
      </c>
      <c r="L155" s="7"/>
      <c r="M155" s="7"/>
      <c r="O155" s="467" t="str">
        <f>CONCATENATE(J155,". ",K155,$K$17)</f>
        <v>8.12. Projeto da Fundação;------------------------------------------------------------------------------------------------------------------------------------------------------------------------</v>
      </c>
      <c r="P155" s="467"/>
      <c r="Q155" s="467"/>
      <c r="R155" s="467"/>
      <c r="S155" s="467"/>
      <c r="T155" s="467"/>
      <c r="U155" s="467"/>
      <c r="V155" s="467"/>
      <c r="W155" s="467"/>
      <c r="X155" s="467"/>
      <c r="Y155" s="467"/>
      <c r="Z155" s="467"/>
      <c r="AA155" s="467"/>
      <c r="AB155" s="9"/>
      <c r="AC155" s="191"/>
      <c r="AD155" s="162"/>
      <c r="AE155" s="166"/>
      <c r="AF155" s="7"/>
      <c r="AG155" s="80"/>
      <c r="AK155" s="160"/>
      <c r="AM155" s="255">
        <v>1</v>
      </c>
      <c r="AN155" s="271">
        <f t="shared" ref="AN155" si="277">IF(AND(AC155&lt;&gt;"",AE155&lt;&gt;""),4,IF($AC$131&lt;&gt;"",3,IF(AC155&lt;&gt;"",1,IF(AE155&lt;&gt;"",2,0))))</f>
        <v>0</v>
      </c>
      <c r="AO155" s="255" t="str">
        <f t="shared" ref="AO155" si="278">IF(AND(AE155="",AN155=2),"",IF(AND(AE155="",AN155&lt;&gt;3),"X",""))</f>
        <v>X</v>
      </c>
      <c r="AP155" s="188">
        <f t="shared" ref="AP155" si="279">IF(AND(AC155&lt;&gt;"",AE155&lt;&gt;""),1,IF(AND(AE155="",AN155=2),1,IF(OR(AN155&lt;&gt;0),0,1)))</f>
        <v>1</v>
      </c>
      <c r="AQ155" s="255">
        <f ca="1">SUM($AP$21:OFFSET(AQ155,-2,-1))</f>
        <v>60</v>
      </c>
      <c r="AR155" s="13" t="str">
        <f t="shared" ref="AR155" ca="1" si="280">IF(AND(AC155="",AQ155=0),AS155,"XX")</f>
        <v>XX</v>
      </c>
      <c r="AS155" s="255">
        <f>MAX($AE$21:AE153)</f>
        <v>0</v>
      </c>
      <c r="AT155" s="255">
        <f>IF(SUM(AE157:$AE$259)&gt;0,MIN(AE157:$AE$259),10000)</f>
        <v>10000</v>
      </c>
      <c r="AU155" s="78"/>
      <c r="AV155" s="78"/>
      <c r="AW155" s="13">
        <f t="shared" ref="AW155" si="281">IF(AND(AC155&lt;&gt;"",AE155&lt;&gt;""),4,0)</f>
        <v>0</v>
      </c>
      <c r="AX155" s="78" t="e">
        <f ca="1">IF(AND(AN155&lt;&gt;1,AN155&lt;&gt;3,AN155&lt;&gt;4),AR155+1,XX)</f>
        <v>#VALUE!</v>
      </c>
      <c r="AY155" s="78">
        <f>IF(AND(AN155&lt;&gt;1,AN155&lt;&gt;3,AN155&lt;&gt;4),AT155-1,XX)</f>
        <v>9999</v>
      </c>
    </row>
    <row r="156" spans="1:51" ht="3" customHeight="1">
      <c r="B156" s="255"/>
      <c r="J156" s="274"/>
      <c r="L156" s="7"/>
      <c r="M156" s="7"/>
      <c r="O156" s="36"/>
      <c r="P156" s="36"/>
      <c r="Q156" s="36"/>
      <c r="R156" s="36"/>
      <c r="S156" s="36"/>
      <c r="T156" s="36"/>
      <c r="U156" s="36"/>
      <c r="V156" s="36"/>
      <c r="W156" s="36"/>
      <c r="X156" s="36"/>
      <c r="Y156" s="36"/>
      <c r="Z156" s="36"/>
      <c r="AA156" s="36"/>
      <c r="AB156" s="9"/>
      <c r="AC156" s="164"/>
      <c r="AD156" s="162"/>
      <c r="AE156" s="165"/>
      <c r="AF156" s="7"/>
      <c r="AG156" s="255"/>
      <c r="AK156" s="160"/>
      <c r="AS156" s="171"/>
      <c r="AT156" s="171"/>
      <c r="AU156" s="160"/>
      <c r="AX156" s="6"/>
      <c r="AY156" s="6"/>
    </row>
    <row r="157" spans="1:51" ht="14.25" customHeight="1">
      <c r="B157" s="255"/>
      <c r="J157" s="272" t="str">
        <f>IF(IFERROR(SEARCH(".",J155),0)=0,CONCATENATE(J155,".",1),IF(IFERROR(SEARCH(".",J155),0)&gt;1,CONCATENATE(IFERROR(LEFT(J155,IFERROR(SEARCH(".",J155),0)-1),0),".",IFERROR(RIGHT(J155,LEN(J155)-IFERROR(SEARCH(".",J155),0)),0)+1),0))</f>
        <v>8.13</v>
      </c>
      <c r="K157" s="2" t="s">
        <v>18</v>
      </c>
      <c r="L157" s="7"/>
      <c r="M157" s="7"/>
      <c r="O157" s="467" t="str">
        <f>CONCATENATE(J157,". ",K157,$K$17)</f>
        <v>8.13. Projeto Estrutural;------------------------------------------------------------------------------------------------------------------------------------------------------------------------</v>
      </c>
      <c r="P157" s="467"/>
      <c r="Q157" s="467"/>
      <c r="R157" s="467"/>
      <c r="S157" s="467"/>
      <c r="T157" s="467"/>
      <c r="U157" s="467"/>
      <c r="V157" s="467"/>
      <c r="W157" s="467"/>
      <c r="X157" s="467"/>
      <c r="Y157" s="467"/>
      <c r="Z157" s="467"/>
      <c r="AA157" s="467"/>
      <c r="AB157" s="9"/>
      <c r="AC157" s="191"/>
      <c r="AD157" s="162"/>
      <c r="AE157" s="166"/>
      <c r="AF157" s="7"/>
      <c r="AG157" s="80"/>
      <c r="AK157" s="160"/>
      <c r="AM157" s="255">
        <v>1</v>
      </c>
      <c r="AN157" s="271">
        <f t="shared" ref="AN157" si="282">IF(AND(AC157&lt;&gt;"",AE157&lt;&gt;""),4,IF($AC$131&lt;&gt;"",3,IF(AC157&lt;&gt;"",1,IF(AE157&lt;&gt;"",2,0))))</f>
        <v>0</v>
      </c>
      <c r="AO157" s="255" t="str">
        <f t="shared" ref="AO157" si="283">IF(AND(AE157="",AN157=2),"",IF(AND(AE157="",AN157&lt;&gt;3),"X",""))</f>
        <v>X</v>
      </c>
      <c r="AP157" s="188">
        <f t="shared" ref="AP157" si="284">IF(AND(AC157&lt;&gt;"",AE157&lt;&gt;""),1,IF(AND(AE157="",AN157=2),1,IF(OR(AN157&lt;&gt;0),0,1)))</f>
        <v>1</v>
      </c>
      <c r="AQ157" s="255">
        <f ca="1">SUM($AP$21:OFFSET(AQ157,-2,-1))</f>
        <v>61</v>
      </c>
      <c r="AR157" s="13" t="str">
        <f t="shared" ref="AR157" ca="1" si="285">IF(AND(AC157="",AQ157=0),AS157,"XX")</f>
        <v>XX</v>
      </c>
      <c r="AS157" s="255">
        <f>MAX($AE$21:AE155)</f>
        <v>0</v>
      </c>
      <c r="AT157" s="255">
        <f>IF(SUM(AE159:$AE$259)&gt;0,MIN(AE159:$AE$259),10000)</f>
        <v>10000</v>
      </c>
      <c r="AU157" s="78"/>
      <c r="AV157" s="78"/>
      <c r="AW157" s="13">
        <f t="shared" ref="AW157" si="286">IF(AND(AC157&lt;&gt;"",AE157&lt;&gt;""),4,0)</f>
        <v>0</v>
      </c>
      <c r="AX157" s="78" t="e">
        <f ca="1">IF(AND(AN157&lt;&gt;1,AN157&lt;&gt;3,AN157&lt;&gt;4),AR157+1,XX)</f>
        <v>#VALUE!</v>
      </c>
      <c r="AY157" s="78">
        <f>IF(AND(AN157&lt;&gt;1,AN157&lt;&gt;3,AN157&lt;&gt;4),AT157-1,XX)</f>
        <v>9999</v>
      </c>
    </row>
    <row r="158" spans="1:51" ht="3.75" customHeight="1">
      <c r="B158" s="255"/>
      <c r="J158" s="274"/>
      <c r="L158" s="7"/>
      <c r="M158" s="7"/>
      <c r="O158" s="36"/>
      <c r="P158" s="36"/>
      <c r="Q158" s="36"/>
      <c r="R158" s="36"/>
      <c r="S158" s="36"/>
      <c r="T158" s="36"/>
      <c r="U158" s="36"/>
      <c r="V158" s="36"/>
      <c r="W158" s="36"/>
      <c r="X158" s="36"/>
      <c r="Y158" s="36"/>
      <c r="Z158" s="36"/>
      <c r="AA158" s="36"/>
      <c r="AB158" s="9"/>
      <c r="AC158" s="164"/>
      <c r="AD158" s="162"/>
      <c r="AE158" s="165"/>
      <c r="AF158" s="7"/>
      <c r="AG158" s="255"/>
      <c r="AK158" s="160"/>
      <c r="AS158" s="171"/>
      <c r="AT158" s="171"/>
      <c r="AU158" s="160"/>
      <c r="AX158" s="6"/>
      <c r="AY158" s="6"/>
    </row>
    <row r="159" spans="1:51" ht="14.25" customHeight="1">
      <c r="B159" s="255"/>
      <c r="J159" s="272" t="str">
        <f>IF(IFERROR(SEARCH(".",J157),0)=0,CONCATENATE(J157,".",1),IF(IFERROR(SEARCH(".",J157),0)&gt;1,CONCATENATE(IFERROR(LEFT(J157,IFERROR(SEARCH(".",J157),0)-1),0),".",IFERROR(RIGHT(J157,LEN(J157)-IFERROR(SEARCH(".",J157),0)),0)+1),0))</f>
        <v>8.14</v>
      </c>
      <c r="K159" s="2" t="s">
        <v>153</v>
      </c>
      <c r="L159" s="7"/>
      <c r="M159" s="7"/>
      <c r="O159" s="467" t="str">
        <f>CONCATENATE(J159,". ",K159,$K$17)</f>
        <v>8.14. Projeto Hidrossanitário;------------------------------------------------------------------------------------------------------------------------------------------------------------------------</v>
      </c>
      <c r="P159" s="467"/>
      <c r="Q159" s="467"/>
      <c r="R159" s="467"/>
      <c r="S159" s="467"/>
      <c r="T159" s="467"/>
      <c r="U159" s="467"/>
      <c r="V159" s="467"/>
      <c r="W159" s="467"/>
      <c r="X159" s="467"/>
      <c r="Y159" s="467"/>
      <c r="Z159" s="467"/>
      <c r="AA159" s="467"/>
      <c r="AB159" s="467"/>
      <c r="AC159" s="467"/>
      <c r="AD159" s="162"/>
      <c r="AE159" s="166"/>
      <c r="AF159" s="7"/>
      <c r="AG159" s="80"/>
      <c r="AK159" s="160"/>
      <c r="AM159" s="255">
        <v>1</v>
      </c>
      <c r="AN159" s="271">
        <f t="shared" ref="AN159" si="287">IF(AND(AC159&lt;&gt;"",AE159&lt;&gt;""),4,IF($AC$131&lt;&gt;"",3,IF(AC159&lt;&gt;"",1,IF(AE159&lt;&gt;"",2,0))))</f>
        <v>0</v>
      </c>
      <c r="AO159" s="255" t="str">
        <f t="shared" ref="AO159" si="288">IF(AND(AE159="",AN159=2),"",IF(AND(AE159="",AN159&lt;&gt;3),"X",""))</f>
        <v>X</v>
      </c>
      <c r="AP159" s="188">
        <f t="shared" ref="AP159" si="289">IF(AND(AC159&lt;&gt;"",AE159&lt;&gt;""),1,IF(AND(AE159="",AN159=2),1,IF(OR(AN159&lt;&gt;0),0,1)))</f>
        <v>1</v>
      </c>
      <c r="AQ159" s="255">
        <f ca="1">SUM($AP$21:OFFSET(AQ159,-2,-1))</f>
        <v>62</v>
      </c>
      <c r="AR159" s="13" t="str">
        <f t="shared" ref="AR159" ca="1" si="290">IF(AND(AC159="",AQ159=0),AS159,"XX")</f>
        <v>XX</v>
      </c>
      <c r="AS159" s="255">
        <f>MAX($AE$21:AE157)</f>
        <v>0</v>
      </c>
      <c r="AT159" s="255">
        <f>IF(SUM(AE161:$AE$259)&gt;0,MIN(AE161:$AE$259),10000)</f>
        <v>10000</v>
      </c>
      <c r="AU159" s="78"/>
      <c r="AV159" s="78"/>
      <c r="AW159" s="13">
        <f t="shared" ref="AW159" si="291">IF(AND(AC159&lt;&gt;"",AE159&lt;&gt;""),4,0)</f>
        <v>0</v>
      </c>
      <c r="AX159" s="78" t="e">
        <f ca="1">IF(AND(AN159&lt;&gt;1,AN159&lt;&gt;3,AN159&lt;&gt;4),AR159+1,XX)</f>
        <v>#VALUE!</v>
      </c>
      <c r="AY159" s="78">
        <f>IF(AND(AN159&lt;&gt;1,AN159&lt;&gt;3,AN159&lt;&gt;4),AT159-1,XX)</f>
        <v>9999</v>
      </c>
    </row>
    <row r="160" spans="1:51" ht="3" customHeight="1">
      <c r="B160" s="255"/>
      <c r="J160" s="274"/>
      <c r="L160" s="7"/>
      <c r="M160" s="7"/>
      <c r="O160" s="36"/>
      <c r="P160" s="36"/>
      <c r="Q160" s="36"/>
      <c r="R160" s="36"/>
      <c r="S160" s="36"/>
      <c r="T160" s="36"/>
      <c r="U160" s="36"/>
      <c r="V160" s="36"/>
      <c r="W160" s="36"/>
      <c r="X160" s="36"/>
      <c r="Y160" s="36"/>
      <c r="Z160" s="36"/>
      <c r="AA160" s="36"/>
      <c r="AB160" s="9"/>
      <c r="AC160" s="164"/>
      <c r="AD160" s="162"/>
      <c r="AE160" s="165"/>
      <c r="AF160" s="7"/>
      <c r="AK160" s="160"/>
      <c r="AS160" s="171"/>
      <c r="AT160" s="171"/>
      <c r="AU160" s="160"/>
      <c r="AX160" s="6"/>
      <c r="AY160" s="6"/>
    </row>
    <row r="161" spans="1:51" ht="14.25" customHeight="1">
      <c r="B161" s="255"/>
      <c r="J161" s="272" t="str">
        <f>IF(IFERROR(SEARCH(".",J159),0)=0,CONCATENATE(J159,".",1),IF(IFERROR(SEARCH(".",J159),0)&gt;1,CONCATENATE(IFERROR(LEFT(J159,IFERROR(SEARCH(".",J159),0)-1),0),".",IFERROR(RIGHT(J159,LEN(J159)-IFERROR(SEARCH(".",J159),0)),0)+1),0))</f>
        <v>8.15</v>
      </c>
      <c r="K161" s="2" t="s">
        <v>19</v>
      </c>
      <c r="L161" s="7"/>
      <c r="M161" s="7"/>
      <c r="O161" s="467" t="str">
        <f>CONCATENATE(J161,". ",K161,$K$17)</f>
        <v>8.15. Projeto Elétrico;------------------------------------------------------------------------------------------------------------------------------------------------------------------------</v>
      </c>
      <c r="P161" s="467"/>
      <c r="Q161" s="467"/>
      <c r="R161" s="467"/>
      <c r="S161" s="467"/>
      <c r="T161" s="467"/>
      <c r="U161" s="467"/>
      <c r="V161" s="467"/>
      <c r="W161" s="467"/>
      <c r="X161" s="467"/>
      <c r="Y161" s="467"/>
      <c r="Z161" s="467"/>
      <c r="AA161" s="467"/>
      <c r="AB161" s="467"/>
      <c r="AC161" s="467"/>
      <c r="AD161" s="162"/>
      <c r="AE161" s="166"/>
      <c r="AF161" s="7"/>
      <c r="AG161" s="80"/>
      <c r="AK161" s="160"/>
      <c r="AM161" s="255">
        <v>1</v>
      </c>
      <c r="AN161" s="271">
        <f t="shared" ref="AN161" si="292">IF(AND(AC161&lt;&gt;"",AE161&lt;&gt;""),4,IF($AC$131&lt;&gt;"",3,IF(AC161&lt;&gt;"",1,IF(AE161&lt;&gt;"",2,0))))</f>
        <v>0</v>
      </c>
      <c r="AO161" s="255" t="str">
        <f t="shared" ref="AO161" si="293">IF(AND(AE161="",AN161=2),"",IF(AND(AE161="",AN161&lt;&gt;3),"X",""))</f>
        <v>X</v>
      </c>
      <c r="AP161" s="188">
        <f t="shared" ref="AP161" si="294">IF(AND(AC161&lt;&gt;"",AE161&lt;&gt;""),1,IF(AND(AE161="",AN161=2),1,IF(OR(AN161&lt;&gt;0),0,1)))</f>
        <v>1</v>
      </c>
      <c r="AQ161" s="255">
        <f ca="1">SUM($AP$21:OFFSET(AQ161,-2,-1))</f>
        <v>63</v>
      </c>
      <c r="AR161" s="13" t="str">
        <f t="shared" ref="AR161" ca="1" si="295">IF(AND(AC161="",AQ161=0),AS161,"XX")</f>
        <v>XX</v>
      </c>
      <c r="AS161" s="255">
        <f>MAX($AE$21:AE159)</f>
        <v>0</v>
      </c>
      <c r="AT161" s="255">
        <f>IF(SUM(AE163:$AE$259)&gt;0,MIN(AE163:$AE$259),10000)</f>
        <v>10000</v>
      </c>
      <c r="AU161" s="78"/>
      <c r="AV161" s="78"/>
      <c r="AW161" s="13">
        <f t="shared" ref="AW161" si="296">IF(AND(AC161&lt;&gt;"",AE161&lt;&gt;""),4,0)</f>
        <v>0</v>
      </c>
      <c r="AX161" s="78" t="e">
        <f ca="1">IF(AND(AN161&lt;&gt;1,AN161&lt;&gt;3,AN161&lt;&gt;4),AR161+1,XX)</f>
        <v>#VALUE!</v>
      </c>
      <c r="AY161" s="78">
        <f>IF(AND(AN161&lt;&gt;1,AN161&lt;&gt;3,AN161&lt;&gt;4),AT161-1,XX)</f>
        <v>9999</v>
      </c>
    </row>
    <row r="162" spans="1:51" ht="3" customHeight="1">
      <c r="B162" s="255"/>
      <c r="J162" s="274"/>
      <c r="L162" s="7"/>
      <c r="M162" s="7"/>
      <c r="O162" s="36"/>
      <c r="P162" s="36"/>
      <c r="Q162" s="36"/>
      <c r="R162" s="36"/>
      <c r="S162" s="36"/>
      <c r="T162" s="36"/>
      <c r="U162" s="36"/>
      <c r="V162" s="36"/>
      <c r="W162" s="36"/>
      <c r="X162" s="36"/>
      <c r="Y162" s="36"/>
      <c r="Z162" s="36"/>
      <c r="AA162" s="36"/>
      <c r="AB162" s="9"/>
      <c r="AC162" s="164"/>
      <c r="AD162" s="162"/>
      <c r="AE162" s="165"/>
      <c r="AF162" s="7"/>
      <c r="AK162" s="160"/>
      <c r="AS162" s="171"/>
      <c r="AT162" s="171"/>
      <c r="AU162" s="160"/>
      <c r="AX162" s="6"/>
      <c r="AY162" s="6"/>
    </row>
    <row r="163" spans="1:51" ht="14.25" customHeight="1">
      <c r="B163" s="255"/>
      <c r="J163" s="272" t="str">
        <f>IF(IFERROR(SEARCH(".",J161),0)=0,CONCATENATE(J161,".",1),IF(IFERROR(SEARCH(".",J161),0)&gt;1,CONCATENATE(IFERROR(LEFT(J161,IFERROR(SEARCH(".",J161),0)-1),0),".",IFERROR(RIGHT(J161,LEN(J161)-IFERROR(SEARCH(".",J161),0)),0)+1),0))</f>
        <v>8.16</v>
      </c>
      <c r="K163" s="2" t="s">
        <v>378</v>
      </c>
      <c r="L163" s="7"/>
      <c r="M163" s="7"/>
      <c r="O163" s="467" t="str">
        <f>CONCATENATE(J163,". ",K163,$K$17)</f>
        <v>8.16. Projeto de Prevenção e Combate a Incêndio ou Comprovação da dispensa;------------------------------------------------------------------------------------------------------------------------------------------------------------------------</v>
      </c>
      <c r="P163" s="467"/>
      <c r="Q163" s="467"/>
      <c r="R163" s="467"/>
      <c r="S163" s="467"/>
      <c r="T163" s="467"/>
      <c r="U163" s="467"/>
      <c r="V163" s="467"/>
      <c r="W163" s="467"/>
      <c r="X163" s="467"/>
      <c r="Y163" s="467"/>
      <c r="Z163" s="467"/>
      <c r="AA163" s="467"/>
      <c r="AB163" s="467"/>
      <c r="AC163" s="467"/>
      <c r="AD163" s="162"/>
      <c r="AE163" s="166"/>
      <c r="AF163" s="7"/>
      <c r="AG163" s="80"/>
      <c r="AK163" s="160"/>
      <c r="AM163" s="255">
        <v>1</v>
      </c>
      <c r="AN163" s="271">
        <f t="shared" ref="AN163" si="297">IF(AND(AC163&lt;&gt;"",AE163&lt;&gt;""),4,IF($AC$131&lt;&gt;"",3,IF(AC163&lt;&gt;"",1,IF(AE163&lt;&gt;"",2,0))))</f>
        <v>0</v>
      </c>
      <c r="AO163" s="255" t="str">
        <f t="shared" ref="AO163" si="298">IF(AND(AE163="",AN163=2),"",IF(AND(AE163="",AN163&lt;&gt;3),"X",""))</f>
        <v>X</v>
      </c>
      <c r="AP163" s="188">
        <f t="shared" ref="AP163" si="299">IF(AND(AC163&lt;&gt;"",AE163&lt;&gt;""),1,IF(AND(AE163="",AN163=2),1,IF(OR(AN163&lt;&gt;0),0,1)))</f>
        <v>1</v>
      </c>
      <c r="AQ163" s="255">
        <f ca="1">SUM($AP$21:OFFSET(AQ163,-2,-1))</f>
        <v>64</v>
      </c>
      <c r="AR163" s="13" t="str">
        <f t="shared" ref="AR163" ca="1" si="300">IF(AND(AC163="",AQ163=0),AS163,"XX")</f>
        <v>XX</v>
      </c>
      <c r="AS163" s="255">
        <f>MAX($AE$21:AE161)</f>
        <v>0</v>
      </c>
      <c r="AT163" s="255">
        <f>IF(SUM(AE165:$AE$259)&gt;0,MIN(AE165:$AE$259),10000)</f>
        <v>10000</v>
      </c>
      <c r="AU163" s="78"/>
      <c r="AV163" s="78"/>
      <c r="AW163" s="13">
        <f t="shared" ref="AW163" si="301">IF(AND(AC163&lt;&gt;"",AE163&lt;&gt;""),4,0)</f>
        <v>0</v>
      </c>
      <c r="AX163" s="78" t="e">
        <f ca="1">IF(AND(AN163&lt;&gt;1,AN163&lt;&gt;3,AN163&lt;&gt;4),AR163+1,XX)</f>
        <v>#VALUE!</v>
      </c>
      <c r="AY163" s="78">
        <f>IF(AND(AN163&lt;&gt;1,AN163&lt;&gt;3,AN163&lt;&gt;4),AT163-1,XX)</f>
        <v>9999</v>
      </c>
    </row>
    <row r="164" spans="1:51" ht="3" customHeight="1">
      <c r="B164" s="255"/>
      <c r="J164" s="274"/>
      <c r="L164" s="7"/>
      <c r="M164" s="7"/>
      <c r="O164" s="36"/>
      <c r="P164" s="36"/>
      <c r="Q164" s="36"/>
      <c r="R164" s="36"/>
      <c r="S164" s="36"/>
      <c r="T164" s="36"/>
      <c r="U164" s="36"/>
      <c r="V164" s="36"/>
      <c r="W164" s="36"/>
      <c r="X164" s="36"/>
      <c r="Y164" s="36"/>
      <c r="Z164" s="36"/>
      <c r="AA164" s="36"/>
      <c r="AB164" s="9"/>
      <c r="AC164" s="164"/>
      <c r="AD164" s="162"/>
      <c r="AE164" s="165"/>
      <c r="AF164" s="7"/>
      <c r="AG164" s="255"/>
      <c r="AK164" s="160"/>
      <c r="AS164" s="171"/>
      <c r="AT164" s="171"/>
      <c r="AU164" s="160"/>
      <c r="AX164" s="6"/>
      <c r="AY164" s="6"/>
    </row>
    <row r="165" spans="1:51" ht="14.25" customHeight="1">
      <c r="B165" s="255"/>
      <c r="J165" s="272" t="str">
        <f>IF(IFERROR(SEARCH(".",J163),0)=0,CONCATENATE(J163,".",1),IF(IFERROR(SEARCH(".",J163),0)&gt;1,CONCATENATE(IFERROR(LEFT(J163,IFERROR(SEARCH(".",J163),0)-1),0),".",IFERROR(RIGHT(J163,LEN(J163)-IFERROR(SEARCH(".",J163),0)),0)+1),0))</f>
        <v>8.17</v>
      </c>
      <c r="K165" s="2" t="s">
        <v>379</v>
      </c>
      <c r="L165" s="7"/>
      <c r="M165" s="7"/>
      <c r="O165" s="467" t="str">
        <f>CONCATENATE(J165,". ",K165,$K$17)</f>
        <v>8.17. Projeto do Sistema de Proteção Contra Descargas Atmosféricas ou Comprovação da dispensa.------------------------------------------------------------------------------------------------------------------------------------------------------------------------</v>
      </c>
      <c r="P165" s="467"/>
      <c r="Q165" s="467"/>
      <c r="R165" s="467"/>
      <c r="S165" s="467"/>
      <c r="T165" s="467"/>
      <c r="U165" s="467"/>
      <c r="V165" s="467"/>
      <c r="W165" s="467"/>
      <c r="X165" s="467"/>
      <c r="Y165" s="467"/>
      <c r="Z165" s="467"/>
      <c r="AA165" s="467"/>
      <c r="AB165" s="467"/>
      <c r="AC165" s="467"/>
      <c r="AD165" s="162"/>
      <c r="AE165" s="166"/>
      <c r="AF165" s="7"/>
      <c r="AG165" s="80"/>
      <c r="AK165" s="160"/>
      <c r="AM165" s="255">
        <v>1</v>
      </c>
      <c r="AN165" s="271">
        <f t="shared" ref="AN165" si="302">IF(AND(AC165&lt;&gt;"",AE165&lt;&gt;""),4,IF($AC$131&lt;&gt;"",3,IF(AC165&lt;&gt;"",1,IF(AE165&lt;&gt;"",2,0))))</f>
        <v>0</v>
      </c>
      <c r="AO165" s="255" t="str">
        <f t="shared" ref="AO165" si="303">IF(AND(AE165="",AN165=2),"",IF(AND(AE165="",AN165&lt;&gt;3),"X",""))</f>
        <v>X</v>
      </c>
      <c r="AP165" s="188">
        <f t="shared" ref="AP165" si="304">IF(AND(AC165&lt;&gt;"",AE165&lt;&gt;""),1,IF(AND(AE165="",AN165=2),1,IF(OR(AN165&lt;&gt;0),0,1)))</f>
        <v>1</v>
      </c>
      <c r="AQ165" s="255">
        <f ca="1">SUM($AP$21:OFFSET(AQ165,-2,-1))</f>
        <v>65</v>
      </c>
      <c r="AR165" s="13" t="str">
        <f t="shared" ref="AR165" ca="1" si="305">IF(AND(AC165="",AQ165=0),AS165,"XX")</f>
        <v>XX</v>
      </c>
      <c r="AS165" s="255">
        <f>MAX($AE$21:AE163)</f>
        <v>0</v>
      </c>
      <c r="AT165" s="255">
        <f>IF(SUM(AE166:$AE$259)&gt;0,MIN(AE166:$AE$259),10000)</f>
        <v>10000</v>
      </c>
      <c r="AU165" s="78"/>
      <c r="AV165" s="78"/>
      <c r="AW165" s="13">
        <f t="shared" ref="AW165" si="306">IF(AND(AC165&lt;&gt;"",AE165&lt;&gt;""),4,0)</f>
        <v>0</v>
      </c>
      <c r="AX165" s="78" t="e">
        <f ca="1">IF(AND(AN165&lt;&gt;1,AN165&lt;&gt;3,AN165&lt;&gt;4),AR165+1,XX)</f>
        <v>#VALUE!</v>
      </c>
      <c r="AY165" s="78">
        <f>IF(AND(AN165&lt;&gt;1,AN165&lt;&gt;3,AN165&lt;&gt;4),AT165-1,XX)</f>
        <v>9999</v>
      </c>
    </row>
    <row r="166" spans="1:51" ht="3" customHeight="1">
      <c r="B166" s="255"/>
      <c r="L166" s="7"/>
      <c r="M166" s="7"/>
      <c r="N166" s="274"/>
      <c r="O166" s="36"/>
      <c r="P166" s="36"/>
      <c r="Q166" s="36"/>
      <c r="R166" s="36"/>
      <c r="S166" s="36"/>
      <c r="T166" s="36"/>
      <c r="U166" s="36"/>
      <c r="V166" s="36"/>
      <c r="W166" s="36"/>
      <c r="X166" s="36"/>
      <c r="Y166" s="36"/>
      <c r="Z166" s="36"/>
      <c r="AA166" s="36"/>
      <c r="AB166" s="9"/>
      <c r="AC166" s="164"/>
      <c r="AD166" s="162"/>
      <c r="AE166" s="165"/>
      <c r="AF166" s="7"/>
      <c r="AG166" s="255"/>
      <c r="AK166" s="160"/>
      <c r="AS166" s="171"/>
      <c r="AT166" s="171"/>
      <c r="AU166" s="160"/>
      <c r="AX166" s="6"/>
      <c r="AY166" s="6"/>
    </row>
    <row r="167" spans="1:51" ht="14.25" customHeight="1">
      <c r="B167" s="255"/>
      <c r="J167" s="284">
        <f>J131+1</f>
        <v>9</v>
      </c>
      <c r="K167" s="2" t="s">
        <v>22</v>
      </c>
      <c r="L167" s="7"/>
      <c r="M167" s="7"/>
      <c r="O167" s="454" t="str">
        <f>CONCATENATE(J167,". ",K167)</f>
        <v>9. Se Indústria de Beneficiamento de Madeira:</v>
      </c>
      <c r="P167" s="454"/>
      <c r="Q167" s="454"/>
      <c r="R167" s="454"/>
      <c r="S167" s="454"/>
      <c r="T167" s="454"/>
      <c r="U167" s="454"/>
      <c r="V167" s="454"/>
      <c r="W167" s="454"/>
      <c r="X167" s="454"/>
      <c r="Y167" s="454"/>
      <c r="Z167" s="454"/>
      <c r="AA167" s="454"/>
      <c r="AB167" s="9"/>
      <c r="AC167" s="191"/>
      <c r="AD167" s="162"/>
      <c r="AE167" s="136" t="s">
        <v>389</v>
      </c>
      <c r="AF167" s="7"/>
      <c r="AK167" s="160"/>
      <c r="AM167" s="255"/>
      <c r="AN167" s="283">
        <f>IF(OR(AE169&lt;&gt;"",AE171&lt;&gt;"",AE173&lt;&gt;"",AC169&lt;&gt;"",AC171&lt;&gt;"",AC173&lt;&gt;""),3,0)</f>
        <v>0</v>
      </c>
      <c r="AO167" s="255" t="str">
        <f>IF(AND(AE167="-",AN167=2),"",IF(AND(AE167="-",AN167&lt;&gt;3),"X",""))</f>
        <v>X</v>
      </c>
      <c r="AP167" s="188"/>
      <c r="AQ167" s="255"/>
      <c r="AR167" s="13"/>
      <c r="AS167" s="255"/>
      <c r="AT167" s="255"/>
      <c r="AU167" s="78"/>
      <c r="AV167" s="78"/>
      <c r="AW167" s="13"/>
      <c r="AX167" s="78"/>
      <c r="AY167" s="78"/>
    </row>
    <row r="168" spans="1:51" s="6" customFormat="1" ht="3" customHeight="1">
      <c r="A168" s="255"/>
      <c r="B168" s="255"/>
      <c r="D168" s="2"/>
      <c r="E168" s="2"/>
      <c r="F168" s="2"/>
      <c r="G168" s="2"/>
      <c r="H168" s="2"/>
      <c r="I168" s="2"/>
      <c r="J168" s="274"/>
      <c r="L168" s="28"/>
      <c r="M168" s="28"/>
      <c r="O168" s="36"/>
      <c r="P168" s="36"/>
      <c r="Q168" s="36"/>
      <c r="R168" s="36"/>
      <c r="S168" s="36"/>
      <c r="T168" s="36"/>
      <c r="U168" s="36"/>
      <c r="V168" s="36"/>
      <c r="W168" s="36"/>
      <c r="X168" s="36"/>
      <c r="Y168" s="36"/>
      <c r="Z168" s="36"/>
      <c r="AA168" s="36"/>
      <c r="AB168" s="9"/>
      <c r="AC168" s="164"/>
      <c r="AD168" s="162"/>
      <c r="AE168" s="165"/>
      <c r="AF168" s="28"/>
      <c r="AG168" s="255"/>
      <c r="AJ168" s="160"/>
      <c r="AK168" s="160"/>
      <c r="AL168" s="172"/>
      <c r="AM168" s="160"/>
      <c r="AN168" s="160"/>
      <c r="AO168" s="160"/>
      <c r="AP168" s="160"/>
      <c r="AQ168" s="160"/>
      <c r="AR168" s="160"/>
      <c r="AS168" s="171"/>
      <c r="AT168" s="171"/>
      <c r="AU168" s="160"/>
      <c r="AV168" s="161"/>
      <c r="AW168" s="161"/>
    </row>
    <row r="169" spans="1:51" ht="14.25" customHeight="1">
      <c r="B169" s="255"/>
      <c r="J169" s="272" t="str">
        <f>IF(IFERROR(SEARCH(".",J167),0)=0,CONCATENATE(J167,".",1),IF(IFERROR(SEARCH(".",J167),0)&gt;1,CONCATENATE(IFERROR(LEFT(J167,IFERROR(SEARCH(".",J167),0)-1),0),".",IFERROR(RIGHT(J167,LEN(J167)-IFERROR(SEARCH(".",J167),0)),0)+1),0))</f>
        <v>9.1</v>
      </c>
      <c r="K169" s="2" t="s">
        <v>46</v>
      </c>
      <c r="L169" s="7"/>
      <c r="M169" s="7"/>
      <c r="O169" s="467" t="str">
        <f>CONCATENATE(J169,". ",K169,$K$17)</f>
        <v>9.1. Contrato firmado com os fornecedores; (se utilizar madeira explorada por terceiros)------------------------------------------------------------------------------------------------------------------------------------------------------------------------</v>
      </c>
      <c r="P169" s="467"/>
      <c r="Q169" s="467"/>
      <c r="R169" s="467"/>
      <c r="S169" s="467"/>
      <c r="T169" s="467"/>
      <c r="U169" s="467"/>
      <c r="V169" s="467"/>
      <c r="W169" s="467"/>
      <c r="X169" s="467"/>
      <c r="Y169" s="467"/>
      <c r="Z169" s="467"/>
      <c r="AA169" s="467"/>
      <c r="AB169" s="9"/>
      <c r="AC169" s="191"/>
      <c r="AD169" s="162"/>
      <c r="AE169" s="166"/>
      <c r="AF169" s="7"/>
      <c r="AG169" s="80"/>
      <c r="AK169" s="160"/>
      <c r="AM169" s="255">
        <v>1</v>
      </c>
      <c r="AN169" s="271">
        <f>IF(AND(AC169&lt;&gt;"",AE169&lt;&gt;""),4,IF($AC$167&lt;&gt;"",3,IF(AC169&lt;&gt;"",1,IF(AE169&lt;&gt;"",2,0))))</f>
        <v>0</v>
      </c>
      <c r="AO169" s="255" t="str">
        <f t="shared" ref="AO169" si="307">IF(AND(AE169="",AN169=2),"",IF(AND(AE169="",AN169&lt;&gt;3),"X",""))</f>
        <v>X</v>
      </c>
      <c r="AP169" s="188">
        <f t="shared" ref="AP169" si="308">IF(AND(AC169&lt;&gt;"",AE169&lt;&gt;""),1,IF(AND(AE169="",AN169=2),1,IF(OR(AN169&lt;&gt;0),0,1)))</f>
        <v>1</v>
      </c>
      <c r="AQ169" s="255">
        <f ca="1">SUM($AP$21:OFFSET(AQ169,-2,-1))</f>
        <v>66</v>
      </c>
      <c r="AR169" s="13" t="str">
        <f t="shared" ref="AR169" ca="1" si="309">IF(AND(AC169="",AQ169=0),AS169,"XX")</f>
        <v>XX</v>
      </c>
      <c r="AS169" s="255">
        <f>MAX($AE$21:AE167)</f>
        <v>0</v>
      </c>
      <c r="AT169" s="255">
        <f>IF(SUM(AE171:$AE$259)&gt;0,MIN(AE171:$AE$259),10000)</f>
        <v>10000</v>
      </c>
      <c r="AU169" s="78"/>
      <c r="AV169" s="78"/>
      <c r="AW169" s="13">
        <f t="shared" ref="AW169" si="310">IF(AND(AC169&lt;&gt;"",AE169&lt;&gt;""),4,0)</f>
        <v>0</v>
      </c>
      <c r="AX169" s="78" t="e">
        <f ca="1">IF(AND(AN169&lt;&gt;1,AN169&lt;&gt;3,AN169&lt;&gt;4),AR169+1,XX)</f>
        <v>#VALUE!</v>
      </c>
      <c r="AY169" s="78">
        <f>IF(AND(AN169&lt;&gt;1,AN169&lt;&gt;3,AN169&lt;&gt;4),AT169-1,XX)</f>
        <v>9999</v>
      </c>
    </row>
    <row r="170" spans="1:51" s="6" customFormat="1" ht="3" customHeight="1">
      <c r="A170" s="255"/>
      <c r="B170" s="255"/>
      <c r="D170" s="2"/>
      <c r="E170" s="2"/>
      <c r="F170" s="2"/>
      <c r="G170" s="2"/>
      <c r="H170" s="2"/>
      <c r="I170" s="2"/>
      <c r="J170" s="274"/>
      <c r="L170" s="28"/>
      <c r="M170" s="28"/>
      <c r="O170" s="36"/>
      <c r="P170" s="36"/>
      <c r="Q170" s="36"/>
      <c r="R170" s="36"/>
      <c r="S170" s="36"/>
      <c r="T170" s="36"/>
      <c r="U170" s="36"/>
      <c r="V170" s="36"/>
      <c r="W170" s="36"/>
      <c r="X170" s="36"/>
      <c r="Y170" s="36"/>
      <c r="Z170" s="36"/>
      <c r="AA170" s="36"/>
      <c r="AB170" s="9"/>
      <c r="AC170" s="164"/>
      <c r="AD170" s="162"/>
      <c r="AE170" s="165"/>
      <c r="AF170" s="28"/>
      <c r="AG170" s="255"/>
      <c r="AJ170" s="160"/>
      <c r="AK170" s="160"/>
      <c r="AL170" s="172"/>
      <c r="AM170" s="160"/>
      <c r="AN170" s="160"/>
      <c r="AO170" s="160"/>
      <c r="AP170" s="160"/>
      <c r="AQ170" s="160"/>
      <c r="AR170" s="160"/>
      <c r="AS170" s="171"/>
      <c r="AT170" s="171"/>
      <c r="AU170" s="160"/>
      <c r="AV170" s="161"/>
      <c r="AW170" s="161"/>
    </row>
    <row r="171" spans="1:51" ht="14.25" customHeight="1">
      <c r="B171" s="255"/>
      <c r="J171" s="272" t="str">
        <f>IF(IFERROR(SEARCH(".",J169),0)=0,CONCATENATE(J169,".",1),IF(IFERROR(SEARCH(".",J169),0)&gt;1,CONCATENATE(IFERROR(LEFT(J169,IFERROR(SEARCH(".",J169),0)-1),0),".",IFERROR(RIGHT(J169,LEN(J169)-IFERROR(SEARCH(".",J169),0)),0)+1),0))</f>
        <v>9.2</v>
      </c>
      <c r="K171" s="2" t="s">
        <v>49</v>
      </c>
      <c r="L171" s="7"/>
      <c r="M171" s="7"/>
      <c r="O171" s="467" t="str">
        <f>CONCATENATE(J171,". ",K171,$K$17)</f>
        <v>9.2. Autorização de exploração florestal - AUTEF;------------------------------------------------------------------------------------------------------------------------------------------------------------------------</v>
      </c>
      <c r="P171" s="467"/>
      <c r="Q171" s="467"/>
      <c r="R171" s="467"/>
      <c r="S171" s="467"/>
      <c r="T171" s="467"/>
      <c r="U171" s="467"/>
      <c r="V171" s="467"/>
      <c r="W171" s="467"/>
      <c r="X171" s="467"/>
      <c r="Y171" s="467"/>
      <c r="Z171" s="467"/>
      <c r="AA171" s="467"/>
      <c r="AB171" s="467"/>
      <c r="AC171" s="467"/>
      <c r="AD171" s="162"/>
      <c r="AE171" s="166"/>
      <c r="AF171" s="7"/>
      <c r="AG171" s="80"/>
      <c r="AK171" s="160"/>
      <c r="AM171" s="255">
        <v>1</v>
      </c>
      <c r="AN171" s="271">
        <f t="shared" ref="AN171" si="311">IF(AND(AC171&lt;&gt;"",AE171&lt;&gt;""),4,IF($AC$167&lt;&gt;"",3,IF(AC171&lt;&gt;"",1,IF(AE171&lt;&gt;"",2,0))))</f>
        <v>0</v>
      </c>
      <c r="AO171" s="255" t="str">
        <f t="shared" ref="AO171" si="312">IF(AND(AE171="",AN171=2),"",IF(AND(AE171="",AN171&lt;&gt;3),"X",""))</f>
        <v>X</v>
      </c>
      <c r="AP171" s="188">
        <f t="shared" ref="AP171" si="313">IF(AND(AC171&lt;&gt;"",AE171&lt;&gt;""),1,IF(AND(AE171="",AN171=2),1,IF(OR(AN171&lt;&gt;0),0,1)))</f>
        <v>1</v>
      </c>
      <c r="AQ171" s="255">
        <f ca="1">SUM($AP$21:OFFSET(AQ171,-2,-1))</f>
        <v>67</v>
      </c>
      <c r="AR171" s="13" t="str">
        <f t="shared" ref="AR171" ca="1" si="314">IF(AND(AC171="",AQ171=0),AS171,"XX")</f>
        <v>XX</v>
      </c>
      <c r="AS171" s="255">
        <f>MAX($AE$21:AE169)</f>
        <v>0</v>
      </c>
      <c r="AT171" s="255">
        <f>IF(SUM(AE173:$AE$259)&gt;0,MIN(AE173:$AE$259),10000)</f>
        <v>10000</v>
      </c>
      <c r="AU171" s="78"/>
      <c r="AV171" s="78"/>
      <c r="AW171" s="13">
        <f t="shared" ref="AW171" si="315">IF(AND(AC171&lt;&gt;"",AE171&lt;&gt;""),4,0)</f>
        <v>0</v>
      </c>
      <c r="AX171" s="78" t="e">
        <f ca="1">IF(AND(AN171&lt;&gt;1,AN171&lt;&gt;3,AN171&lt;&gt;4),AR171+1,XX)</f>
        <v>#VALUE!</v>
      </c>
      <c r="AY171" s="78">
        <f>IF(AND(AN171&lt;&gt;1,AN171&lt;&gt;3,AN171&lt;&gt;4),AT171-1,XX)</f>
        <v>9999</v>
      </c>
    </row>
    <row r="172" spans="1:51" s="6" customFormat="1" ht="3" customHeight="1">
      <c r="A172" s="255"/>
      <c r="B172" s="255"/>
      <c r="D172" s="2"/>
      <c r="E172" s="2"/>
      <c r="F172" s="2"/>
      <c r="G172" s="2"/>
      <c r="H172" s="2"/>
      <c r="I172" s="2"/>
      <c r="J172" s="274"/>
      <c r="L172" s="28"/>
      <c r="M172" s="28"/>
      <c r="O172" s="36"/>
      <c r="P172" s="36"/>
      <c r="Q172" s="36"/>
      <c r="R172" s="36"/>
      <c r="S172" s="36"/>
      <c r="T172" s="36"/>
      <c r="U172" s="36"/>
      <c r="V172" s="36"/>
      <c r="W172" s="36"/>
      <c r="X172" s="36"/>
      <c r="Y172" s="36"/>
      <c r="Z172" s="36"/>
      <c r="AA172" s="36"/>
      <c r="AB172" s="9"/>
      <c r="AC172" s="164"/>
      <c r="AD172" s="162"/>
      <c r="AE172" s="165"/>
      <c r="AF172" s="28"/>
      <c r="AG172" s="25"/>
      <c r="AJ172" s="160"/>
      <c r="AK172" s="160"/>
      <c r="AL172" s="172"/>
      <c r="AM172" s="160"/>
      <c r="AN172" s="160"/>
      <c r="AO172" s="160"/>
      <c r="AP172" s="160"/>
      <c r="AQ172" s="160"/>
      <c r="AR172" s="160"/>
      <c r="AS172" s="171"/>
      <c r="AT172" s="171"/>
      <c r="AU172" s="160"/>
      <c r="AV172" s="161"/>
      <c r="AW172" s="161"/>
    </row>
    <row r="173" spans="1:51" ht="14.25" customHeight="1">
      <c r="B173" s="255"/>
      <c r="J173" s="272" t="str">
        <f>IF(IFERROR(SEARCH(".",J171),0)=0,CONCATENATE(J171,".",1),IF(IFERROR(SEARCH(".",J171),0)&gt;1,CONCATENATE(IFERROR(LEFT(J171,IFERROR(SEARCH(".",J171),0)-1),0),".",IFERROR(RIGHT(J171,LEN(J171)-IFERROR(SEARCH(".",J171),0)),0)+1),0))</f>
        <v>9.3</v>
      </c>
      <c r="K173" s="2" t="s">
        <v>232</v>
      </c>
      <c r="L173" s="7"/>
      <c r="M173" s="7"/>
      <c r="O173" s="467" t="str">
        <f>CONCATENATE(J173,". ",K173,$K$17)</f>
        <v>9.3. Declaração de Origem Florestal - DOF; (se também realizar transporte de madeira)------------------------------------------------------------------------------------------------------------------------------------------------------------------------</v>
      </c>
      <c r="P173" s="467"/>
      <c r="Q173" s="467"/>
      <c r="R173" s="467"/>
      <c r="S173" s="467"/>
      <c r="T173" s="467"/>
      <c r="U173" s="467"/>
      <c r="V173" s="467"/>
      <c r="W173" s="467"/>
      <c r="X173" s="467"/>
      <c r="Y173" s="467"/>
      <c r="Z173" s="467"/>
      <c r="AA173" s="467"/>
      <c r="AB173" s="9"/>
      <c r="AC173" s="191"/>
      <c r="AD173" s="162"/>
      <c r="AE173" s="166"/>
      <c r="AF173" s="7"/>
      <c r="AG173" s="80"/>
      <c r="AK173" s="160"/>
      <c r="AM173" s="255">
        <v>1</v>
      </c>
      <c r="AN173" s="271">
        <f t="shared" ref="AN173" si="316">IF(AND(AC173&lt;&gt;"",AE173&lt;&gt;""),4,IF($AC$167&lt;&gt;"",3,IF(AC173&lt;&gt;"",1,IF(AE173&lt;&gt;"",2,0))))</f>
        <v>0</v>
      </c>
      <c r="AO173" s="255" t="str">
        <f t="shared" ref="AO173" si="317">IF(AND(AE173="",AN173=2),"",IF(AND(AE173="",AN173&lt;&gt;3),"X",""))</f>
        <v>X</v>
      </c>
      <c r="AP173" s="188">
        <f t="shared" ref="AP173" si="318">IF(AND(AC173&lt;&gt;"",AE173&lt;&gt;""),1,IF(AND(AE173="",AN173=2),1,IF(OR(AN173&lt;&gt;0),0,1)))</f>
        <v>1</v>
      </c>
      <c r="AQ173" s="255">
        <f ca="1">SUM($AP$21:OFFSET(AQ173,-2,-1))</f>
        <v>68</v>
      </c>
      <c r="AR173" s="13" t="str">
        <f t="shared" ref="AR173" ca="1" si="319">IF(AND(AC173="",AQ173=0),AS173,"XX")</f>
        <v>XX</v>
      </c>
      <c r="AS173" s="255">
        <f>MAX($AE$21:AE171)</f>
        <v>0</v>
      </c>
      <c r="AT173" s="255">
        <f>IF(SUM(AE175:$AE$259)&gt;0,MIN(AE175:$AE$259),10000)</f>
        <v>10000</v>
      </c>
      <c r="AU173" s="78"/>
      <c r="AV173" s="78"/>
      <c r="AW173" s="13">
        <f t="shared" ref="AW173" si="320">IF(AND(AC173&lt;&gt;"",AE173&lt;&gt;""),4,0)</f>
        <v>0</v>
      </c>
      <c r="AX173" s="78" t="e">
        <f ca="1">IF(AND(AN173&lt;&gt;1,AN173&lt;&gt;3,AN173&lt;&gt;4),AR173+1,XX)</f>
        <v>#VALUE!</v>
      </c>
      <c r="AY173" s="78">
        <f>IF(AND(AN173&lt;&gt;1,AN173&lt;&gt;3,AN173&lt;&gt;4),AT173-1,XX)</f>
        <v>9999</v>
      </c>
    </row>
    <row r="174" spans="1:51" ht="3" customHeight="1">
      <c r="B174" s="255"/>
      <c r="J174" s="274"/>
      <c r="L174" s="7"/>
      <c r="M174" s="7"/>
      <c r="O174" s="36"/>
      <c r="P174" s="36"/>
      <c r="Q174" s="36"/>
      <c r="R174" s="36"/>
      <c r="S174" s="36"/>
      <c r="T174" s="36"/>
      <c r="U174" s="36"/>
      <c r="V174" s="36"/>
      <c r="W174" s="36"/>
      <c r="X174" s="36"/>
      <c r="Y174" s="36"/>
      <c r="Z174" s="36"/>
      <c r="AA174" s="36"/>
      <c r="AB174" s="9"/>
      <c r="AC174" s="164"/>
      <c r="AD174" s="162"/>
      <c r="AE174" s="165"/>
      <c r="AF174" s="7"/>
      <c r="AG174" s="255"/>
      <c r="AK174" s="160"/>
      <c r="AS174" s="171"/>
      <c r="AT174" s="171"/>
      <c r="AU174" s="160"/>
      <c r="AX174" s="6"/>
      <c r="AY174" s="6"/>
    </row>
    <row r="175" spans="1:51" ht="14.25" customHeight="1">
      <c r="B175" s="255"/>
      <c r="J175" s="284">
        <f>J167+1</f>
        <v>10</v>
      </c>
      <c r="K175" s="2" t="s">
        <v>23</v>
      </c>
      <c r="L175" s="7"/>
      <c r="M175" s="7"/>
      <c r="O175" s="454" t="str">
        <f>CONCATENATE(J175,". ",K175)</f>
        <v>10. Se Indústria Mineral:</v>
      </c>
      <c r="P175" s="454"/>
      <c r="Q175" s="454"/>
      <c r="R175" s="454"/>
      <c r="S175" s="454"/>
      <c r="T175" s="454"/>
      <c r="U175" s="454"/>
      <c r="V175" s="454"/>
      <c r="W175" s="454"/>
      <c r="X175" s="454"/>
      <c r="Y175" s="454"/>
      <c r="Z175" s="454"/>
      <c r="AA175" s="454"/>
      <c r="AB175" s="9"/>
      <c r="AC175" s="191"/>
      <c r="AD175" s="162"/>
      <c r="AE175" s="136" t="s">
        <v>389</v>
      </c>
      <c r="AF175" s="7"/>
      <c r="AK175" s="160"/>
      <c r="AM175" s="255"/>
      <c r="AN175" s="283">
        <f>IF(OR(AE177&lt;&gt;"",AE179&lt;&gt;"",AE181&lt;&gt;"",AE183&lt;&gt;"",AE185&lt;&gt;"",AC177&lt;&gt;"",AC179&lt;&gt;"",AC181&lt;&gt;"",AC183&lt;&gt;"",AC185&lt;&gt;""),3,0)</f>
        <v>0</v>
      </c>
      <c r="AO175" s="255" t="str">
        <f>IF(AND(AE175="-",AN175=2),"",IF(AND(AE175="-",AN175&lt;&gt;3),"X",""))</f>
        <v>X</v>
      </c>
      <c r="AP175" s="188"/>
      <c r="AQ175" s="255"/>
      <c r="AR175" s="13"/>
      <c r="AS175" s="255"/>
      <c r="AT175" s="255"/>
      <c r="AU175" s="78"/>
      <c r="AV175" s="78"/>
      <c r="AW175" s="13"/>
      <c r="AX175" s="78"/>
      <c r="AY175" s="78"/>
    </row>
    <row r="176" spans="1:51" ht="3" customHeight="1">
      <c r="B176" s="255"/>
      <c r="D176" s="6"/>
      <c r="E176" s="6"/>
      <c r="F176" s="6"/>
      <c r="G176" s="6"/>
      <c r="H176" s="6"/>
      <c r="I176" s="6"/>
      <c r="J176" s="274"/>
      <c r="L176" s="7"/>
      <c r="M176" s="7"/>
      <c r="O176" s="36"/>
      <c r="P176" s="36"/>
      <c r="Q176" s="36"/>
      <c r="R176" s="36"/>
      <c r="S176" s="36"/>
      <c r="T176" s="36"/>
      <c r="U176" s="36"/>
      <c r="V176" s="36"/>
      <c r="W176" s="36"/>
      <c r="X176" s="36"/>
      <c r="Y176" s="36"/>
      <c r="Z176" s="36"/>
      <c r="AA176" s="36"/>
      <c r="AB176" s="9"/>
      <c r="AC176" s="164"/>
      <c r="AD176" s="162"/>
      <c r="AE176" s="165"/>
      <c r="AF176" s="7"/>
      <c r="AG176" s="255"/>
      <c r="AK176" s="160"/>
      <c r="AS176" s="171"/>
      <c r="AT176" s="171"/>
      <c r="AU176" s="160"/>
      <c r="AX176" s="6"/>
      <c r="AY176" s="6"/>
    </row>
    <row r="177" spans="1:51" ht="14.25" customHeight="1">
      <c r="B177" s="255"/>
      <c r="J177" s="272" t="str">
        <f>IF(IFERROR(SEARCH(".",J175),0)=0,CONCATENATE(J175,".",1),IF(IFERROR(SEARCH(".",J175),0)&gt;1,CONCATENATE(IFERROR(LEFT(J175,IFERROR(SEARCH(".",J175),0)-1),0),".",IFERROR(RIGHT(J175,LEN(J175)-IFERROR(SEARCH(".",J175),0)),0)+1),0))</f>
        <v>10.1</v>
      </c>
      <c r="K177" s="2" t="s">
        <v>24</v>
      </c>
      <c r="L177" s="7"/>
      <c r="M177" s="7"/>
      <c r="O177" s="467" t="str">
        <f>CONCATENATE(J177,". ",K177,$K$17)</f>
        <v>10.1. Portaria de Lavra, com prova de respectiva transcrição do DNPM;------------------------------------------------------------------------------------------------------------------------------------------------------------------------</v>
      </c>
      <c r="P177" s="467"/>
      <c r="Q177" s="467"/>
      <c r="R177" s="467"/>
      <c r="S177" s="467"/>
      <c r="T177" s="467"/>
      <c r="U177" s="467"/>
      <c r="V177" s="467"/>
      <c r="W177" s="467"/>
      <c r="X177" s="467"/>
      <c r="Y177" s="467"/>
      <c r="Z177" s="467"/>
      <c r="AA177" s="467"/>
      <c r="AB177" s="467"/>
      <c r="AC177" s="467"/>
      <c r="AD177" s="162"/>
      <c r="AE177" s="166"/>
      <c r="AF177" s="7"/>
      <c r="AG177" s="80"/>
      <c r="AK177" s="160"/>
      <c r="AM177" s="255">
        <v>1</v>
      </c>
      <c r="AN177" s="271">
        <f>IF(AND(AC177&lt;&gt;"",AE177&lt;&gt;""),4,IF($AC$175&lt;&gt;"",3,IF(AC177&lt;&gt;"",1,IF(AE177&lt;&gt;"",2,0))))</f>
        <v>0</v>
      </c>
      <c r="AO177" s="255" t="str">
        <f t="shared" ref="AO177" si="321">IF(AND(AE177="",AN177=2),"",IF(AND(AE177="",AN177&lt;&gt;3),"X",""))</f>
        <v>X</v>
      </c>
      <c r="AP177" s="188">
        <f t="shared" ref="AP177" si="322">IF(AND(AC177&lt;&gt;"",AE177&lt;&gt;""),1,IF(AND(AE177="",AN177=2),1,IF(OR(AN177&lt;&gt;0),0,1)))</f>
        <v>1</v>
      </c>
      <c r="AQ177" s="255">
        <f ca="1">SUM($AP$21:OFFSET(AQ177,-2,-1))</f>
        <v>69</v>
      </c>
      <c r="AR177" s="13" t="str">
        <f t="shared" ref="AR177" ca="1" si="323">IF(AND(AC177="",AQ177=0),AS177,"XX")</f>
        <v>XX</v>
      </c>
      <c r="AS177" s="255">
        <f>MAX($AE$21:AE175)</f>
        <v>0</v>
      </c>
      <c r="AT177" s="255">
        <f>IF(SUM(AE179:$AE$259)&gt;0,MIN(AE179:$AE$259),10000)</f>
        <v>10000</v>
      </c>
      <c r="AU177" s="78"/>
      <c r="AV177" s="78"/>
      <c r="AW177" s="13">
        <f t="shared" ref="AW177" si="324">IF(AND(AC177&lt;&gt;"",AE177&lt;&gt;""),4,0)</f>
        <v>0</v>
      </c>
      <c r="AX177" s="78" t="e">
        <f ca="1">IF(AND(AN177&lt;&gt;1,AN177&lt;&gt;3,AN177&lt;&gt;4),AR177+1,XX)</f>
        <v>#VALUE!</v>
      </c>
      <c r="AY177" s="78">
        <f>IF(AND(AN177&lt;&gt;1,AN177&lt;&gt;3,AN177&lt;&gt;4),AT177-1,XX)</f>
        <v>9999</v>
      </c>
    </row>
    <row r="178" spans="1:51" ht="3" customHeight="1">
      <c r="B178" s="255"/>
      <c r="D178" s="6"/>
      <c r="E178" s="6"/>
      <c r="F178" s="6"/>
      <c r="G178" s="6"/>
      <c r="H178" s="6"/>
      <c r="I178" s="6"/>
      <c r="J178" s="274"/>
      <c r="L178" s="7"/>
      <c r="M178" s="7"/>
      <c r="O178" s="36"/>
      <c r="P178" s="36"/>
      <c r="Q178" s="36"/>
      <c r="R178" s="36"/>
      <c r="S178" s="36"/>
      <c r="T178" s="36"/>
      <c r="U178" s="36"/>
      <c r="V178" s="36"/>
      <c r="W178" s="36"/>
      <c r="X178" s="36"/>
      <c r="Y178" s="36"/>
      <c r="Z178" s="36"/>
      <c r="AA178" s="36"/>
      <c r="AB178" s="9"/>
      <c r="AC178" s="164"/>
      <c r="AD178" s="162"/>
      <c r="AE178" s="165"/>
      <c r="AF178" s="7"/>
      <c r="AK178" s="160"/>
      <c r="AS178" s="171"/>
      <c r="AT178" s="171"/>
      <c r="AU178" s="160"/>
      <c r="AX178" s="6"/>
      <c r="AY178" s="6"/>
    </row>
    <row r="179" spans="1:51" ht="14.25" customHeight="1">
      <c r="B179" s="255"/>
      <c r="J179" s="272" t="str">
        <f>IF(IFERROR(SEARCH(".",J177),0)=0,CONCATENATE(J177,".",1),IF(IFERROR(SEARCH(".",J177),0)&gt;1,CONCATENATE(IFERROR(LEFT(J177,IFERROR(SEARCH(".",J177),0)-1),0),".",IFERROR(RIGHT(J177,LEN(J177)-IFERROR(SEARCH(".",J177),0)),0)+1),0))</f>
        <v>10.2</v>
      </c>
      <c r="K179" s="2" t="s">
        <v>48</v>
      </c>
      <c r="L179" s="7"/>
      <c r="M179" s="7"/>
      <c r="O179" s="467" t="str">
        <f>CONCATENATE(J179,". ",K179,$K$17)</f>
        <v>10.2. Projeto aprovado pelo DNPM;------------------------------------------------------------------------------------------------------------------------------------------------------------------------</v>
      </c>
      <c r="P179" s="467"/>
      <c r="Q179" s="467"/>
      <c r="R179" s="467"/>
      <c r="S179" s="467"/>
      <c r="T179" s="467"/>
      <c r="U179" s="467"/>
      <c r="V179" s="467"/>
      <c r="W179" s="467"/>
      <c r="X179" s="467"/>
      <c r="Y179" s="467"/>
      <c r="Z179" s="467"/>
      <c r="AA179" s="467"/>
      <c r="AB179" s="467"/>
      <c r="AC179" s="467"/>
      <c r="AD179" s="162"/>
      <c r="AE179" s="166"/>
      <c r="AF179" s="7"/>
      <c r="AG179" s="80"/>
      <c r="AK179" s="160"/>
      <c r="AM179" s="255">
        <v>1</v>
      </c>
      <c r="AN179" s="271">
        <f t="shared" ref="AN179" si="325">IF(AND(AC179&lt;&gt;"",AE179&lt;&gt;""),4,IF($AC$175&lt;&gt;"",3,IF(AC179&lt;&gt;"",1,IF(AE179&lt;&gt;"",2,0))))</f>
        <v>0</v>
      </c>
      <c r="AO179" s="255" t="str">
        <f t="shared" ref="AO179" si="326">IF(AND(AE179="",AN179=2),"",IF(AND(AE179="",AN179&lt;&gt;3),"X",""))</f>
        <v>X</v>
      </c>
      <c r="AP179" s="188">
        <f t="shared" ref="AP179" si="327">IF(AND(AC179&lt;&gt;"",AE179&lt;&gt;""),1,IF(AND(AE179="",AN179=2),1,IF(OR(AN179&lt;&gt;0),0,1)))</f>
        <v>1</v>
      </c>
      <c r="AQ179" s="255">
        <f ca="1">SUM($AP$21:OFFSET(AQ179,-2,-1))</f>
        <v>70</v>
      </c>
      <c r="AR179" s="13" t="str">
        <f t="shared" ref="AR179" ca="1" si="328">IF(AND(AC179="",AQ179=0),AS179,"XX")</f>
        <v>XX</v>
      </c>
      <c r="AS179" s="255">
        <f>MAX($AE$21:AE177)</f>
        <v>0</v>
      </c>
      <c r="AT179" s="255">
        <f>IF(SUM(AE181:$AE$259)&gt;0,MIN(AE181:$AE$259),10000)</f>
        <v>10000</v>
      </c>
      <c r="AU179" s="78"/>
      <c r="AV179" s="78"/>
      <c r="AW179" s="13">
        <f t="shared" ref="AW179" si="329">IF(AND(AC179&lt;&gt;"",AE179&lt;&gt;""),4,0)</f>
        <v>0</v>
      </c>
      <c r="AX179" s="78" t="e">
        <f ca="1">IF(AND(AN179&lt;&gt;1,AN179&lt;&gt;3,AN179&lt;&gt;4),AR179+1,XX)</f>
        <v>#VALUE!</v>
      </c>
      <c r="AY179" s="78">
        <f>IF(AND(AN179&lt;&gt;1,AN179&lt;&gt;3,AN179&lt;&gt;4),AT179-1,XX)</f>
        <v>9999</v>
      </c>
    </row>
    <row r="180" spans="1:51" ht="3" customHeight="1">
      <c r="B180" s="255"/>
      <c r="D180" s="6"/>
      <c r="E180" s="6"/>
      <c r="F180" s="6"/>
      <c r="G180" s="6"/>
      <c r="H180" s="6"/>
      <c r="I180" s="6"/>
      <c r="J180" s="274"/>
      <c r="L180" s="7"/>
      <c r="M180" s="7"/>
      <c r="O180" s="36"/>
      <c r="P180" s="36"/>
      <c r="Q180" s="36"/>
      <c r="R180" s="36"/>
      <c r="S180" s="36"/>
      <c r="T180" s="36"/>
      <c r="U180" s="36"/>
      <c r="V180" s="36"/>
      <c r="W180" s="36"/>
      <c r="X180" s="36"/>
      <c r="Y180" s="36"/>
      <c r="Z180" s="36"/>
      <c r="AA180" s="36"/>
      <c r="AB180" s="9"/>
      <c r="AC180" s="164"/>
      <c r="AD180" s="162"/>
      <c r="AE180" s="165"/>
      <c r="AF180" s="7"/>
      <c r="AK180" s="160"/>
      <c r="AS180" s="171"/>
      <c r="AT180" s="171"/>
      <c r="AU180" s="160"/>
      <c r="AX180" s="6"/>
      <c r="AY180" s="6"/>
    </row>
    <row r="181" spans="1:51" ht="14.25" customHeight="1">
      <c r="B181" s="255"/>
      <c r="J181" s="272" t="str">
        <f>IF(IFERROR(SEARCH(".",J179),0)=0,CONCATENATE(J179,".",1),IF(IFERROR(SEARCH(".",J179),0)&gt;1,CONCATENATE(IFERROR(LEFT(J179,IFERROR(SEARCH(".",J179),0)-1),0),".",IFERROR(RIGHT(J179,LEN(J179)-IFERROR(SEARCH(".",J179),0)),0)+1),0))</f>
        <v>10.3</v>
      </c>
      <c r="K181" s="2" t="s">
        <v>231</v>
      </c>
      <c r="L181" s="7"/>
      <c r="M181" s="7"/>
      <c r="O181" s="467" t="str">
        <f>CONCATENATE(J181,". ",K181,$K$17)</f>
        <v>10.3. Licença expedida pela autoridade administrativa do município de localização da jazida - regist. no DNPM;------------------------------------------------------------------------------------------------------------------------------------------------------------------------</v>
      </c>
      <c r="P181" s="467"/>
      <c r="Q181" s="467"/>
      <c r="R181" s="467"/>
      <c r="S181" s="467"/>
      <c r="T181" s="467"/>
      <c r="U181" s="467"/>
      <c r="V181" s="467"/>
      <c r="W181" s="467"/>
      <c r="X181" s="467"/>
      <c r="Y181" s="467"/>
      <c r="Z181" s="467"/>
      <c r="AA181" s="467"/>
      <c r="AB181" s="467"/>
      <c r="AC181" s="467"/>
      <c r="AD181" s="162"/>
      <c r="AE181" s="166"/>
      <c r="AF181" s="7"/>
      <c r="AG181" s="80"/>
      <c r="AK181" s="160"/>
      <c r="AM181" s="255">
        <v>1</v>
      </c>
      <c r="AN181" s="271">
        <f t="shared" ref="AN181" si="330">IF(AND(AC181&lt;&gt;"",AE181&lt;&gt;""),4,IF($AC$175&lt;&gt;"",3,IF(AC181&lt;&gt;"",1,IF(AE181&lt;&gt;"",2,0))))</f>
        <v>0</v>
      </c>
      <c r="AO181" s="255" t="str">
        <f t="shared" ref="AO181" si="331">IF(AND(AE181="",AN181=2),"",IF(AND(AE181="",AN181&lt;&gt;3),"X",""))</f>
        <v>X</v>
      </c>
      <c r="AP181" s="188">
        <f t="shared" ref="AP181" si="332">IF(AND(AC181&lt;&gt;"",AE181&lt;&gt;""),1,IF(AND(AE181="",AN181=2),1,IF(OR(AN181&lt;&gt;0),0,1)))</f>
        <v>1</v>
      </c>
      <c r="AQ181" s="255">
        <f ca="1">SUM($AP$21:OFFSET(AQ181,-2,-1))</f>
        <v>71</v>
      </c>
      <c r="AR181" s="13" t="str">
        <f t="shared" ref="AR181" ca="1" si="333">IF(AND(AC181="",AQ181=0),AS181,"XX")</f>
        <v>XX</v>
      </c>
      <c r="AS181" s="255">
        <f>MAX($AE$21:AE179)</f>
        <v>0</v>
      </c>
      <c r="AT181" s="255">
        <f>IF(SUM(AE183:$AE$259)&gt;0,MIN(AE183:$AE$259),10000)</f>
        <v>10000</v>
      </c>
      <c r="AU181" s="78"/>
      <c r="AV181" s="78"/>
      <c r="AW181" s="13">
        <f t="shared" ref="AW181" si="334">IF(AND(AC181&lt;&gt;"",AE181&lt;&gt;""),4,0)</f>
        <v>0</v>
      </c>
      <c r="AX181" s="78" t="e">
        <f ca="1">IF(AND(AN181&lt;&gt;1,AN181&lt;&gt;3,AN181&lt;&gt;4),AR181+1,XX)</f>
        <v>#VALUE!</v>
      </c>
      <c r="AY181" s="78">
        <f>IF(AND(AN181&lt;&gt;1,AN181&lt;&gt;3,AN181&lt;&gt;4),AT181-1,XX)</f>
        <v>9999</v>
      </c>
    </row>
    <row r="182" spans="1:51" ht="3" customHeight="1">
      <c r="B182" s="255"/>
      <c r="J182" s="274"/>
      <c r="L182" s="7"/>
      <c r="M182" s="7"/>
      <c r="O182" s="36"/>
      <c r="P182" s="36"/>
      <c r="Q182" s="36"/>
      <c r="R182" s="36"/>
      <c r="S182" s="36"/>
      <c r="T182" s="36"/>
      <c r="U182" s="36"/>
      <c r="V182" s="36"/>
      <c r="W182" s="36"/>
      <c r="X182" s="36"/>
      <c r="Y182" s="36"/>
      <c r="Z182" s="36"/>
      <c r="AA182" s="36"/>
      <c r="AB182" s="9"/>
      <c r="AC182" s="164"/>
      <c r="AD182" s="162"/>
      <c r="AE182" s="165"/>
      <c r="AF182" s="7"/>
      <c r="AG182" s="255"/>
      <c r="AK182" s="160"/>
      <c r="AS182" s="171"/>
      <c r="AT182" s="171"/>
      <c r="AU182" s="160"/>
      <c r="AX182" s="6"/>
      <c r="AY182" s="6"/>
    </row>
    <row r="183" spans="1:51" ht="14.25" customHeight="1">
      <c r="B183" s="255"/>
      <c r="J183" s="272" t="str">
        <f>IF(IFERROR(SEARCH(".",J181),0)=0,CONCATENATE(J181,".",1),IF(IFERROR(SEARCH(".",J181),0)&gt;1,CONCATENATE(IFERROR(LEFT(J181,IFERROR(SEARCH(".",J181),0)-1),0),".",IFERROR(RIGHT(J181,LEN(J181)-IFERROR(SEARCH(".",J181),0)),0)+1),0))</f>
        <v>10.4</v>
      </c>
      <c r="K183" s="2" t="s">
        <v>25</v>
      </c>
      <c r="L183" s="7"/>
      <c r="M183" s="7"/>
      <c r="O183" s="467" t="str">
        <f>CONCATENATE(J183,". ",K183,$K$17)</f>
        <v>10.4. Estudos geológicos sobre a jazida;------------------------------------------------------------------------------------------------------------------------------------------------------------------------</v>
      </c>
      <c r="P183" s="467"/>
      <c r="Q183" s="467"/>
      <c r="R183" s="467"/>
      <c r="S183" s="467"/>
      <c r="T183" s="467"/>
      <c r="U183" s="467"/>
      <c r="V183" s="467"/>
      <c r="W183" s="467"/>
      <c r="X183" s="467"/>
      <c r="Y183" s="467"/>
      <c r="Z183" s="467"/>
      <c r="AA183" s="467"/>
      <c r="AB183" s="467"/>
      <c r="AC183" s="467"/>
      <c r="AD183" s="162"/>
      <c r="AE183" s="166"/>
      <c r="AF183" s="7"/>
      <c r="AG183" s="80"/>
      <c r="AK183" s="160"/>
      <c r="AM183" s="255">
        <v>1</v>
      </c>
      <c r="AN183" s="271">
        <f t="shared" ref="AN183" si="335">IF(AND(AC183&lt;&gt;"",AE183&lt;&gt;""),4,IF($AC$175&lt;&gt;"",3,IF(AC183&lt;&gt;"",1,IF(AE183&lt;&gt;"",2,0))))</f>
        <v>0</v>
      </c>
      <c r="AO183" s="255" t="str">
        <f t="shared" ref="AO183" si="336">IF(AND(AE183="",AN183=2),"",IF(AND(AE183="",AN183&lt;&gt;3),"X",""))</f>
        <v>X</v>
      </c>
      <c r="AP183" s="188">
        <f t="shared" ref="AP183" si="337">IF(AND(AC183&lt;&gt;"",AE183&lt;&gt;""),1,IF(AND(AE183="",AN183=2),1,IF(OR(AN183&lt;&gt;0),0,1)))</f>
        <v>1</v>
      </c>
      <c r="AQ183" s="255">
        <f ca="1">SUM($AP$21:OFFSET(AQ183,-2,-1))</f>
        <v>72</v>
      </c>
      <c r="AR183" s="13" t="str">
        <f t="shared" ref="AR183" ca="1" si="338">IF(AND(AC183="",AQ183=0),AS183,"XX")</f>
        <v>XX</v>
      </c>
      <c r="AS183" s="255">
        <f>MAX($AE$21:AE181)</f>
        <v>0</v>
      </c>
      <c r="AT183" s="255">
        <f>IF(SUM(AE185:$AE$259)&gt;0,MIN(AE185:$AE$259),10000)</f>
        <v>10000</v>
      </c>
      <c r="AU183" s="78"/>
      <c r="AV183" s="78"/>
      <c r="AW183" s="13">
        <f t="shared" ref="AW183" si="339">IF(AND(AC183&lt;&gt;"",AE183&lt;&gt;""),4,0)</f>
        <v>0</v>
      </c>
      <c r="AX183" s="78" t="e">
        <f ca="1">IF(AND(AN183&lt;&gt;1,AN183&lt;&gt;3,AN183&lt;&gt;4),AR183+1,XX)</f>
        <v>#VALUE!</v>
      </c>
      <c r="AY183" s="78">
        <f>IF(AND(AN183&lt;&gt;1,AN183&lt;&gt;3,AN183&lt;&gt;4),AT183-1,XX)</f>
        <v>9999</v>
      </c>
    </row>
    <row r="184" spans="1:51" ht="3" customHeight="1">
      <c r="B184" s="255"/>
      <c r="J184" s="274"/>
      <c r="L184" s="7"/>
      <c r="M184" s="7"/>
      <c r="O184" s="36"/>
      <c r="P184" s="36"/>
      <c r="Q184" s="36"/>
      <c r="R184" s="36"/>
      <c r="S184" s="36"/>
      <c r="T184" s="36"/>
      <c r="U184" s="36"/>
      <c r="V184" s="36"/>
      <c r="W184" s="36"/>
      <c r="X184" s="36"/>
      <c r="Y184" s="36"/>
      <c r="Z184" s="36"/>
      <c r="AA184" s="36"/>
      <c r="AB184" s="9"/>
      <c r="AC184" s="164"/>
      <c r="AD184" s="162"/>
      <c r="AE184" s="165"/>
      <c r="AF184" s="7"/>
      <c r="AG184" s="25"/>
      <c r="AK184" s="160"/>
      <c r="AS184" s="171"/>
      <c r="AT184" s="171"/>
      <c r="AU184" s="160"/>
      <c r="AX184" s="6"/>
      <c r="AY184" s="6"/>
    </row>
    <row r="185" spans="1:51" ht="14.25" customHeight="1">
      <c r="B185" s="255"/>
      <c r="J185" s="272" t="str">
        <f>IF(IFERROR(SEARCH(".",J183),0)=0,CONCATENATE(J183,".",1),IF(IFERROR(SEARCH(".",J183),0)&gt;1,CONCATENATE(IFERROR(LEFT(J183,IFERROR(SEARCH(".",J183),0)-1),0),".",IFERROR(RIGHT(J183,LEN(J183)-IFERROR(SEARCH(".",J183),0)),0)+1),0))</f>
        <v>10.5</v>
      </c>
      <c r="K185" s="2" t="s">
        <v>497</v>
      </c>
      <c r="L185" s="7"/>
      <c r="M185" s="7"/>
      <c r="O185" s="467" t="str">
        <f>CONCATENATE(J185,". ",K185,$K$17)</f>
        <v>10.5. Testes laboratoriais sobre o mineral;------------------------------------------------------------------------------------------------------------------------------------------------------------------------</v>
      </c>
      <c r="P185" s="467"/>
      <c r="Q185" s="467"/>
      <c r="R185" s="467"/>
      <c r="S185" s="467"/>
      <c r="T185" s="467"/>
      <c r="U185" s="467"/>
      <c r="V185" s="467"/>
      <c r="W185" s="467"/>
      <c r="X185" s="467"/>
      <c r="Y185" s="467"/>
      <c r="Z185" s="467"/>
      <c r="AA185" s="467"/>
      <c r="AB185" s="467"/>
      <c r="AC185" s="467"/>
      <c r="AD185" s="162"/>
      <c r="AE185" s="166"/>
      <c r="AF185" s="7"/>
      <c r="AG185" s="80"/>
      <c r="AK185" s="160"/>
      <c r="AM185" s="255">
        <v>1</v>
      </c>
      <c r="AN185" s="271">
        <f t="shared" ref="AN185" si="340">IF(AND(AC185&lt;&gt;"",AE185&lt;&gt;""),4,IF($AC$175&lt;&gt;"",3,IF(AC185&lt;&gt;"",1,IF(AE185&lt;&gt;"",2,0))))</f>
        <v>0</v>
      </c>
      <c r="AO185" s="255" t="str">
        <f t="shared" ref="AO185" si="341">IF(AND(AE185="",AN185=2),"",IF(AND(AE185="",AN185&lt;&gt;3),"X",""))</f>
        <v>X</v>
      </c>
      <c r="AP185" s="188">
        <f t="shared" ref="AP185" si="342">IF(AND(AC185&lt;&gt;"",AE185&lt;&gt;""),1,IF(AND(AE185="",AN185=2),1,IF(OR(AN185&lt;&gt;0),0,1)))</f>
        <v>1</v>
      </c>
      <c r="AQ185" s="255">
        <f ca="1">SUM($AP$21:OFFSET(AQ185,-2,-1))</f>
        <v>73</v>
      </c>
      <c r="AR185" s="13" t="str">
        <f t="shared" ref="AR185" ca="1" si="343">IF(AND(AC185="",AQ185=0),AS185,"XX")</f>
        <v>XX</v>
      </c>
      <c r="AS185" s="255">
        <f>MAX($AE$21:AE183)</f>
        <v>0</v>
      </c>
      <c r="AT185" s="255">
        <f>IF(SUM(AE187:$AE$259)&gt;0,MIN(AE187:$AE$259),10000)</f>
        <v>10000</v>
      </c>
      <c r="AU185" s="78"/>
      <c r="AV185" s="78"/>
      <c r="AW185" s="13">
        <f t="shared" ref="AW185" si="344">IF(AND(AC185&lt;&gt;"",AE185&lt;&gt;""),4,0)</f>
        <v>0</v>
      </c>
      <c r="AX185" s="78" t="e">
        <f ca="1">IF(AND(AN185&lt;&gt;1,AN185&lt;&gt;3,AN185&lt;&gt;4),AR185+1,XX)</f>
        <v>#VALUE!</v>
      </c>
      <c r="AY185" s="78">
        <f>IF(AND(AN185&lt;&gt;1,AN185&lt;&gt;3,AN185&lt;&gt;4),AT185-1,XX)</f>
        <v>9999</v>
      </c>
    </row>
    <row r="186" spans="1:51" ht="3" customHeight="1">
      <c r="B186" s="255"/>
      <c r="J186" s="274"/>
      <c r="L186" s="7"/>
      <c r="M186" s="7"/>
      <c r="O186" s="36"/>
      <c r="P186" s="36"/>
      <c r="Q186" s="36"/>
      <c r="R186" s="36"/>
      <c r="S186" s="36"/>
      <c r="T186" s="36"/>
      <c r="U186" s="36"/>
      <c r="V186" s="36"/>
      <c r="W186" s="36"/>
      <c r="X186" s="36"/>
      <c r="Y186" s="36"/>
      <c r="Z186" s="36"/>
      <c r="AA186" s="36"/>
      <c r="AB186" s="9"/>
      <c r="AC186" s="164"/>
      <c r="AD186" s="162"/>
      <c r="AE186" s="165"/>
      <c r="AF186" s="7"/>
      <c r="AG186" s="255"/>
      <c r="AK186" s="160"/>
      <c r="AS186" s="171"/>
      <c r="AT186" s="171"/>
      <c r="AU186" s="160"/>
      <c r="AX186" s="6"/>
      <c r="AY186" s="6"/>
    </row>
    <row r="187" spans="1:51" ht="14.25" customHeight="1">
      <c r="B187" s="255"/>
      <c r="J187" s="284">
        <f>J175+1</f>
        <v>11</v>
      </c>
      <c r="K187" s="2" t="s">
        <v>210</v>
      </c>
      <c r="L187" s="7"/>
      <c r="M187" s="7"/>
      <c r="O187" s="454" t="str">
        <f>CONCATENATE(J187,". ",K187)</f>
        <v>11. Se Indústria Alimentícia:</v>
      </c>
      <c r="P187" s="454"/>
      <c r="Q187" s="454"/>
      <c r="R187" s="454"/>
      <c r="S187" s="454"/>
      <c r="T187" s="454"/>
      <c r="U187" s="454"/>
      <c r="V187" s="454"/>
      <c r="W187" s="454"/>
      <c r="X187" s="454"/>
      <c r="Y187" s="454"/>
      <c r="Z187" s="454"/>
      <c r="AA187" s="454"/>
      <c r="AB187" s="9"/>
      <c r="AC187" s="191"/>
      <c r="AD187" s="162"/>
      <c r="AE187" s="136" t="s">
        <v>389</v>
      </c>
      <c r="AF187" s="7"/>
      <c r="AK187" s="160"/>
      <c r="AM187" s="255"/>
      <c r="AN187" s="283">
        <f>IF(OR(AE189&lt;&gt;"",AE191&lt;&gt;"",AE193&lt;&gt;"",AC189&lt;&gt;"",AC191&lt;&gt;"",AC193&lt;&gt;""),3,0)</f>
        <v>0</v>
      </c>
      <c r="AO187" s="255" t="str">
        <f>IF(AND(AE187="-",AN187=2),"",IF(AND(AE187="-",AN187&lt;&gt;3),"X",""))</f>
        <v>X</v>
      </c>
      <c r="AP187" s="188"/>
      <c r="AQ187" s="255"/>
      <c r="AR187" s="13"/>
      <c r="AS187" s="255"/>
      <c r="AT187" s="255"/>
      <c r="AU187" s="78"/>
      <c r="AV187" s="78"/>
      <c r="AW187" s="13"/>
      <c r="AX187" s="78"/>
      <c r="AY187" s="78"/>
    </row>
    <row r="188" spans="1:51" ht="3" customHeight="1">
      <c r="B188" s="255"/>
      <c r="J188" s="274"/>
      <c r="L188" s="7"/>
      <c r="M188" s="7"/>
      <c r="O188" s="36"/>
      <c r="P188" s="36"/>
      <c r="Q188" s="36"/>
      <c r="R188" s="36"/>
      <c r="S188" s="36"/>
      <c r="T188" s="36"/>
      <c r="U188" s="36"/>
      <c r="V188" s="36"/>
      <c r="W188" s="36"/>
      <c r="X188" s="36"/>
      <c r="Y188" s="36"/>
      <c r="Z188" s="36"/>
      <c r="AA188" s="36"/>
      <c r="AB188" s="9"/>
      <c r="AC188" s="164"/>
      <c r="AD188" s="162"/>
      <c r="AE188" s="165"/>
      <c r="AF188" s="7"/>
      <c r="AG188" s="255"/>
      <c r="AK188" s="160"/>
      <c r="AS188" s="171"/>
      <c r="AT188" s="171"/>
      <c r="AU188" s="160"/>
      <c r="AX188" s="6"/>
      <c r="AY188" s="6"/>
    </row>
    <row r="189" spans="1:51" s="59" customFormat="1" ht="14.25" customHeight="1">
      <c r="A189" s="58"/>
      <c r="B189" s="58"/>
      <c r="J189" s="272" t="str">
        <f>IF(IFERROR(SEARCH(".",J187),0)=0,CONCATENATE(J187,".",1),IF(IFERROR(SEARCH(".",J187),0)&gt;1,CONCATENATE(IFERROR(LEFT(J187,IFERROR(SEARCH(".",J187),0)-1),0),".",IFERROR(RIGHT(J187,LEN(J187)-IFERROR(SEARCH(".",J187),0)),0)+1),0))</f>
        <v>11.1</v>
      </c>
      <c r="K189" s="59" t="s">
        <v>201</v>
      </c>
      <c r="L189" s="61"/>
      <c r="M189" s="61"/>
      <c r="O189" s="467" t="str">
        <f>CONCATENATE(J189,". ",K189,$K$17)</f>
        <v>11.1. Aprovação do Projeto pelo MAPA/ANVISA ou entidades delegadas/conveniadas; (se em implant./ampli.)------------------------------------------------------------------------------------------------------------------------------------------------------------------------</v>
      </c>
      <c r="P189" s="467"/>
      <c r="Q189" s="467"/>
      <c r="R189" s="467"/>
      <c r="S189" s="467"/>
      <c r="T189" s="467"/>
      <c r="U189" s="467"/>
      <c r="V189" s="467"/>
      <c r="W189" s="467"/>
      <c r="X189" s="467"/>
      <c r="Y189" s="467"/>
      <c r="Z189" s="467"/>
      <c r="AA189" s="467"/>
      <c r="AB189" s="288"/>
      <c r="AC189" s="191"/>
      <c r="AD189" s="162"/>
      <c r="AE189" s="166"/>
      <c r="AF189" s="61"/>
      <c r="AG189" s="81"/>
      <c r="AJ189" s="160"/>
      <c r="AK189" s="160"/>
      <c r="AL189" s="160"/>
      <c r="AM189" s="255">
        <v>1</v>
      </c>
      <c r="AN189" s="271">
        <f>IF(AND(AC189&lt;&gt;"",AE189&lt;&gt;""),4,IF($AC$187&lt;&gt;"",3,IF(AC189&lt;&gt;"",1,IF(AE189&lt;&gt;"",2,0))))</f>
        <v>0</v>
      </c>
      <c r="AO189" s="255" t="str">
        <f t="shared" ref="AO189" si="345">IF(AND(AE189="",AN189=2),"",IF(AND(AE189="",AN189&lt;&gt;3),"X",""))</f>
        <v>X</v>
      </c>
      <c r="AP189" s="188">
        <f t="shared" ref="AP189" si="346">IF(AND(AC189&lt;&gt;"",AE189&lt;&gt;""),1,IF(AND(AE189="",AN189=2),1,IF(OR(AN189&lt;&gt;0),0,1)))</f>
        <v>1</v>
      </c>
      <c r="AQ189" s="255">
        <f ca="1">SUM($AP$21:OFFSET(AQ189,-2,-1))</f>
        <v>74</v>
      </c>
      <c r="AR189" s="13" t="str">
        <f t="shared" ref="AR189" ca="1" si="347">IF(AND(AC189="",AQ189=0),AS189,"XX")</f>
        <v>XX</v>
      </c>
      <c r="AS189" s="255">
        <f>MAX($AE$21:AE187)</f>
        <v>0</v>
      </c>
      <c r="AT189" s="255">
        <f>IF(SUM(AE191:$AE$259)&gt;0,MIN(AE191:$AE$259),10000)</f>
        <v>10000</v>
      </c>
      <c r="AU189" s="78"/>
      <c r="AV189" s="78"/>
      <c r="AW189" s="13">
        <f t="shared" ref="AW189" si="348">IF(AND(AC189&lt;&gt;"",AE189&lt;&gt;""),4,0)</f>
        <v>0</v>
      </c>
      <c r="AX189" s="78" t="e">
        <f ca="1">IF(AND(AN189&lt;&gt;1,AN189&lt;&gt;3,AN189&lt;&gt;4),AR189+1,XX)</f>
        <v>#VALUE!</v>
      </c>
      <c r="AY189" s="78">
        <f>IF(AND(AN189&lt;&gt;1,AN189&lt;&gt;3,AN189&lt;&gt;4),AT189-1,XX)</f>
        <v>9999</v>
      </c>
    </row>
    <row r="190" spans="1:51" s="6" customFormat="1" ht="3" customHeight="1">
      <c r="A190" s="255"/>
      <c r="B190" s="255"/>
      <c r="D190" s="2"/>
      <c r="E190" s="2"/>
      <c r="F190" s="2"/>
      <c r="G190" s="2"/>
      <c r="H190" s="2"/>
      <c r="I190" s="2"/>
      <c r="J190" s="274"/>
      <c r="L190" s="28"/>
      <c r="M190" s="28"/>
      <c r="O190" s="36"/>
      <c r="P190" s="36"/>
      <c r="Q190" s="36"/>
      <c r="R190" s="36"/>
      <c r="S190" s="36"/>
      <c r="T190" s="36"/>
      <c r="U190" s="36"/>
      <c r="V190" s="36"/>
      <c r="W190" s="36"/>
      <c r="X190" s="36"/>
      <c r="Y190" s="36"/>
      <c r="Z190" s="36"/>
      <c r="AA190" s="36"/>
      <c r="AB190" s="9"/>
      <c r="AC190" s="164"/>
      <c r="AD190" s="162"/>
      <c r="AE190" s="165"/>
      <c r="AF190" s="28"/>
      <c r="AG190" s="2"/>
      <c r="AJ190" s="160"/>
      <c r="AK190" s="160"/>
      <c r="AL190" s="172"/>
      <c r="AM190" s="160"/>
      <c r="AN190" s="160"/>
      <c r="AO190" s="160"/>
      <c r="AP190" s="160"/>
      <c r="AQ190" s="160"/>
      <c r="AR190" s="160"/>
      <c r="AS190" s="171"/>
      <c r="AT190" s="171"/>
      <c r="AU190" s="160"/>
      <c r="AV190" s="161"/>
      <c r="AW190" s="161"/>
    </row>
    <row r="191" spans="1:51" ht="14.25" customHeight="1">
      <c r="B191" s="255"/>
      <c r="J191" s="272" t="str">
        <f>IF(IFERROR(SEARCH(".",J189),0)=0,CONCATENATE(J189,".",1),IF(IFERROR(SEARCH(".",J189),0)&gt;1,CONCATENATE(IFERROR(LEFT(J189,IFERROR(SEARCH(".",J189),0)-1),0),".",IFERROR(RIGHT(J189,LEN(J189)-IFERROR(SEARCH(".",J189),0)),0)+1),0))</f>
        <v>11.2</v>
      </c>
      <c r="K191" s="2" t="s">
        <v>200</v>
      </c>
      <c r="L191" s="7"/>
      <c r="M191" s="7"/>
      <c r="O191" s="467" t="str">
        <f>CONCATENATE(J191,". ",K191,$K$17)</f>
        <v>11.2. Autorização do MAPA/ANVISA ou entidades delegadas/conveniadas; (se em operação)------------------------------------------------------------------------------------------------------------------------------------------------------------------------</v>
      </c>
      <c r="P191" s="467"/>
      <c r="Q191" s="467"/>
      <c r="R191" s="467"/>
      <c r="S191" s="467"/>
      <c r="T191" s="467"/>
      <c r="U191" s="467"/>
      <c r="V191" s="467"/>
      <c r="W191" s="467"/>
      <c r="X191" s="467"/>
      <c r="Y191" s="467"/>
      <c r="Z191" s="467"/>
      <c r="AA191" s="467"/>
      <c r="AB191" s="9"/>
      <c r="AC191" s="191"/>
      <c r="AD191" s="162"/>
      <c r="AE191" s="166"/>
      <c r="AF191" s="7"/>
      <c r="AG191" s="80"/>
      <c r="AK191" s="160"/>
      <c r="AM191" s="255">
        <v>1</v>
      </c>
      <c r="AN191" s="271">
        <f t="shared" ref="AN191" si="349">IF(AND(AC191&lt;&gt;"",AE191&lt;&gt;""),4,IF($AC$187&lt;&gt;"",3,IF(AC191&lt;&gt;"",1,IF(AE191&lt;&gt;"",2,0))))</f>
        <v>0</v>
      </c>
      <c r="AO191" s="255" t="str">
        <f t="shared" ref="AO191" si="350">IF(AND(AE191="",AN191=2),"",IF(AND(AE191="",AN191&lt;&gt;3),"X",""))</f>
        <v>X</v>
      </c>
      <c r="AP191" s="188">
        <f t="shared" ref="AP191" si="351">IF(AND(AC191&lt;&gt;"",AE191&lt;&gt;""),1,IF(AND(AE191="",AN191=2),1,IF(OR(AN191&lt;&gt;0),0,1)))</f>
        <v>1</v>
      </c>
      <c r="AQ191" s="255">
        <f ca="1">SUM($AP$21:OFFSET(AQ191,-2,-1))</f>
        <v>75</v>
      </c>
      <c r="AR191" s="13" t="str">
        <f t="shared" ref="AR191" ca="1" si="352">IF(AND(AC191="",AQ191=0),AS191,"XX")</f>
        <v>XX</v>
      </c>
      <c r="AS191" s="255">
        <f>MAX($AE$21:AE189)</f>
        <v>0</v>
      </c>
      <c r="AT191" s="255">
        <f>IF(SUM(AE193:$AE$259)&gt;0,MIN(AE193:$AE$259),10000)</f>
        <v>10000</v>
      </c>
      <c r="AU191" s="78"/>
      <c r="AV191" s="78"/>
      <c r="AW191" s="13">
        <f t="shared" ref="AW191" si="353">IF(AND(AC191&lt;&gt;"",AE191&lt;&gt;""),4,0)</f>
        <v>0</v>
      </c>
      <c r="AX191" s="78" t="e">
        <f ca="1">IF(AND(AN191&lt;&gt;1,AN191&lt;&gt;3,AN191&lt;&gt;4),AR191+1,XX)</f>
        <v>#VALUE!</v>
      </c>
      <c r="AY191" s="78">
        <f>IF(AND(AN191&lt;&gt;1,AN191&lt;&gt;3,AN191&lt;&gt;4),AT191-1,XX)</f>
        <v>9999</v>
      </c>
    </row>
    <row r="192" spans="1:51" ht="3" customHeight="1">
      <c r="B192" s="255"/>
      <c r="J192" s="274"/>
      <c r="L192" s="7"/>
      <c r="M192" s="7"/>
      <c r="O192" s="36"/>
      <c r="P192" s="36"/>
      <c r="Q192" s="36"/>
      <c r="R192" s="36"/>
      <c r="S192" s="36"/>
      <c r="T192" s="36"/>
      <c r="U192" s="36"/>
      <c r="V192" s="36"/>
      <c r="W192" s="36"/>
      <c r="X192" s="36"/>
      <c r="Y192" s="36"/>
      <c r="Z192" s="36"/>
      <c r="AA192" s="36"/>
      <c r="AB192" s="9"/>
      <c r="AC192" s="164"/>
      <c r="AD192" s="162"/>
      <c r="AE192" s="165"/>
      <c r="AF192" s="7"/>
      <c r="AG192" s="255"/>
      <c r="AK192" s="160"/>
      <c r="AS192" s="171"/>
      <c r="AT192" s="171"/>
      <c r="AU192" s="160"/>
      <c r="AX192" s="6"/>
      <c r="AY192" s="6"/>
    </row>
    <row r="193" spans="1:51" ht="14.25" customHeight="1">
      <c r="B193" s="255"/>
      <c r="J193" s="272" t="str">
        <f>IF(IFERROR(SEARCH(".",J191),0)=0,CONCATENATE(J191,".",1),IF(IFERROR(SEARCH(".",J191),0)&gt;1,CONCATENATE(IFERROR(LEFT(J191,IFERROR(SEARCH(".",J191),0)-1),0),".",IFERROR(RIGHT(J191,LEN(J191)-IFERROR(SEARCH(".",J191),0)),0)+1),0))</f>
        <v>11.3</v>
      </c>
      <c r="K193" s="2" t="s">
        <v>498</v>
      </c>
      <c r="L193" s="7"/>
      <c r="M193" s="7"/>
      <c r="O193" s="467" t="str">
        <f>CONCATENATE(J193,". ",K193,$K$17)</f>
        <v>11.3. SIF ou SIE ou SIM; (se em operação)------------------------------------------------------------------------------------------------------------------------------------------------------------------------</v>
      </c>
      <c r="P193" s="467"/>
      <c r="Q193" s="467"/>
      <c r="R193" s="467"/>
      <c r="S193" s="467"/>
      <c r="T193" s="467"/>
      <c r="U193" s="467"/>
      <c r="V193" s="467"/>
      <c r="W193" s="467"/>
      <c r="X193" s="467"/>
      <c r="Y193" s="467"/>
      <c r="Z193" s="467"/>
      <c r="AA193" s="467"/>
      <c r="AB193" s="9"/>
      <c r="AC193" s="191"/>
      <c r="AD193" s="162"/>
      <c r="AE193" s="166"/>
      <c r="AF193" s="7"/>
      <c r="AG193" s="80"/>
      <c r="AK193" s="160"/>
      <c r="AM193" s="255">
        <v>1</v>
      </c>
      <c r="AN193" s="271">
        <f t="shared" ref="AN193" si="354">IF(AND(AC193&lt;&gt;"",AE193&lt;&gt;""),4,IF($AC$187&lt;&gt;"",3,IF(AC193&lt;&gt;"",1,IF(AE193&lt;&gt;"",2,0))))</f>
        <v>0</v>
      </c>
      <c r="AO193" s="255" t="str">
        <f t="shared" ref="AO193" si="355">IF(AND(AE193="",AN193=2),"",IF(AND(AE193="",AN193&lt;&gt;3),"X",""))</f>
        <v>X</v>
      </c>
      <c r="AP193" s="188">
        <f t="shared" ref="AP193" si="356">IF(AND(AC193&lt;&gt;"",AE193&lt;&gt;""),1,IF(AND(AE193="",AN193=2),1,IF(OR(AN193&lt;&gt;0),0,1)))</f>
        <v>1</v>
      </c>
      <c r="AQ193" s="255">
        <f ca="1">SUM($AP$21:OFFSET(AQ193,-2,-1))</f>
        <v>76</v>
      </c>
      <c r="AR193" s="13" t="str">
        <f t="shared" ref="AR193" ca="1" si="357">IF(AND(AC193="",AQ193=0),AS193,"XX")</f>
        <v>XX</v>
      </c>
      <c r="AS193" s="255">
        <f>MAX($AE$21:AE191)</f>
        <v>0</v>
      </c>
      <c r="AT193" s="255">
        <f>IF(SUM(AE195:$AE$259)&gt;0,MIN(AE195:$AE$259),10000)</f>
        <v>10000</v>
      </c>
      <c r="AU193" s="78"/>
      <c r="AV193" s="78"/>
      <c r="AW193" s="13">
        <f t="shared" ref="AW193" si="358">IF(AND(AC193&lt;&gt;"",AE193&lt;&gt;""),4,0)</f>
        <v>0</v>
      </c>
      <c r="AX193" s="78" t="e">
        <f ca="1">IF(AND(AN193&lt;&gt;1,AN193&lt;&gt;3,AN193&lt;&gt;4),AR193+1,XX)</f>
        <v>#VALUE!</v>
      </c>
      <c r="AY193" s="78">
        <f>IF(AND(AN193&lt;&gt;1,AN193&lt;&gt;3,AN193&lt;&gt;4),AT193-1,XX)</f>
        <v>9999</v>
      </c>
    </row>
    <row r="194" spans="1:51" ht="3" customHeight="1">
      <c r="B194" s="255"/>
      <c r="J194" s="274"/>
      <c r="L194" s="7"/>
      <c r="M194" s="7"/>
      <c r="O194" s="36"/>
      <c r="P194" s="36"/>
      <c r="Q194" s="36"/>
      <c r="R194" s="36"/>
      <c r="S194" s="36"/>
      <c r="T194" s="36"/>
      <c r="U194" s="36"/>
      <c r="V194" s="36"/>
      <c r="W194" s="36"/>
      <c r="X194" s="36"/>
      <c r="Y194" s="36"/>
      <c r="Z194" s="36"/>
      <c r="AA194" s="36"/>
      <c r="AB194" s="9"/>
      <c r="AC194" s="164"/>
      <c r="AD194" s="162"/>
      <c r="AE194" s="165"/>
      <c r="AF194" s="7"/>
      <c r="AG194" s="25"/>
      <c r="AK194" s="160"/>
      <c r="AS194" s="171"/>
      <c r="AT194" s="171"/>
      <c r="AU194" s="160"/>
      <c r="AX194" s="6"/>
      <c r="AY194" s="6"/>
    </row>
    <row r="195" spans="1:51" ht="14.25" customHeight="1">
      <c r="B195" s="255"/>
      <c r="J195" s="284">
        <f>J187+1</f>
        <v>12</v>
      </c>
      <c r="K195" s="2" t="s">
        <v>154</v>
      </c>
      <c r="L195" s="7"/>
      <c r="M195" s="7"/>
      <c r="O195" s="454" t="str">
        <f>CONCATENATE(J195,". ",K195)</f>
        <v>12. Se Empresa de Transporte Aquaviário:</v>
      </c>
      <c r="P195" s="454"/>
      <c r="Q195" s="454"/>
      <c r="R195" s="454"/>
      <c r="S195" s="454"/>
      <c r="T195" s="454"/>
      <c r="U195" s="454"/>
      <c r="V195" s="454"/>
      <c r="W195" s="454"/>
      <c r="X195" s="454"/>
      <c r="Y195" s="454"/>
      <c r="Z195" s="454"/>
      <c r="AA195" s="454"/>
      <c r="AB195" s="9"/>
      <c r="AC195" s="191"/>
      <c r="AD195" s="162"/>
      <c r="AE195" s="136" t="s">
        <v>389</v>
      </c>
      <c r="AF195" s="7"/>
      <c r="AK195" s="160"/>
      <c r="AM195" s="255"/>
      <c r="AN195" s="283">
        <f>IF(OR(AE197&lt;&gt;"",AE199&lt;&gt;"",AE201&lt;&gt;"",AC197&lt;&gt;"",AC199&lt;&gt;"",AC201&lt;&gt;""),3,0)</f>
        <v>0</v>
      </c>
      <c r="AO195" s="255" t="str">
        <f>IF(AND(AE195="-",AN195=2),"",IF(AND(AE195="-",AN195&lt;&gt;3),"X",""))</f>
        <v>X</v>
      </c>
      <c r="AP195" s="188"/>
      <c r="AQ195" s="255"/>
      <c r="AR195" s="13"/>
      <c r="AS195" s="255"/>
      <c r="AT195" s="255"/>
      <c r="AU195" s="78"/>
      <c r="AV195" s="78"/>
      <c r="AW195" s="13"/>
      <c r="AX195" s="78"/>
      <c r="AY195" s="78"/>
    </row>
    <row r="196" spans="1:51" ht="3" customHeight="1">
      <c r="B196" s="255"/>
      <c r="J196" s="274"/>
      <c r="L196" s="7"/>
      <c r="M196" s="7"/>
      <c r="O196" s="36"/>
      <c r="P196" s="36"/>
      <c r="Q196" s="36"/>
      <c r="R196" s="36"/>
      <c r="S196" s="36"/>
      <c r="T196" s="36"/>
      <c r="U196" s="36"/>
      <c r="V196" s="36"/>
      <c r="W196" s="36"/>
      <c r="X196" s="36"/>
      <c r="Y196" s="36"/>
      <c r="Z196" s="36"/>
      <c r="AA196" s="36"/>
      <c r="AB196" s="9"/>
      <c r="AC196" s="164"/>
      <c r="AD196" s="162"/>
      <c r="AE196" s="165"/>
      <c r="AF196" s="7"/>
      <c r="AG196" s="255"/>
      <c r="AK196" s="160"/>
      <c r="AS196" s="171"/>
      <c r="AT196" s="171"/>
      <c r="AU196" s="160"/>
      <c r="AX196" s="6"/>
      <c r="AY196" s="6"/>
    </row>
    <row r="197" spans="1:51" ht="14.25" customHeight="1">
      <c r="B197" s="255"/>
      <c r="J197" s="272" t="str">
        <f>IF(IFERROR(SEARCH(".",J195),0)=0,CONCATENATE(J195,".",1),IF(IFERROR(SEARCH(".",J195),0)&gt;1,CONCATENATE(IFERROR(LEFT(J195,IFERROR(SEARCH(".",J195),0)-1),0),".",IFERROR(RIGHT(J195,LEN(J195)-IFERROR(SEARCH(".",J195),0)),0)+1),0))</f>
        <v>12.1</v>
      </c>
      <c r="K197" s="2" t="s">
        <v>355</v>
      </c>
      <c r="L197" s="7"/>
      <c r="M197" s="7"/>
      <c r="O197" s="467" t="str">
        <f>CONCATENATE(J197,". ",K197,$K$17)</f>
        <v>12.1. Autorização da ANTAQ ou órgão regulador estadual;------------------------------------------------------------------------------------------------------------------------------------------------------------------------</v>
      </c>
      <c r="P197" s="467"/>
      <c r="Q197" s="467"/>
      <c r="R197" s="467"/>
      <c r="S197" s="467"/>
      <c r="T197" s="467"/>
      <c r="U197" s="467"/>
      <c r="V197" s="467"/>
      <c r="W197" s="467"/>
      <c r="X197" s="467"/>
      <c r="Y197" s="467"/>
      <c r="Z197" s="467"/>
      <c r="AA197" s="467"/>
      <c r="AB197" s="467"/>
      <c r="AC197" s="467"/>
      <c r="AD197" s="162"/>
      <c r="AE197" s="166"/>
      <c r="AF197" s="7"/>
      <c r="AG197" s="80"/>
      <c r="AK197" s="160"/>
      <c r="AM197" s="255">
        <v>1</v>
      </c>
      <c r="AN197" s="271">
        <f>IF(AND(AC197&lt;&gt;"",AE197&lt;&gt;""),4,IF($AC$195&lt;&gt;"",3,IF(AC197&lt;&gt;"",1,IF(AE197&lt;&gt;"",2,0))))</f>
        <v>0</v>
      </c>
      <c r="AO197" s="255" t="str">
        <f t="shared" ref="AO197" si="359">IF(AND(AE197="",AN197=2),"",IF(AND(AE197="",AN197&lt;&gt;3),"X",""))</f>
        <v>X</v>
      </c>
      <c r="AP197" s="188">
        <f t="shared" ref="AP197" si="360">IF(AND(AC197&lt;&gt;"",AE197&lt;&gt;""),1,IF(AND(AE197="",AN197=2),1,IF(OR(AN197&lt;&gt;0),0,1)))</f>
        <v>1</v>
      </c>
      <c r="AQ197" s="255">
        <f ca="1">SUM($AP$21:OFFSET(AQ197,-2,-1))</f>
        <v>77</v>
      </c>
      <c r="AR197" s="13" t="str">
        <f t="shared" ref="AR197" ca="1" si="361">IF(AND(AC197="",AQ197=0),AS197,"XX")</f>
        <v>XX</v>
      </c>
      <c r="AS197" s="255">
        <f>MAX($AE$21:AE195)</f>
        <v>0</v>
      </c>
      <c r="AT197" s="255">
        <f>IF(SUM(AE199:$AE$259)&gt;0,MIN(AE199:$AE$259),10000)</f>
        <v>10000</v>
      </c>
      <c r="AU197" s="78"/>
      <c r="AV197" s="78"/>
      <c r="AW197" s="13">
        <f t="shared" ref="AW197" si="362">IF(AND(AC197&lt;&gt;"",AE197&lt;&gt;""),4,0)</f>
        <v>0</v>
      </c>
      <c r="AX197" s="78" t="e">
        <f ca="1">IF(AND(AN197&lt;&gt;1,AN197&lt;&gt;3,AN197&lt;&gt;4),AR197+1,XX)</f>
        <v>#VALUE!</v>
      </c>
      <c r="AY197" s="78">
        <f>IF(AND(AN197&lt;&gt;1,AN197&lt;&gt;3,AN197&lt;&gt;4),AT197-1,XX)</f>
        <v>9999</v>
      </c>
    </row>
    <row r="198" spans="1:51" s="6" customFormat="1" ht="3" customHeight="1">
      <c r="A198" s="255"/>
      <c r="B198" s="255"/>
      <c r="J198" s="274"/>
      <c r="L198" s="28"/>
      <c r="M198" s="28"/>
      <c r="O198" s="36"/>
      <c r="P198" s="36"/>
      <c r="Q198" s="36"/>
      <c r="R198" s="36"/>
      <c r="S198" s="36"/>
      <c r="T198" s="36"/>
      <c r="U198" s="36"/>
      <c r="V198" s="36"/>
      <c r="W198" s="36"/>
      <c r="X198" s="36"/>
      <c r="Y198" s="36"/>
      <c r="Z198" s="36"/>
      <c r="AA198" s="36"/>
      <c r="AB198" s="9"/>
      <c r="AC198" s="164"/>
      <c r="AD198" s="162"/>
      <c r="AE198" s="165"/>
      <c r="AF198" s="28"/>
      <c r="AG198" s="255"/>
      <c r="AJ198" s="160"/>
      <c r="AK198" s="160"/>
      <c r="AL198" s="172"/>
      <c r="AM198" s="160"/>
      <c r="AN198" s="160"/>
      <c r="AO198" s="160"/>
      <c r="AP198" s="160"/>
      <c r="AQ198" s="160"/>
      <c r="AR198" s="160"/>
      <c r="AS198" s="171"/>
      <c r="AT198" s="171"/>
      <c r="AU198" s="160"/>
      <c r="AV198" s="161"/>
      <c r="AW198" s="161"/>
    </row>
    <row r="199" spans="1:51" ht="14.25" customHeight="1">
      <c r="B199" s="255"/>
      <c r="J199" s="272" t="str">
        <f>IF(IFERROR(SEARCH(".",J197),0)=0,CONCATENATE(J197,".",1),IF(IFERROR(SEARCH(".",J197),0)&gt;1,CONCATENATE(IFERROR(LEFT(J197,IFERROR(SEARCH(".",J197),0)-1),0),".",IFERROR(RIGHT(J197,LEN(J197)-IFERROR(SEARCH(".",J197),0)),0)+1),0))</f>
        <v>12.2</v>
      </c>
      <c r="K199" s="2" t="s">
        <v>118</v>
      </c>
      <c r="L199" s="7"/>
      <c r="M199" s="7"/>
      <c r="O199" s="467" t="str">
        <f>CONCATENATE(J199,". ",K199,$K$17)</f>
        <v>12.2. Autorização Ambiental de Transporte Interestadual de Produtos Perigosos  - expedida pelo IBAMA;------------------------------------------------------------------------------------------------------------------------------------------------------------------------</v>
      </c>
      <c r="P199" s="467"/>
      <c r="Q199" s="467"/>
      <c r="R199" s="467"/>
      <c r="S199" s="467"/>
      <c r="T199" s="467"/>
      <c r="U199" s="467"/>
      <c r="V199" s="467"/>
      <c r="W199" s="467"/>
      <c r="X199" s="467"/>
      <c r="Y199" s="467"/>
      <c r="Z199" s="467"/>
      <c r="AA199" s="467"/>
      <c r="AB199" s="9"/>
      <c r="AC199" s="191"/>
      <c r="AD199" s="162"/>
      <c r="AE199" s="166"/>
      <c r="AF199" s="7"/>
      <c r="AG199" s="80"/>
      <c r="AK199" s="160"/>
      <c r="AM199" s="255">
        <v>1</v>
      </c>
      <c r="AN199" s="271">
        <f t="shared" ref="AN199" si="363">IF(AND(AC199&lt;&gt;"",AE199&lt;&gt;""),4,IF($AC$195&lt;&gt;"",3,IF(AC199&lt;&gt;"",1,IF(AE199&lt;&gt;"",2,0))))</f>
        <v>0</v>
      </c>
      <c r="AO199" s="255" t="str">
        <f t="shared" ref="AO199" si="364">IF(AND(AE199="",AN199=2),"",IF(AND(AE199="",AN199&lt;&gt;3),"X",""))</f>
        <v>X</v>
      </c>
      <c r="AP199" s="188">
        <f t="shared" ref="AP199" si="365">IF(AND(AC199&lt;&gt;"",AE199&lt;&gt;""),1,IF(AND(AE199="",AN199=2),1,IF(OR(AN199&lt;&gt;0),0,1)))</f>
        <v>1</v>
      </c>
      <c r="AQ199" s="255">
        <f ca="1">SUM($AP$21:OFFSET(AQ199,-2,-1))</f>
        <v>78</v>
      </c>
      <c r="AR199" s="13" t="str">
        <f t="shared" ref="AR199" ca="1" si="366">IF(AND(AC199="",AQ199=0),AS199,"XX")</f>
        <v>XX</v>
      </c>
      <c r="AS199" s="255">
        <f>MAX($AE$21:AE197)</f>
        <v>0</v>
      </c>
      <c r="AT199" s="255">
        <f>IF(SUM(AE201:$AE$259)&gt;0,MIN(AE201:$AE$259),10000)</f>
        <v>10000</v>
      </c>
      <c r="AU199" s="78"/>
      <c r="AV199" s="78"/>
      <c r="AW199" s="13">
        <f t="shared" ref="AW199" si="367">IF(AND(AC199&lt;&gt;"",AE199&lt;&gt;""),4,0)</f>
        <v>0</v>
      </c>
      <c r="AX199" s="78" t="e">
        <f ca="1">IF(AND(AN199&lt;&gt;1,AN199&lt;&gt;3,AN199&lt;&gt;4),AR199+1,XX)</f>
        <v>#VALUE!</v>
      </c>
      <c r="AY199" s="78">
        <f>IF(AND(AN199&lt;&gt;1,AN199&lt;&gt;3,AN199&lt;&gt;4),AT199-1,XX)</f>
        <v>9999</v>
      </c>
    </row>
    <row r="200" spans="1:51" ht="3" customHeight="1">
      <c r="B200" s="255"/>
      <c r="J200" s="274"/>
      <c r="L200" s="7"/>
      <c r="M200" s="7"/>
      <c r="O200" s="36"/>
      <c r="P200" s="36"/>
      <c r="Q200" s="36"/>
      <c r="R200" s="36"/>
      <c r="S200" s="36"/>
      <c r="T200" s="36"/>
      <c r="U200" s="36"/>
      <c r="V200" s="36"/>
      <c r="W200" s="36"/>
      <c r="X200" s="36"/>
      <c r="Y200" s="36"/>
      <c r="Z200" s="36"/>
      <c r="AA200" s="36"/>
      <c r="AB200" s="9"/>
      <c r="AC200" s="120"/>
      <c r="AD200" s="162"/>
      <c r="AE200" s="120"/>
      <c r="AF200" s="7"/>
      <c r="AG200" s="255"/>
      <c r="AK200" s="160"/>
      <c r="AS200" s="171"/>
      <c r="AT200" s="171"/>
      <c r="AU200" s="160"/>
      <c r="AX200" s="6"/>
      <c r="AY200" s="6"/>
    </row>
    <row r="201" spans="1:51" ht="14.25" customHeight="1">
      <c r="B201" s="255"/>
      <c r="J201" s="272" t="str">
        <f>IF(IFERROR(SEARCH(".",J199),0)=0,CONCATENATE(J199,".",1),IF(IFERROR(SEARCH(".",J199),0)&gt;1,CONCATENATE(IFERROR(LEFT(J199,IFERROR(SEARCH(".",J199),0)-1),0),".",IFERROR(RIGHT(J199,LEN(J199)-IFERROR(SEARCH(".",J199),0)),0)+1),0))</f>
        <v>12.3</v>
      </c>
      <c r="K201" s="2" t="s">
        <v>368</v>
      </c>
      <c r="L201" s="7"/>
      <c r="M201" s="7"/>
      <c r="O201" s="467" t="str">
        <f>CONCATENATE(J201,". ",K201,$K$17)</f>
        <v>12.3. Certificado de Armador emitido pelo Tribunal Marítimo;------------------------------------------------------------------------------------------------------------------------------------------------------------------------</v>
      </c>
      <c r="P201" s="467"/>
      <c r="Q201" s="467"/>
      <c r="R201" s="467"/>
      <c r="S201" s="467"/>
      <c r="T201" s="467"/>
      <c r="U201" s="467"/>
      <c r="V201" s="467"/>
      <c r="W201" s="467"/>
      <c r="X201" s="467"/>
      <c r="Y201" s="467"/>
      <c r="Z201" s="467"/>
      <c r="AA201" s="467"/>
      <c r="AB201" s="467"/>
      <c r="AC201" s="467"/>
      <c r="AD201" s="162"/>
      <c r="AE201" s="166"/>
      <c r="AF201" s="7"/>
      <c r="AG201" s="80"/>
      <c r="AK201" s="160"/>
      <c r="AM201" s="255">
        <v>1</v>
      </c>
      <c r="AN201" s="271">
        <f t="shared" ref="AN201" si="368">IF(AND(AC201&lt;&gt;"",AE201&lt;&gt;""),4,IF($AC$195&lt;&gt;"",3,IF(AC201&lt;&gt;"",1,IF(AE201&lt;&gt;"",2,0))))</f>
        <v>0</v>
      </c>
      <c r="AO201" s="255" t="str">
        <f t="shared" ref="AO201" si="369">IF(AND(AE201="",AN201=2),"",IF(AND(AE201="",AN201&lt;&gt;3),"X",""))</f>
        <v>X</v>
      </c>
      <c r="AP201" s="188">
        <f t="shared" ref="AP201" si="370">IF(AND(AC201&lt;&gt;"",AE201&lt;&gt;""),1,IF(AND(AE201="",AN201=2),1,IF(OR(AN201&lt;&gt;0),0,1)))</f>
        <v>1</v>
      </c>
      <c r="AQ201" s="255">
        <f ca="1">SUM($AP$21:OFFSET(AQ201,-2,-1))</f>
        <v>79</v>
      </c>
      <c r="AR201" s="13" t="str">
        <f t="shared" ref="AR201" ca="1" si="371">IF(AND(AC201="",AQ201=0),AS201,"XX")</f>
        <v>XX</v>
      </c>
      <c r="AS201" s="255">
        <f>MAX($AE$21:AE199)</f>
        <v>0</v>
      </c>
      <c r="AT201" s="255">
        <f>IF(SUM(AE203:$AE$259)&gt;0,MIN(AE203:$AE$259),10000)</f>
        <v>10000</v>
      </c>
      <c r="AU201" s="78"/>
      <c r="AV201" s="78"/>
      <c r="AW201" s="13">
        <f t="shared" ref="AW201" si="372">IF(AND(AC201&lt;&gt;"",AE201&lt;&gt;""),4,0)</f>
        <v>0</v>
      </c>
      <c r="AX201" s="78" t="e">
        <f ca="1">IF(AND(AN201&lt;&gt;1,AN201&lt;&gt;3,AN201&lt;&gt;4),AR201+1,XX)</f>
        <v>#VALUE!</v>
      </c>
      <c r="AY201" s="78">
        <f>IF(AND(AN201&lt;&gt;1,AN201&lt;&gt;3,AN201&lt;&gt;4),AT201-1,XX)</f>
        <v>9999</v>
      </c>
    </row>
    <row r="202" spans="1:51" ht="3" customHeight="1">
      <c r="B202" s="255"/>
      <c r="J202" s="274"/>
      <c r="L202" s="7"/>
      <c r="M202" s="7"/>
      <c r="O202" s="36"/>
      <c r="P202" s="36"/>
      <c r="Q202" s="36"/>
      <c r="R202" s="36"/>
      <c r="S202" s="36"/>
      <c r="T202" s="36"/>
      <c r="U202" s="36"/>
      <c r="V202" s="36"/>
      <c r="W202" s="36"/>
      <c r="X202" s="36"/>
      <c r="Y202" s="36"/>
      <c r="Z202" s="36"/>
      <c r="AA202" s="36"/>
      <c r="AB202" s="9"/>
      <c r="AC202" s="164"/>
      <c r="AD202" s="162"/>
      <c r="AE202" s="165"/>
      <c r="AF202" s="7"/>
      <c r="AK202" s="160"/>
      <c r="AS202" s="171"/>
      <c r="AT202" s="171"/>
      <c r="AU202" s="160"/>
      <c r="AX202" s="6"/>
      <c r="AY202" s="6"/>
    </row>
    <row r="203" spans="1:51" ht="14.25" customHeight="1">
      <c r="B203" s="255"/>
      <c r="J203" s="284">
        <f>J195+1</f>
        <v>13</v>
      </c>
      <c r="K203" s="2" t="s">
        <v>215</v>
      </c>
      <c r="L203" s="7"/>
      <c r="M203" s="7"/>
      <c r="O203" s="454" t="str">
        <f>CONCATENATE(J203,". ",K203)</f>
        <v>13. Se Embarcação Existente:</v>
      </c>
      <c r="P203" s="454"/>
      <c r="Q203" s="454"/>
      <c r="R203" s="454"/>
      <c r="S203" s="454"/>
      <c r="T203" s="454"/>
      <c r="U203" s="454"/>
      <c r="V203" s="454"/>
      <c r="W203" s="454"/>
      <c r="X203" s="454"/>
      <c r="Y203" s="454"/>
      <c r="Z203" s="454"/>
      <c r="AA203" s="454"/>
      <c r="AB203" s="9"/>
      <c r="AC203" s="191"/>
      <c r="AD203" s="162"/>
      <c r="AE203" s="136" t="s">
        <v>389</v>
      </c>
      <c r="AF203" s="7"/>
      <c r="AK203" s="160"/>
      <c r="AM203" s="255"/>
      <c r="AN203" s="283">
        <f>IF(OR(AE205&lt;&gt;"",AE207&lt;&gt;"",AE209&lt;&gt;"",AE211&lt;&gt;"",AE213&lt;&gt;"",AE215&lt;&gt;"",AE217&lt;&gt;"",AE219&lt;&gt;"",AE221&lt;&gt;"",AE223&lt;&gt;"",AE225&lt;&gt;"",AC205&lt;&gt;"",AC207&lt;&gt;"",AC209&lt;&gt;"",AC211&lt;&gt;"",AC213&lt;&gt;"",AC215&lt;&gt;"",AC217&lt;&gt;"",AC219&lt;&gt;"",AC221&lt;&gt;"",AC223&lt;&gt;"",AC225&lt;&gt;""),3,0)</f>
        <v>0</v>
      </c>
      <c r="AO203" s="255" t="str">
        <f>IF(AND(AE203="-",AN203=2),"",IF(AND(AE203="-",AN203&lt;&gt;3),"X",""))</f>
        <v>X</v>
      </c>
      <c r="AP203" s="188"/>
      <c r="AQ203" s="255"/>
      <c r="AR203" s="13"/>
      <c r="AS203" s="255"/>
      <c r="AT203" s="255"/>
      <c r="AU203" s="78"/>
      <c r="AV203" s="78"/>
      <c r="AW203" s="13"/>
      <c r="AX203" s="78"/>
      <c r="AY203" s="78"/>
    </row>
    <row r="204" spans="1:51" ht="3" customHeight="1">
      <c r="B204" s="255"/>
      <c r="J204" s="274"/>
      <c r="L204" s="7"/>
      <c r="M204" s="7"/>
      <c r="O204" s="36"/>
      <c r="P204" s="36"/>
      <c r="Q204" s="36"/>
      <c r="R204" s="36"/>
      <c r="S204" s="36"/>
      <c r="T204" s="36"/>
      <c r="U204" s="36"/>
      <c r="V204" s="36"/>
      <c r="W204" s="36"/>
      <c r="X204" s="36"/>
      <c r="Y204" s="36"/>
      <c r="Z204" s="36"/>
      <c r="AA204" s="36"/>
      <c r="AB204" s="9"/>
      <c r="AC204" s="164"/>
      <c r="AD204" s="162"/>
      <c r="AE204" s="165"/>
      <c r="AF204" s="7"/>
      <c r="AK204" s="160"/>
      <c r="AS204" s="171"/>
      <c r="AT204" s="171"/>
      <c r="AU204" s="160"/>
      <c r="AX204" s="6"/>
      <c r="AY204" s="6"/>
    </row>
    <row r="205" spans="1:51" ht="14.25" customHeight="1">
      <c r="B205" s="255"/>
      <c r="J205" s="272" t="str">
        <f>IF(IFERROR(SEARCH(".",J203),0)=0,CONCATENATE(J203,".",1),IF(IFERROR(SEARCH(".",J203),0)&gt;1,CONCATENATE(IFERROR(LEFT(J203,IFERROR(SEARCH(".",J203),0)-1),0),".",IFERROR(RIGHT(J203,LEN(J203)-IFERROR(SEARCH(".",J203),0)),0)+1),0))</f>
        <v>13.1</v>
      </c>
      <c r="K205" s="2" t="s">
        <v>228</v>
      </c>
      <c r="L205" s="7"/>
      <c r="M205" s="7"/>
      <c r="O205" s="479" t="str">
        <f>CONCATENATE(J205,". ",K205,$K$17)</f>
        <v>13.1. Licença da própria embarcação;------------------------------------------------------------------------------------------------------------------------------------------------------------------------</v>
      </c>
      <c r="P205" s="479"/>
      <c r="Q205" s="479"/>
      <c r="R205" s="479"/>
      <c r="S205" s="479"/>
      <c r="T205" s="479"/>
      <c r="U205" s="479"/>
      <c r="V205" s="479"/>
      <c r="W205" s="479"/>
      <c r="X205" s="479"/>
      <c r="Y205" s="479"/>
      <c r="Z205" s="479"/>
      <c r="AA205" s="479"/>
      <c r="AB205" s="479"/>
      <c r="AC205" s="479"/>
      <c r="AD205" s="162"/>
      <c r="AE205" s="166"/>
      <c r="AF205" s="7"/>
      <c r="AG205" s="80"/>
      <c r="AK205" s="160"/>
      <c r="AM205" s="255">
        <v>1</v>
      </c>
      <c r="AN205" s="271">
        <f>IF(AND(AC205&lt;&gt;"",AE205&lt;&gt;""),4,IF($AC$203&lt;&gt;"",3,IF(AC205&lt;&gt;"",1,IF(AE205&lt;&gt;"",2,0))))</f>
        <v>0</v>
      </c>
      <c r="AO205" s="255" t="str">
        <f t="shared" ref="AO205" si="373">IF(AND(AE205="",AN205=2),"",IF(AND(AE205="",AN205&lt;&gt;3),"X",""))</f>
        <v>X</v>
      </c>
      <c r="AP205" s="188">
        <f t="shared" ref="AP205" si="374">IF(AND(AC205&lt;&gt;"",AE205&lt;&gt;""),1,IF(AND(AE205="",AN205=2),1,IF(OR(AN205&lt;&gt;0),0,1)))</f>
        <v>1</v>
      </c>
      <c r="AQ205" s="255">
        <f ca="1">SUM($AP$21:OFFSET(AQ205,-2,-1))</f>
        <v>80</v>
      </c>
      <c r="AR205" s="13" t="str">
        <f t="shared" ref="AR205" ca="1" si="375">IF(AND(AC205="",AQ205=0),AS205,"XX")</f>
        <v>XX</v>
      </c>
      <c r="AS205" s="255">
        <f>MAX($AE$21:AE203)</f>
        <v>0</v>
      </c>
      <c r="AT205" s="255">
        <f>IF(SUM(AE207:$AE$259)&gt;0,MIN(AE207:$AE$259),10000)</f>
        <v>10000</v>
      </c>
      <c r="AU205" s="78"/>
      <c r="AV205" s="78"/>
      <c r="AW205" s="13">
        <f t="shared" ref="AW205" si="376">IF(AND(AC205&lt;&gt;"",AE205&lt;&gt;""),4,0)</f>
        <v>0</v>
      </c>
      <c r="AX205" s="78" t="e">
        <f ca="1">IF(AND(AN205&lt;&gt;1,AN205&lt;&gt;3,AN205&lt;&gt;4),AR205+1,XX)</f>
        <v>#VALUE!</v>
      </c>
      <c r="AY205" s="78">
        <f>IF(AND(AN205&lt;&gt;1,AN205&lt;&gt;3,AN205&lt;&gt;4),AT205-1,XX)</f>
        <v>9999</v>
      </c>
    </row>
    <row r="206" spans="1:51" s="6" customFormat="1" ht="3" customHeight="1">
      <c r="A206" s="255"/>
      <c r="B206" s="255"/>
      <c r="J206" s="274"/>
      <c r="L206" s="28"/>
      <c r="M206" s="28"/>
      <c r="O206" s="36"/>
      <c r="P206" s="36"/>
      <c r="Q206" s="36"/>
      <c r="R206" s="36"/>
      <c r="S206" s="36"/>
      <c r="T206" s="36"/>
      <c r="U206" s="36"/>
      <c r="V206" s="36"/>
      <c r="W206" s="36"/>
      <c r="X206" s="36"/>
      <c r="Y206" s="36"/>
      <c r="Z206" s="36"/>
      <c r="AA206" s="36"/>
      <c r="AB206" s="9"/>
      <c r="AC206" s="164"/>
      <c r="AD206" s="162"/>
      <c r="AE206" s="165"/>
      <c r="AF206" s="28"/>
      <c r="AG206" s="255"/>
      <c r="AJ206" s="160"/>
      <c r="AK206" s="160"/>
      <c r="AL206" s="160"/>
      <c r="AM206" s="160"/>
      <c r="AN206" s="160"/>
      <c r="AO206" s="160"/>
      <c r="AP206" s="160"/>
      <c r="AQ206" s="160"/>
      <c r="AR206" s="160"/>
      <c r="AS206" s="171"/>
      <c r="AT206" s="171"/>
      <c r="AU206" s="160"/>
      <c r="AV206" s="161"/>
      <c r="AW206" s="161"/>
    </row>
    <row r="207" spans="1:51" ht="14.25" customHeight="1">
      <c r="B207" s="255"/>
      <c r="J207" s="272" t="str">
        <f>IF(IFERROR(SEARCH(".",J205),0)=0,CONCATENATE(J205,".",1),IF(IFERROR(SEARCH(".",J205),0)&gt;1,CONCATENATE(IFERROR(LEFT(J205,IFERROR(SEARCH(".",J205),0)-1),0),".",IFERROR(RIGHT(J205,LEN(J205)-IFERROR(SEARCH(".",J205),0)),0)+1),0))</f>
        <v>13.2</v>
      </c>
      <c r="K207" s="2" t="s">
        <v>499</v>
      </c>
      <c r="L207" s="7"/>
      <c r="M207" s="7"/>
      <c r="O207" s="467" t="str">
        <f>CONCATENATE(J207,". ",K207,$K$17)</f>
        <v>13.2. Título de propriedade registrado no TM (se AB maior que 100), ou na Capitania dos Portos (se AB &lt; 100);------------------------------------------------------------------------------------------------------------------------------------------------------------------------</v>
      </c>
      <c r="P207" s="467"/>
      <c r="Q207" s="467"/>
      <c r="R207" s="467"/>
      <c r="S207" s="467"/>
      <c r="T207" s="467"/>
      <c r="U207" s="467"/>
      <c r="V207" s="467"/>
      <c r="W207" s="467"/>
      <c r="X207" s="467"/>
      <c r="Y207" s="467"/>
      <c r="Z207" s="467"/>
      <c r="AA207" s="467"/>
      <c r="AB207" s="467"/>
      <c r="AC207" s="467"/>
      <c r="AD207" s="162"/>
      <c r="AE207" s="166"/>
      <c r="AF207" s="7"/>
      <c r="AG207" s="80"/>
      <c r="AK207" s="160"/>
      <c r="AM207" s="255">
        <v>1</v>
      </c>
      <c r="AN207" s="271">
        <f t="shared" ref="AN207" si="377">IF(AND(AC207&lt;&gt;"",AE207&lt;&gt;""),4,IF($AC$203&lt;&gt;"",3,IF(AC207&lt;&gt;"",1,IF(AE207&lt;&gt;"",2,0))))</f>
        <v>0</v>
      </c>
      <c r="AO207" s="255" t="str">
        <f t="shared" ref="AO207" si="378">IF(AND(AE207="",AN207=2),"",IF(AND(AE207="",AN207&lt;&gt;3),"X",""))</f>
        <v>X</v>
      </c>
      <c r="AP207" s="188">
        <f t="shared" ref="AP207" si="379">IF(AND(AC207&lt;&gt;"",AE207&lt;&gt;""),1,IF(AND(AE207="",AN207=2),1,IF(OR(AN207&lt;&gt;0),0,1)))</f>
        <v>1</v>
      </c>
      <c r="AQ207" s="255">
        <f ca="1">SUM($AP$21:OFFSET(AQ207,-2,-1))</f>
        <v>81</v>
      </c>
      <c r="AR207" s="13" t="str">
        <f t="shared" ref="AR207" ca="1" si="380">IF(AND(AC207="",AQ207=0),AS207,"XX")</f>
        <v>XX</v>
      </c>
      <c r="AS207" s="255">
        <f>MAX($AE$21:AE205)</f>
        <v>0</v>
      </c>
      <c r="AT207" s="255">
        <f>IF(SUM(AE209:$AE$259)&gt;0,MIN(AE209:$AE$259),10000)</f>
        <v>10000</v>
      </c>
      <c r="AU207" s="78"/>
      <c r="AV207" s="78"/>
      <c r="AW207" s="13">
        <f t="shared" ref="AW207" si="381">IF(AND(AC207&lt;&gt;"",AE207&lt;&gt;""),4,0)</f>
        <v>0</v>
      </c>
      <c r="AX207" s="78" t="e">
        <f ca="1">IF(AND(AN207&lt;&gt;1,AN207&lt;&gt;3,AN207&lt;&gt;4),AR207+1,XX)</f>
        <v>#VALUE!</v>
      </c>
      <c r="AY207" s="78">
        <f>IF(AND(AN207&lt;&gt;1,AN207&lt;&gt;3,AN207&lt;&gt;4),AT207-1,XX)</f>
        <v>9999</v>
      </c>
    </row>
    <row r="208" spans="1:51" s="6" customFormat="1" ht="3" customHeight="1">
      <c r="A208" s="255"/>
      <c r="B208" s="255"/>
      <c r="J208" s="274"/>
      <c r="L208" s="28"/>
      <c r="M208" s="28"/>
      <c r="O208" s="36"/>
      <c r="P208" s="36"/>
      <c r="Q208" s="36"/>
      <c r="R208" s="36"/>
      <c r="S208" s="36"/>
      <c r="T208" s="36"/>
      <c r="U208" s="36"/>
      <c r="V208" s="36"/>
      <c r="W208" s="36"/>
      <c r="X208" s="36"/>
      <c r="Y208" s="36"/>
      <c r="Z208" s="36"/>
      <c r="AA208" s="36"/>
      <c r="AB208" s="9"/>
      <c r="AC208" s="164"/>
      <c r="AD208" s="162"/>
      <c r="AE208" s="165"/>
      <c r="AF208" s="28"/>
      <c r="AG208" s="25"/>
      <c r="AJ208" s="160"/>
      <c r="AK208" s="160"/>
      <c r="AL208" s="160"/>
      <c r="AM208" s="160"/>
      <c r="AN208" s="160"/>
      <c r="AO208" s="160"/>
      <c r="AP208" s="160"/>
      <c r="AQ208" s="160"/>
      <c r="AR208" s="160"/>
      <c r="AS208" s="171"/>
      <c r="AT208" s="171"/>
      <c r="AU208" s="160"/>
      <c r="AV208" s="161"/>
      <c r="AW208" s="161"/>
    </row>
    <row r="209" spans="1:51" ht="14.25" customHeight="1">
      <c r="B209" s="255"/>
      <c r="J209" s="272" t="str">
        <f>IF(IFERROR(SEARCH(".",J207),0)=0,CONCATENATE(J207,".",1),IF(IFERROR(SEARCH(".",J207),0)&gt;1,CONCATENATE(IFERROR(LEFT(J207,IFERROR(SEARCH(".",J207),0)-1),0),".",IFERROR(RIGHT(J207,LEN(J207)-IFERROR(SEARCH(".",J207),0)),0)+1),0))</f>
        <v>13.3</v>
      </c>
      <c r="K209" s="2" t="s">
        <v>500</v>
      </c>
      <c r="L209" s="7"/>
      <c r="M209" s="7"/>
      <c r="O209" s="467" t="str">
        <f>CONCATENATE(J209,". ",K209,$K$17)</f>
        <v>13.3. Certidão negativa de ônus sobre a embarcação - fornecida pelo TM (se AB &gt; 100) ou no CM (se AB &lt; 100)------------------------------------------------------------------------------------------------------------------------------------------------------------------------</v>
      </c>
      <c r="P209" s="467"/>
      <c r="Q209" s="467"/>
      <c r="R209" s="467"/>
      <c r="S209" s="467"/>
      <c r="T209" s="467"/>
      <c r="U209" s="467"/>
      <c r="V209" s="467"/>
      <c r="W209" s="467"/>
      <c r="X209" s="467"/>
      <c r="Y209" s="467"/>
      <c r="Z209" s="467"/>
      <c r="AA209" s="467"/>
      <c r="AB209" s="467"/>
      <c r="AC209" s="467"/>
      <c r="AD209" s="162"/>
      <c r="AE209" s="166"/>
      <c r="AF209" s="7"/>
      <c r="AG209" s="80"/>
      <c r="AK209" s="160"/>
      <c r="AM209" s="255">
        <v>1</v>
      </c>
      <c r="AN209" s="271">
        <f t="shared" ref="AN209" si="382">IF(AND(AC209&lt;&gt;"",AE209&lt;&gt;""),4,IF($AC$203&lt;&gt;"",3,IF(AC209&lt;&gt;"",1,IF(AE209&lt;&gt;"",2,0))))</f>
        <v>0</v>
      </c>
      <c r="AO209" s="255" t="str">
        <f t="shared" ref="AO209" si="383">IF(AND(AE209="",AN209=2),"",IF(AND(AE209="",AN209&lt;&gt;3),"X",""))</f>
        <v>X</v>
      </c>
      <c r="AP209" s="188">
        <f t="shared" ref="AP209" si="384">IF(AND(AC209&lt;&gt;"",AE209&lt;&gt;""),1,IF(AND(AE209="",AN209=2),1,IF(OR(AN209&lt;&gt;0),0,1)))</f>
        <v>1</v>
      </c>
      <c r="AQ209" s="255">
        <f ca="1">SUM($AP$21:OFFSET(AQ209,-2,-1))</f>
        <v>82</v>
      </c>
      <c r="AR209" s="13" t="str">
        <f t="shared" ref="AR209" ca="1" si="385">IF(AND(AC209="",AQ209=0),AS209,"XX")</f>
        <v>XX</v>
      </c>
      <c r="AS209" s="255">
        <f>MAX($AE$21:AE207)</f>
        <v>0</v>
      </c>
      <c r="AT209" s="255">
        <f>IF(SUM(AE211:$AE$259)&gt;0,MIN(AE211:$AE$259),10000)</f>
        <v>10000</v>
      </c>
      <c r="AU209" s="78"/>
      <c r="AV209" s="78"/>
      <c r="AW209" s="13">
        <f t="shared" ref="AW209" si="386">IF(AND(AC209&lt;&gt;"",AE209&lt;&gt;""),4,0)</f>
        <v>0</v>
      </c>
      <c r="AX209" s="78" t="e">
        <f ca="1">IF(AND(AN209&lt;&gt;1,AN209&lt;&gt;3,AN209&lt;&gt;4),AR209+1,XX)</f>
        <v>#VALUE!</v>
      </c>
      <c r="AY209" s="78">
        <f>IF(AND(AN209&lt;&gt;1,AN209&lt;&gt;3,AN209&lt;&gt;4),AT209-1,XX)</f>
        <v>9999</v>
      </c>
    </row>
    <row r="210" spans="1:51" s="6" customFormat="1" ht="3" customHeight="1">
      <c r="A210" s="255"/>
      <c r="B210" s="255"/>
      <c r="J210" s="274"/>
      <c r="L210" s="28"/>
      <c r="M210" s="28"/>
      <c r="O210" s="36"/>
      <c r="P210" s="36"/>
      <c r="Q210" s="36"/>
      <c r="R210" s="36"/>
      <c r="S210" s="36"/>
      <c r="T210" s="36"/>
      <c r="U210" s="36"/>
      <c r="V210" s="36"/>
      <c r="W210" s="36"/>
      <c r="X210" s="36"/>
      <c r="Y210" s="36"/>
      <c r="Z210" s="36"/>
      <c r="AA210" s="36"/>
      <c r="AB210" s="9"/>
      <c r="AC210" s="164"/>
      <c r="AD210" s="162"/>
      <c r="AE210" s="165"/>
      <c r="AF210" s="28"/>
      <c r="AG210" s="255"/>
      <c r="AJ210" s="160"/>
      <c r="AK210" s="160"/>
      <c r="AL210" s="160"/>
      <c r="AM210" s="160"/>
      <c r="AN210" s="160"/>
      <c r="AO210" s="160"/>
      <c r="AP210" s="160"/>
      <c r="AQ210" s="160"/>
      <c r="AR210" s="160"/>
      <c r="AS210" s="171"/>
      <c r="AT210" s="171"/>
      <c r="AU210" s="160"/>
      <c r="AV210" s="161"/>
      <c r="AW210" s="161"/>
    </row>
    <row r="211" spans="1:51" ht="14.25" customHeight="1">
      <c r="B211" s="255"/>
      <c r="J211" s="272" t="str">
        <f>IF(IFERROR(SEARCH(".",J209),0)=0,CONCATENATE(J209,".",1),IF(IFERROR(SEARCH(".",J209),0)&gt;1,CONCATENATE(IFERROR(LEFT(J209,IFERROR(SEARCH(".",J209),0)-1),0),".",IFERROR(RIGHT(J209,LEN(J209)-IFERROR(SEARCH(".",J209),0)),0)+1),0))</f>
        <v>13.4</v>
      </c>
      <c r="K211" s="2" t="s">
        <v>45</v>
      </c>
      <c r="L211" s="7"/>
      <c r="M211" s="7"/>
      <c r="O211" s="467" t="str">
        <f>CONCATENATE(J211,". ",K211,$K$17)</f>
        <v>13.4. Certificado de Segurança da Navegação (CSN);------------------------------------------------------------------------------------------------------------------------------------------------------------------------</v>
      </c>
      <c r="P211" s="467"/>
      <c r="Q211" s="467"/>
      <c r="R211" s="467"/>
      <c r="S211" s="467"/>
      <c r="T211" s="467"/>
      <c r="U211" s="467"/>
      <c r="V211" s="467"/>
      <c r="W211" s="467"/>
      <c r="X211" s="467"/>
      <c r="Y211" s="467"/>
      <c r="Z211" s="467"/>
      <c r="AA211" s="467"/>
      <c r="AB211" s="9"/>
      <c r="AC211" s="191"/>
      <c r="AD211" s="162"/>
      <c r="AE211" s="166"/>
      <c r="AF211" s="7"/>
      <c r="AG211" s="80"/>
      <c r="AK211" s="160"/>
      <c r="AM211" s="255">
        <v>1</v>
      </c>
      <c r="AN211" s="271">
        <f t="shared" ref="AN211" si="387">IF(AND(AC211&lt;&gt;"",AE211&lt;&gt;""),4,IF($AC$203&lt;&gt;"",3,IF(AC211&lt;&gt;"",1,IF(AE211&lt;&gt;"",2,0))))</f>
        <v>0</v>
      </c>
      <c r="AO211" s="255" t="str">
        <f t="shared" ref="AO211" si="388">IF(AND(AE211="",AN211=2),"",IF(AND(AE211="",AN211&lt;&gt;3),"X",""))</f>
        <v>X</v>
      </c>
      <c r="AP211" s="188">
        <f t="shared" ref="AP211" si="389">IF(AND(AC211&lt;&gt;"",AE211&lt;&gt;""),1,IF(AND(AE211="",AN211=2),1,IF(OR(AN211&lt;&gt;0),0,1)))</f>
        <v>1</v>
      </c>
      <c r="AQ211" s="255">
        <f ca="1">SUM($AP$21:OFFSET(AQ211,-2,-1))</f>
        <v>83</v>
      </c>
      <c r="AR211" s="13" t="str">
        <f t="shared" ref="AR211" ca="1" si="390">IF(AND(AC211="",AQ211=0),AS211,"XX")</f>
        <v>XX</v>
      </c>
      <c r="AS211" s="255">
        <f>MAX($AE$21:AE209)</f>
        <v>0</v>
      </c>
      <c r="AT211" s="255">
        <f>IF(SUM(AE213:$AE$259)&gt;0,MIN(AE213:$AE$259),10000)</f>
        <v>10000</v>
      </c>
      <c r="AU211" s="78"/>
      <c r="AV211" s="78"/>
      <c r="AW211" s="13">
        <f t="shared" ref="AW211" si="391">IF(AND(AC211&lt;&gt;"",AE211&lt;&gt;""),4,0)</f>
        <v>0</v>
      </c>
      <c r="AX211" s="78" t="e">
        <f ca="1">IF(AND(AN211&lt;&gt;1,AN211&lt;&gt;3,AN211&lt;&gt;4),AR211+1,XX)</f>
        <v>#VALUE!</v>
      </c>
      <c r="AY211" s="78">
        <f>IF(AND(AN211&lt;&gt;1,AN211&lt;&gt;3,AN211&lt;&gt;4),AT211-1,XX)</f>
        <v>9999</v>
      </c>
    </row>
    <row r="212" spans="1:51" s="6" customFormat="1" ht="3" customHeight="1">
      <c r="A212" s="255"/>
      <c r="B212" s="255"/>
      <c r="J212" s="274"/>
      <c r="L212" s="28"/>
      <c r="M212" s="28"/>
      <c r="O212" s="36"/>
      <c r="P212" s="36"/>
      <c r="Q212" s="36"/>
      <c r="R212" s="36"/>
      <c r="S212" s="36"/>
      <c r="T212" s="36"/>
      <c r="U212" s="36"/>
      <c r="V212" s="36"/>
      <c r="W212" s="36"/>
      <c r="X212" s="36"/>
      <c r="Y212" s="36"/>
      <c r="Z212" s="36"/>
      <c r="AA212" s="36"/>
      <c r="AB212" s="9"/>
      <c r="AC212" s="164"/>
      <c r="AD212" s="162"/>
      <c r="AE212" s="165"/>
      <c r="AF212" s="28"/>
      <c r="AG212" s="2"/>
      <c r="AJ212" s="160"/>
      <c r="AK212" s="160"/>
      <c r="AL212" s="160"/>
      <c r="AM212" s="160"/>
      <c r="AN212" s="160"/>
      <c r="AO212" s="160"/>
      <c r="AP212" s="160"/>
      <c r="AQ212" s="160"/>
      <c r="AR212" s="160"/>
      <c r="AS212" s="171"/>
      <c r="AT212" s="171"/>
      <c r="AU212" s="160"/>
      <c r="AV212" s="161"/>
      <c r="AW212" s="161"/>
    </row>
    <row r="213" spans="1:51" ht="14.25" customHeight="1">
      <c r="B213" s="255"/>
      <c r="J213" s="272" t="str">
        <f>IF(IFERROR(SEARCH(".",J211),0)=0,CONCATENATE(J211,".",1),IF(IFERROR(SEARCH(".",J211),0)&gt;1,CONCATENATE(IFERROR(LEFT(J211,IFERROR(SEARCH(".",J211),0)-1),0),".",IFERROR(RIGHT(J211,LEN(J211)-IFERROR(SEARCH(".",J211),0)),0)+1),0))</f>
        <v>13.5</v>
      </c>
      <c r="K213" s="2" t="s">
        <v>44</v>
      </c>
      <c r="L213" s="7"/>
      <c r="M213" s="7"/>
      <c r="O213" s="467" t="str">
        <f>CONCATENATE(J213,". ",K213,$K$17)</f>
        <v>13.5. Termo de Vistoria em Seco e Termo de Vistoria Flutuando;------------------------------------------------------------------------------------------------------------------------------------------------------------------------</v>
      </c>
      <c r="P213" s="467"/>
      <c r="Q213" s="467"/>
      <c r="R213" s="467"/>
      <c r="S213" s="467"/>
      <c r="T213" s="467"/>
      <c r="U213" s="467"/>
      <c r="V213" s="467"/>
      <c r="W213" s="467"/>
      <c r="X213" s="467"/>
      <c r="Y213" s="467"/>
      <c r="Z213" s="467"/>
      <c r="AA213" s="467"/>
      <c r="AB213" s="467"/>
      <c r="AC213" s="467"/>
      <c r="AD213" s="162"/>
      <c r="AE213" s="166"/>
      <c r="AF213" s="7"/>
      <c r="AG213" s="80"/>
      <c r="AK213" s="160"/>
      <c r="AM213" s="255">
        <v>1</v>
      </c>
      <c r="AN213" s="271">
        <f t="shared" ref="AN213" si="392">IF(AND(AC213&lt;&gt;"",AE213&lt;&gt;""),4,IF($AC$203&lt;&gt;"",3,IF(AC213&lt;&gt;"",1,IF(AE213&lt;&gt;"",2,0))))</f>
        <v>0</v>
      </c>
      <c r="AO213" s="255" t="str">
        <f t="shared" ref="AO213" si="393">IF(AND(AE213="",AN213=2),"",IF(AND(AE213="",AN213&lt;&gt;3),"X",""))</f>
        <v>X</v>
      </c>
      <c r="AP213" s="188">
        <f t="shared" ref="AP213" si="394">IF(AND(AC213&lt;&gt;"",AE213&lt;&gt;""),1,IF(AND(AE213="",AN213=2),1,IF(OR(AN213&lt;&gt;0),0,1)))</f>
        <v>1</v>
      </c>
      <c r="AQ213" s="255">
        <f ca="1">SUM($AP$21:OFFSET(AQ213,-2,-1))</f>
        <v>84</v>
      </c>
      <c r="AR213" s="13" t="str">
        <f t="shared" ref="AR213" ca="1" si="395">IF(AND(AC213="",AQ213=0),AS213,"XX")</f>
        <v>XX</v>
      </c>
      <c r="AS213" s="255">
        <f>MAX($AE$21:AE211)</f>
        <v>0</v>
      </c>
      <c r="AT213" s="255">
        <f>IF(SUM(AE215:$AE$259)&gt;0,MIN(AE215:$AE$259),10000)</f>
        <v>10000</v>
      </c>
      <c r="AU213" s="78"/>
      <c r="AV213" s="78"/>
      <c r="AW213" s="13">
        <f t="shared" ref="AW213" si="396">IF(AND(AC213&lt;&gt;"",AE213&lt;&gt;""),4,0)</f>
        <v>0</v>
      </c>
      <c r="AX213" s="78" t="e">
        <f ca="1">IF(AND(AN213&lt;&gt;1,AN213&lt;&gt;3,AN213&lt;&gt;4),AR213+1,XX)</f>
        <v>#VALUE!</v>
      </c>
      <c r="AY213" s="78">
        <f>IF(AND(AN213&lt;&gt;1,AN213&lt;&gt;3,AN213&lt;&gt;4),AT213-1,XX)</f>
        <v>9999</v>
      </c>
    </row>
    <row r="214" spans="1:51" s="6" customFormat="1" ht="3" customHeight="1">
      <c r="A214" s="255"/>
      <c r="B214" s="255"/>
      <c r="J214" s="274"/>
      <c r="L214" s="28"/>
      <c r="M214" s="28"/>
      <c r="O214" s="36"/>
      <c r="P214" s="36"/>
      <c r="Q214" s="36"/>
      <c r="R214" s="36"/>
      <c r="S214" s="36"/>
      <c r="T214" s="36"/>
      <c r="U214" s="36"/>
      <c r="V214" s="36"/>
      <c r="W214" s="36"/>
      <c r="X214" s="36"/>
      <c r="Y214" s="36"/>
      <c r="Z214" s="36"/>
      <c r="AA214" s="36"/>
      <c r="AB214" s="9"/>
      <c r="AC214" s="164"/>
      <c r="AD214" s="162"/>
      <c r="AE214" s="165"/>
      <c r="AF214" s="28"/>
      <c r="AG214" s="2"/>
      <c r="AJ214" s="160"/>
      <c r="AK214" s="160"/>
      <c r="AL214" s="160"/>
      <c r="AM214" s="160"/>
      <c r="AN214" s="160"/>
      <c r="AO214" s="160"/>
      <c r="AP214" s="160"/>
      <c r="AQ214" s="160"/>
      <c r="AR214" s="160"/>
      <c r="AS214" s="171"/>
      <c r="AT214" s="171"/>
      <c r="AU214" s="160"/>
      <c r="AV214" s="161"/>
      <c r="AW214" s="161"/>
    </row>
    <row r="215" spans="1:51" ht="14.25" customHeight="1">
      <c r="B215" s="255"/>
      <c r="J215" s="272" t="str">
        <f>IF(IFERROR(SEARCH(".",J213),0)=0,CONCATENATE(J213,".",1),IF(IFERROR(SEARCH(".",J213),0)&gt;1,CONCATENATE(IFERROR(LEFT(J213,IFERROR(SEARCH(".",J213),0)-1),0),".",IFERROR(RIGHT(J213,LEN(J213)-IFERROR(SEARCH(".",J213),0)),0)+1),0))</f>
        <v>13.6</v>
      </c>
      <c r="K215" s="2" t="s">
        <v>230</v>
      </c>
      <c r="L215" s="7"/>
      <c r="M215" s="7"/>
      <c r="O215" s="467" t="str">
        <f>CONCATENATE(J215,". ",K215,$K$17)</f>
        <v>13.6. Proposta de seguro do casco; (patrimonial)------------------------------------------------------------------------------------------------------------------------------------------------------------------------</v>
      </c>
      <c r="P215" s="467"/>
      <c r="Q215" s="467"/>
      <c r="R215" s="467"/>
      <c r="S215" s="467"/>
      <c r="T215" s="467"/>
      <c r="U215" s="467"/>
      <c r="V215" s="467"/>
      <c r="W215" s="467"/>
      <c r="X215" s="467"/>
      <c r="Y215" s="467"/>
      <c r="Z215" s="467"/>
      <c r="AA215" s="467"/>
      <c r="AB215" s="467"/>
      <c r="AC215" s="467"/>
      <c r="AD215" s="162"/>
      <c r="AE215" s="166"/>
      <c r="AF215" s="7"/>
      <c r="AG215" s="80"/>
      <c r="AK215" s="160"/>
      <c r="AM215" s="255">
        <v>1</v>
      </c>
      <c r="AN215" s="271">
        <f t="shared" ref="AN215" si="397">IF(AND(AC215&lt;&gt;"",AE215&lt;&gt;""),4,IF($AC$203&lt;&gt;"",3,IF(AC215&lt;&gt;"",1,IF(AE215&lt;&gt;"",2,0))))</f>
        <v>0</v>
      </c>
      <c r="AO215" s="255" t="str">
        <f t="shared" ref="AO215" si="398">IF(AND(AE215="",AN215=2),"",IF(AND(AE215="",AN215&lt;&gt;3),"X",""))</f>
        <v>X</v>
      </c>
      <c r="AP215" s="188">
        <f t="shared" ref="AP215" si="399">IF(AND(AC215&lt;&gt;"",AE215&lt;&gt;""),1,IF(AND(AE215="",AN215=2),1,IF(OR(AN215&lt;&gt;0),0,1)))</f>
        <v>1</v>
      </c>
      <c r="AQ215" s="255">
        <f ca="1">SUM($AP$21:OFFSET(AQ215,-2,-1))</f>
        <v>85</v>
      </c>
      <c r="AR215" s="13" t="str">
        <f t="shared" ref="AR215" ca="1" si="400">IF(AND(AC215="",AQ215=0),AS215,"XX")</f>
        <v>XX</v>
      </c>
      <c r="AS215" s="255">
        <f>MAX($AE$21:AE213)</f>
        <v>0</v>
      </c>
      <c r="AT215" s="255">
        <f>IF(SUM(AE217:$AE$259)&gt;0,MIN(AE217:$AE$259),10000)</f>
        <v>10000</v>
      </c>
      <c r="AU215" s="78"/>
      <c r="AV215" s="78"/>
      <c r="AW215" s="13">
        <f t="shared" ref="AW215" si="401">IF(AND(AC215&lt;&gt;"",AE215&lt;&gt;""),4,0)</f>
        <v>0</v>
      </c>
      <c r="AX215" s="78" t="e">
        <f ca="1">IF(AND(AN215&lt;&gt;1,AN215&lt;&gt;3,AN215&lt;&gt;4),AR215+1,XX)</f>
        <v>#VALUE!</v>
      </c>
      <c r="AY215" s="78">
        <f>IF(AND(AN215&lt;&gt;1,AN215&lt;&gt;3,AN215&lt;&gt;4),AT215-1,XX)</f>
        <v>9999</v>
      </c>
    </row>
    <row r="216" spans="1:51" s="6" customFormat="1" ht="3" customHeight="1">
      <c r="A216" s="255"/>
      <c r="B216" s="255"/>
      <c r="J216" s="274"/>
      <c r="L216" s="28"/>
      <c r="M216" s="28"/>
      <c r="O216" s="452"/>
      <c r="P216" s="452"/>
      <c r="Q216" s="452"/>
      <c r="R216" s="452"/>
      <c r="S216" s="452"/>
      <c r="T216" s="452"/>
      <c r="U216" s="452"/>
      <c r="V216" s="452"/>
      <c r="W216" s="452"/>
      <c r="X216" s="452"/>
      <c r="Y216" s="452"/>
      <c r="Z216" s="452"/>
      <c r="AA216" s="452"/>
      <c r="AB216" s="9"/>
      <c r="AC216" s="164"/>
      <c r="AD216" s="162"/>
      <c r="AE216" s="165"/>
      <c r="AF216" s="28"/>
      <c r="AG216" s="255"/>
      <c r="AJ216" s="160"/>
      <c r="AK216" s="160"/>
      <c r="AL216" s="160"/>
      <c r="AM216" s="160"/>
      <c r="AN216" s="160"/>
      <c r="AO216" s="160"/>
      <c r="AP216" s="160"/>
      <c r="AQ216" s="160"/>
      <c r="AR216" s="160"/>
      <c r="AS216" s="171"/>
      <c r="AT216" s="171"/>
      <c r="AU216" s="160"/>
      <c r="AV216" s="161"/>
      <c r="AW216" s="161"/>
    </row>
    <row r="217" spans="1:51" ht="14.25" customHeight="1">
      <c r="B217" s="255"/>
      <c r="J217" s="272" t="str">
        <f>IF(IFERROR(SEARCH(".",J215),0)=0,CONCATENATE(J215,".",1),IF(IFERROR(SEARCH(".",J215),0)&gt;1,CONCATENATE(IFERROR(LEFT(J215,IFERROR(SEARCH(".",J215),0)-1),0),".",IFERROR(RIGHT(J215,LEN(J215)-IFERROR(SEARCH(".",J215),0)),0)+1),0))</f>
        <v>13.7</v>
      </c>
      <c r="K217" s="2" t="s">
        <v>167</v>
      </c>
      <c r="L217" s="7"/>
      <c r="M217" s="7"/>
      <c r="O217" s="467" t="str">
        <f>CONCATENATE(J217,". ",K217,$K$17)</f>
        <v>13.7. Certificado de Classificação de Casco e Estrutura;  (se Arqueação Bruta = ou &gt; 500)------------------------------------------------------------------------------------------------------------------------------------------------------------------------</v>
      </c>
      <c r="P217" s="467"/>
      <c r="Q217" s="467"/>
      <c r="R217" s="467"/>
      <c r="S217" s="467"/>
      <c r="T217" s="467"/>
      <c r="U217" s="467"/>
      <c r="V217" s="467"/>
      <c r="W217" s="467"/>
      <c r="X217" s="467"/>
      <c r="Y217" s="467"/>
      <c r="Z217" s="467"/>
      <c r="AA217" s="467"/>
      <c r="AB217" s="9"/>
      <c r="AC217" s="191"/>
      <c r="AD217" s="162"/>
      <c r="AE217" s="166"/>
      <c r="AF217" s="7"/>
      <c r="AG217" s="80"/>
      <c r="AK217" s="160"/>
      <c r="AM217" s="255">
        <v>1</v>
      </c>
      <c r="AN217" s="271">
        <f t="shared" ref="AN217" si="402">IF(AND(AC217&lt;&gt;"",AE217&lt;&gt;""),4,IF($AC$203&lt;&gt;"",3,IF(AC217&lt;&gt;"",1,IF(AE217&lt;&gt;"",2,0))))</f>
        <v>0</v>
      </c>
      <c r="AO217" s="255" t="str">
        <f t="shared" ref="AO217" si="403">IF(AND(AE217="",AN217=2),"",IF(AND(AE217="",AN217&lt;&gt;3),"X",""))</f>
        <v>X</v>
      </c>
      <c r="AP217" s="188">
        <f t="shared" ref="AP217" si="404">IF(AND(AC217&lt;&gt;"",AE217&lt;&gt;""),1,IF(AND(AE217="",AN217=2),1,IF(OR(AN217&lt;&gt;0),0,1)))</f>
        <v>1</v>
      </c>
      <c r="AQ217" s="255">
        <f ca="1">SUM($AP$21:OFFSET(AQ217,-2,-1))</f>
        <v>86</v>
      </c>
      <c r="AR217" s="13" t="str">
        <f t="shared" ref="AR217" ca="1" si="405">IF(AND(AC217="",AQ217=0),AS217,"XX")</f>
        <v>XX</v>
      </c>
      <c r="AS217" s="255">
        <f>MAX($AE$21:AE215)</f>
        <v>0</v>
      </c>
      <c r="AT217" s="255">
        <f>IF(SUM(AE219:$AE$259)&gt;0,MIN(AE219:$AE$259),10000)</f>
        <v>10000</v>
      </c>
      <c r="AU217" s="78"/>
      <c r="AV217" s="78"/>
      <c r="AW217" s="13">
        <f t="shared" ref="AW217" si="406">IF(AND(AC217&lt;&gt;"",AE217&lt;&gt;""),4,0)</f>
        <v>0</v>
      </c>
      <c r="AX217" s="78" t="e">
        <f ca="1">IF(AND(AN217&lt;&gt;1,AN217&lt;&gt;3,AN217&lt;&gt;4),AR217+1,XX)</f>
        <v>#VALUE!</v>
      </c>
      <c r="AY217" s="78">
        <f>IF(AND(AN217&lt;&gt;1,AN217&lt;&gt;3,AN217&lt;&gt;4),AT217-1,XX)</f>
        <v>9999</v>
      </c>
    </row>
    <row r="218" spans="1:51" s="6" customFormat="1" ht="3" customHeight="1">
      <c r="A218" s="255"/>
      <c r="B218" s="255"/>
      <c r="J218" s="274"/>
      <c r="L218" s="28"/>
      <c r="M218" s="28"/>
      <c r="O218" s="36"/>
      <c r="P218" s="36"/>
      <c r="Q218" s="36"/>
      <c r="R218" s="36"/>
      <c r="S218" s="36"/>
      <c r="T218" s="36"/>
      <c r="U218" s="36"/>
      <c r="V218" s="36"/>
      <c r="W218" s="36"/>
      <c r="X218" s="36"/>
      <c r="Y218" s="36"/>
      <c r="Z218" s="36"/>
      <c r="AA218" s="36"/>
      <c r="AB218" s="9"/>
      <c r="AC218" s="164"/>
      <c r="AD218" s="162"/>
      <c r="AE218" s="165"/>
      <c r="AF218" s="28"/>
      <c r="AG218" s="255"/>
      <c r="AJ218" s="160"/>
      <c r="AK218" s="160"/>
      <c r="AL218" s="160"/>
      <c r="AM218" s="160"/>
      <c r="AN218" s="160"/>
      <c r="AO218" s="160"/>
      <c r="AP218" s="160"/>
      <c r="AQ218" s="160"/>
      <c r="AR218" s="160"/>
      <c r="AS218" s="171"/>
      <c r="AT218" s="171"/>
      <c r="AU218" s="160"/>
      <c r="AV218" s="161"/>
      <c r="AW218" s="161"/>
    </row>
    <row r="219" spans="1:51" ht="14.25" customHeight="1">
      <c r="B219" s="255"/>
      <c r="J219" s="272" t="str">
        <f>IF(IFERROR(SEARCH(".",J217),0)=0,CONCATENATE(J217,".",1),IF(IFERROR(SEARCH(".",J217),0)&gt;1,CONCATENATE(IFERROR(LEFT(J217,IFERROR(SEARCH(".",J217),0)-1),0),".",IFERROR(RIGHT(J217,LEN(J217)-IFERROR(SEARCH(".",J217),0)),0)+1),0))</f>
        <v>13.8</v>
      </c>
      <c r="K219" s="2" t="s">
        <v>166</v>
      </c>
      <c r="L219" s="7"/>
      <c r="M219" s="7"/>
      <c r="O219" s="467" t="str">
        <f>CONCATENATE(J219,". ",K219,$K$17)</f>
        <v>13.8. Certificado de Classificação de Máquinas, Equipamentos e Eletricidade; (se Arqueação Bruta = ou &gt; 500)------------------------------------------------------------------------------------------------------------------------------------------------------------------------</v>
      </c>
      <c r="P219" s="467"/>
      <c r="Q219" s="467"/>
      <c r="R219" s="467"/>
      <c r="S219" s="467"/>
      <c r="T219" s="467"/>
      <c r="U219" s="467"/>
      <c r="V219" s="467"/>
      <c r="W219" s="467"/>
      <c r="X219" s="467"/>
      <c r="Y219" s="467"/>
      <c r="Z219" s="467"/>
      <c r="AA219" s="467"/>
      <c r="AB219" s="9"/>
      <c r="AC219" s="191"/>
      <c r="AD219" s="162"/>
      <c r="AE219" s="166"/>
      <c r="AF219" s="7"/>
      <c r="AG219" s="80"/>
      <c r="AK219" s="160"/>
      <c r="AM219" s="255">
        <v>1</v>
      </c>
      <c r="AN219" s="271">
        <f t="shared" ref="AN219" si="407">IF(AND(AC219&lt;&gt;"",AE219&lt;&gt;""),4,IF($AC$203&lt;&gt;"",3,IF(AC219&lt;&gt;"",1,IF(AE219&lt;&gt;"",2,0))))</f>
        <v>0</v>
      </c>
      <c r="AO219" s="255" t="str">
        <f t="shared" ref="AO219" si="408">IF(AND(AE219="",AN219=2),"",IF(AND(AE219="",AN219&lt;&gt;3),"X",""))</f>
        <v>X</v>
      </c>
      <c r="AP219" s="188">
        <f t="shared" ref="AP219" si="409">IF(AND(AC219&lt;&gt;"",AE219&lt;&gt;""),1,IF(AND(AE219="",AN219=2),1,IF(OR(AN219&lt;&gt;0),0,1)))</f>
        <v>1</v>
      </c>
      <c r="AQ219" s="255">
        <f ca="1">SUM($AP$21:OFFSET(AQ219,-2,-1))</f>
        <v>87</v>
      </c>
      <c r="AR219" s="13" t="str">
        <f t="shared" ref="AR219" ca="1" si="410">IF(AND(AC219="",AQ219=0),AS219,"XX")</f>
        <v>XX</v>
      </c>
      <c r="AS219" s="255">
        <f>MAX($AE$21:AE217)</f>
        <v>0</v>
      </c>
      <c r="AT219" s="255">
        <f>IF(SUM(AE221:$AE$259)&gt;0,MIN(AE221:$AE$259),10000)</f>
        <v>10000</v>
      </c>
      <c r="AU219" s="78"/>
      <c r="AV219" s="78"/>
      <c r="AW219" s="13">
        <f t="shared" ref="AW219" si="411">IF(AND(AC219&lt;&gt;"",AE219&lt;&gt;""),4,0)</f>
        <v>0</v>
      </c>
      <c r="AX219" s="78" t="e">
        <f ca="1">IF(AND(AN219&lt;&gt;1,AN219&lt;&gt;3,AN219&lt;&gt;4),AR219+1,XX)</f>
        <v>#VALUE!</v>
      </c>
      <c r="AY219" s="78">
        <f>IF(AND(AN219&lt;&gt;1,AN219&lt;&gt;3,AN219&lt;&gt;4),AT219-1,XX)</f>
        <v>9999</v>
      </c>
    </row>
    <row r="220" spans="1:51" s="6" customFormat="1" ht="3" customHeight="1">
      <c r="A220" s="255"/>
      <c r="B220" s="255"/>
      <c r="J220" s="274"/>
      <c r="L220" s="28"/>
      <c r="M220" s="28"/>
      <c r="O220" s="36"/>
      <c r="P220" s="36"/>
      <c r="Q220" s="36"/>
      <c r="R220" s="36"/>
      <c r="S220" s="36"/>
      <c r="T220" s="36"/>
      <c r="U220" s="36"/>
      <c r="V220" s="36"/>
      <c r="W220" s="36"/>
      <c r="X220" s="36"/>
      <c r="Y220" s="36"/>
      <c r="Z220" s="36"/>
      <c r="AA220" s="36"/>
      <c r="AB220" s="9"/>
      <c r="AC220" s="164"/>
      <c r="AD220" s="162"/>
      <c r="AE220" s="165"/>
      <c r="AF220" s="28"/>
      <c r="AG220" s="25"/>
      <c r="AJ220" s="160"/>
      <c r="AK220" s="160"/>
      <c r="AL220" s="160"/>
      <c r="AM220" s="160"/>
      <c r="AN220" s="160"/>
      <c r="AO220" s="160"/>
      <c r="AP220" s="160"/>
      <c r="AQ220" s="160"/>
      <c r="AR220" s="160"/>
      <c r="AS220" s="171"/>
      <c r="AT220" s="171"/>
      <c r="AU220" s="160"/>
      <c r="AV220" s="161"/>
      <c r="AW220" s="161"/>
    </row>
    <row r="221" spans="1:51" ht="14.25" customHeight="1">
      <c r="B221" s="255"/>
      <c r="J221" s="272" t="str">
        <f>IF(IFERROR(SEARCH(".",J219),0)=0,CONCATENATE(J219,".",1),IF(IFERROR(SEARCH(".",J219),0)&gt;1,CONCATENATE(IFERROR(LEFT(J219,IFERROR(SEARCH(".",J219),0)-1),0),".",IFERROR(RIGHT(J219,LEN(J219)-IFERROR(SEARCH(".",J219),0)),0)+1),0))</f>
        <v>13.9</v>
      </c>
      <c r="K221" s="2" t="s">
        <v>578</v>
      </c>
      <c r="L221" s="7"/>
      <c r="M221" s="7"/>
      <c r="O221" s="479" t="str">
        <f>CONCATENATE(J221,". ",K221,$K$17)</f>
        <v>13.9. Autorização para transporte de carga na naveg. interior de perc. longitudinal, interestadual/internacional; (da ANTAQ)------------------------------------------------------------------------------------------------------------------------------------------------------------------------</v>
      </c>
      <c r="P221" s="479"/>
      <c r="Q221" s="479"/>
      <c r="R221" s="479"/>
      <c r="S221" s="479"/>
      <c r="T221" s="479"/>
      <c r="U221" s="479"/>
      <c r="V221" s="479"/>
      <c r="W221" s="479"/>
      <c r="X221" s="479"/>
      <c r="Y221" s="479"/>
      <c r="Z221" s="479"/>
      <c r="AA221" s="479"/>
      <c r="AB221" s="9"/>
      <c r="AC221" s="191"/>
      <c r="AD221" s="162"/>
      <c r="AE221" s="166"/>
      <c r="AF221" s="7"/>
      <c r="AG221" s="80"/>
      <c r="AK221" s="160"/>
      <c r="AM221" s="255">
        <v>1</v>
      </c>
      <c r="AN221" s="271">
        <f t="shared" ref="AN221" si="412">IF(AND(AC221&lt;&gt;"",AE221&lt;&gt;""),4,IF($AC$203&lt;&gt;"",3,IF(AC221&lt;&gt;"",1,IF(AE221&lt;&gt;"",2,0))))</f>
        <v>0</v>
      </c>
      <c r="AO221" s="255" t="str">
        <f t="shared" ref="AO221" si="413">IF(AND(AE221="",AN221=2),"",IF(AND(AE221="",AN221&lt;&gt;3),"X",""))</f>
        <v>X</v>
      </c>
      <c r="AP221" s="188">
        <f t="shared" ref="AP221" si="414">IF(AND(AC221&lt;&gt;"",AE221&lt;&gt;""),1,IF(AND(AE221="",AN221=2),1,IF(OR(AN221&lt;&gt;0),0,1)))</f>
        <v>1</v>
      </c>
      <c r="AQ221" s="255">
        <f ca="1">SUM($AP$21:OFFSET(AQ221,-2,-1))</f>
        <v>88</v>
      </c>
      <c r="AR221" s="13" t="str">
        <f t="shared" ref="AR221" ca="1" si="415">IF(AND(AC221="",AQ221=0),AS221,"XX")</f>
        <v>XX</v>
      </c>
      <c r="AS221" s="255">
        <f>MAX($AE$21:AE219)</f>
        <v>0</v>
      </c>
      <c r="AT221" s="255">
        <f>IF(SUM(AE223:$AE$259)&gt;0,MIN(AE223:$AE$259),10000)</f>
        <v>10000</v>
      </c>
      <c r="AU221" s="78"/>
      <c r="AV221" s="78"/>
      <c r="AW221" s="13">
        <f t="shared" ref="AW221" si="416">IF(AND(AC221&lt;&gt;"",AE221&lt;&gt;""),4,0)</f>
        <v>0</v>
      </c>
      <c r="AX221" s="78" t="e">
        <f ca="1">IF(AND(AN221&lt;&gt;1,AN221&lt;&gt;3,AN221&lt;&gt;4),AR221+1,XX)</f>
        <v>#VALUE!</v>
      </c>
      <c r="AY221" s="78">
        <f>IF(AND(AN221&lt;&gt;1,AN221&lt;&gt;3,AN221&lt;&gt;4),AT221-1,XX)</f>
        <v>9999</v>
      </c>
    </row>
    <row r="222" spans="1:51" s="6" customFormat="1" ht="3" customHeight="1">
      <c r="A222" s="255"/>
      <c r="B222" s="255"/>
      <c r="J222" s="274"/>
      <c r="L222" s="28"/>
      <c r="M222" s="28"/>
      <c r="O222" s="36"/>
      <c r="P222" s="36"/>
      <c r="Q222" s="36"/>
      <c r="R222" s="36"/>
      <c r="S222" s="36"/>
      <c r="T222" s="36"/>
      <c r="U222" s="36"/>
      <c r="V222" s="36"/>
      <c r="W222" s="36"/>
      <c r="X222" s="36"/>
      <c r="Y222" s="36"/>
      <c r="Z222" s="36"/>
      <c r="AA222" s="36"/>
      <c r="AB222" s="9"/>
      <c r="AC222" s="164"/>
      <c r="AD222" s="162"/>
      <c r="AE222" s="165"/>
      <c r="AF222" s="28"/>
      <c r="AG222" s="255"/>
      <c r="AJ222" s="160"/>
      <c r="AK222" s="160"/>
      <c r="AL222" s="160"/>
      <c r="AM222" s="160"/>
      <c r="AN222" s="160"/>
      <c r="AO222" s="160"/>
      <c r="AP222" s="160"/>
      <c r="AQ222" s="160"/>
      <c r="AR222" s="160"/>
      <c r="AS222" s="171"/>
      <c r="AT222" s="171"/>
      <c r="AU222" s="160"/>
      <c r="AV222" s="161"/>
      <c r="AW222" s="161"/>
    </row>
    <row r="223" spans="1:51" ht="14.25" customHeight="1">
      <c r="B223" s="255"/>
      <c r="J223" s="272" t="str">
        <f>IF(IFERROR(SEARCH(".",J221),0)=0,CONCATENATE(J221,".",1),IF(IFERROR(SEARCH(".",J221),0)&gt;1,CONCATENATE(IFERROR(LEFT(J221,IFERROR(SEARCH(".",J221),0)-1),0),".",IFERROR(RIGHT(J221,LEN(J221)-IFERROR(SEARCH(".",J221),0)),0)+1),0))</f>
        <v>13.10</v>
      </c>
      <c r="K223" s="2" t="s">
        <v>370</v>
      </c>
      <c r="L223" s="7"/>
      <c r="M223" s="7"/>
      <c r="O223" s="467" t="str">
        <f>CONCATENATE(J223,". ",K223,$K$17)</f>
        <v>13.10. Promessa de Compra e Venda da Embarcação;------------------------------------------------------------------------------------------------------------------------------------------------------------------------</v>
      </c>
      <c r="P223" s="467"/>
      <c r="Q223" s="467"/>
      <c r="R223" s="467"/>
      <c r="S223" s="467"/>
      <c r="T223" s="467"/>
      <c r="U223" s="467"/>
      <c r="V223" s="467"/>
      <c r="W223" s="467"/>
      <c r="X223" s="467"/>
      <c r="Y223" s="467"/>
      <c r="Z223" s="467"/>
      <c r="AA223" s="467"/>
      <c r="AB223" s="467"/>
      <c r="AC223" s="467"/>
      <c r="AD223" s="162"/>
      <c r="AE223" s="166"/>
      <c r="AF223" s="7"/>
      <c r="AG223" s="80"/>
      <c r="AK223" s="160"/>
      <c r="AM223" s="255">
        <v>1</v>
      </c>
      <c r="AN223" s="271">
        <f t="shared" ref="AN223" si="417">IF(AND(AC223&lt;&gt;"",AE223&lt;&gt;""),4,IF($AC$203&lt;&gt;"",3,IF(AC223&lt;&gt;"",1,IF(AE223&lt;&gt;"",2,0))))</f>
        <v>0</v>
      </c>
      <c r="AO223" s="255" t="str">
        <f t="shared" ref="AO223" si="418">IF(AND(AE223="",AN223=2),"",IF(AND(AE223="",AN223&lt;&gt;3),"X",""))</f>
        <v>X</v>
      </c>
      <c r="AP223" s="188">
        <f t="shared" ref="AP223" si="419">IF(AND(AC223&lt;&gt;"",AE223&lt;&gt;""),1,IF(AND(AE223="",AN223=2),1,IF(OR(AN223&lt;&gt;0),0,1)))</f>
        <v>1</v>
      </c>
      <c r="AQ223" s="255">
        <f ca="1">SUM($AP$21:OFFSET(AQ223,-2,-1))</f>
        <v>89</v>
      </c>
      <c r="AR223" s="13" t="str">
        <f t="shared" ref="AR223" ca="1" si="420">IF(AND(AC223="",AQ223=0),AS223,"XX")</f>
        <v>XX</v>
      </c>
      <c r="AS223" s="255">
        <f>MAX($AE$21:AE221)</f>
        <v>0</v>
      </c>
      <c r="AT223" s="255">
        <f>IF(SUM(AE225:$AE$259)&gt;0,MIN(AE225:$AE$259),10000)</f>
        <v>10000</v>
      </c>
      <c r="AU223" s="78"/>
      <c r="AV223" s="78"/>
      <c r="AW223" s="13">
        <f t="shared" ref="AW223" si="421">IF(AND(AC223&lt;&gt;"",AE223&lt;&gt;""),4,0)</f>
        <v>0</v>
      </c>
      <c r="AX223" s="78" t="e">
        <f ca="1">IF(AND(AN223&lt;&gt;1,AN223&lt;&gt;3,AN223&lt;&gt;4),AR223+1,XX)</f>
        <v>#VALUE!</v>
      </c>
      <c r="AY223" s="78">
        <f>IF(AND(AN223&lt;&gt;1,AN223&lt;&gt;3,AN223&lt;&gt;4),AT223-1,XX)</f>
        <v>9999</v>
      </c>
    </row>
    <row r="224" spans="1:51" s="6" customFormat="1" ht="3" customHeight="1">
      <c r="A224" s="255"/>
      <c r="B224" s="255"/>
      <c r="J224" s="274"/>
      <c r="L224" s="28"/>
      <c r="M224" s="28"/>
      <c r="O224" s="36"/>
      <c r="P224" s="36"/>
      <c r="Q224" s="36"/>
      <c r="R224" s="36"/>
      <c r="S224" s="36"/>
      <c r="T224" s="36"/>
      <c r="U224" s="36"/>
      <c r="V224" s="36"/>
      <c r="W224" s="36"/>
      <c r="X224" s="36"/>
      <c r="Y224" s="36"/>
      <c r="Z224" s="36"/>
      <c r="AA224" s="36"/>
      <c r="AB224" s="9"/>
      <c r="AC224" s="164"/>
      <c r="AD224" s="162"/>
      <c r="AE224" s="120"/>
      <c r="AF224" s="28"/>
      <c r="AG224" s="255"/>
      <c r="AJ224" s="160"/>
      <c r="AK224" s="160"/>
      <c r="AL224" s="160"/>
      <c r="AM224" s="160"/>
      <c r="AN224" s="160"/>
      <c r="AO224" s="160"/>
      <c r="AP224" s="160"/>
      <c r="AQ224" s="160"/>
      <c r="AR224" s="160"/>
      <c r="AS224" s="171"/>
      <c r="AT224" s="171"/>
      <c r="AU224" s="160"/>
      <c r="AV224" s="161"/>
      <c r="AW224" s="161"/>
    </row>
    <row r="225" spans="1:51" ht="14.25" customHeight="1">
      <c r="B225" s="255"/>
      <c r="J225" s="272" t="str">
        <f>IF(IFERROR(SEARCH(".",J223),0)=0,CONCATENATE(J223,".",1),IF(IFERROR(SEARCH(".",J223),0)&gt;1,CONCATENATE(IFERROR(LEFT(J223,IFERROR(SEARCH(".",J223),0)-1),0),".",IFERROR(RIGHT(J223,LEN(J223)-IFERROR(SEARCH(".",J223),0)),0)+1),0))</f>
        <v>13.11</v>
      </c>
      <c r="K225" s="2" t="s">
        <v>371</v>
      </c>
      <c r="L225" s="7"/>
      <c r="M225" s="7"/>
      <c r="O225" s="467" t="str">
        <f>CONCATENATE(J225,". ",K225,$K$17)</f>
        <v>13.11. Seguro obrigatório da embarcação;------------------------------------------------------------------------------------------------------------------------------------------------------------------------</v>
      </c>
      <c r="P225" s="467"/>
      <c r="Q225" s="467"/>
      <c r="R225" s="467"/>
      <c r="S225" s="467"/>
      <c r="T225" s="467"/>
      <c r="U225" s="467"/>
      <c r="V225" s="467"/>
      <c r="W225" s="467"/>
      <c r="X225" s="467"/>
      <c r="Y225" s="467"/>
      <c r="Z225" s="467"/>
      <c r="AA225" s="467"/>
      <c r="AB225" s="467"/>
      <c r="AC225" s="467"/>
      <c r="AD225" s="162"/>
      <c r="AE225" s="166"/>
      <c r="AF225" s="7"/>
      <c r="AG225" s="80"/>
      <c r="AK225" s="160"/>
      <c r="AM225" s="255">
        <v>1</v>
      </c>
      <c r="AN225" s="271">
        <f t="shared" ref="AN225" si="422">IF(AND(AC225&lt;&gt;"",AE225&lt;&gt;""),4,IF($AC$203&lt;&gt;"",3,IF(AC225&lt;&gt;"",1,IF(AE225&lt;&gt;"",2,0))))</f>
        <v>0</v>
      </c>
      <c r="AO225" s="255" t="str">
        <f t="shared" ref="AO225" si="423">IF(AND(AE225="",AN225=2),"",IF(AND(AE225="",AN225&lt;&gt;3),"X",""))</f>
        <v>X</v>
      </c>
      <c r="AP225" s="188">
        <f t="shared" ref="AP225" si="424">IF(AND(AC225&lt;&gt;"",AE225&lt;&gt;""),1,IF(AND(AE225="",AN225=2),1,IF(OR(AN225&lt;&gt;0),0,1)))</f>
        <v>1</v>
      </c>
      <c r="AQ225" s="255">
        <f ca="1">SUM($AP$21:OFFSET(AQ225,-2,-1))</f>
        <v>90</v>
      </c>
      <c r="AR225" s="13" t="str">
        <f t="shared" ref="AR225" ca="1" si="425">IF(AND(AC225="",AQ225=0),AS225,"XX")</f>
        <v>XX</v>
      </c>
      <c r="AS225" s="255">
        <f>MAX($AE$21:AE223)</f>
        <v>0</v>
      </c>
      <c r="AT225" s="255">
        <f>IF(SUM(AE227:$AE$259)&gt;0,MIN(AE227:$AE$259),10000)</f>
        <v>10000</v>
      </c>
      <c r="AU225" s="78"/>
      <c r="AV225" s="78"/>
      <c r="AW225" s="13">
        <f t="shared" ref="AW225" si="426">IF(AND(AC225&lt;&gt;"",AE225&lt;&gt;""),4,0)</f>
        <v>0</v>
      </c>
      <c r="AX225" s="78" t="e">
        <f ca="1">IF(AND(AN225&lt;&gt;1,AN225&lt;&gt;3,AN225&lt;&gt;4),AR225+1,XX)</f>
        <v>#VALUE!</v>
      </c>
      <c r="AY225" s="78">
        <f>IF(AND(AN225&lt;&gt;1,AN225&lt;&gt;3,AN225&lt;&gt;4),AT225-1,XX)</f>
        <v>9999</v>
      </c>
    </row>
    <row r="226" spans="1:51" s="6" customFormat="1" ht="3" customHeight="1">
      <c r="A226" s="255"/>
      <c r="B226" s="255"/>
      <c r="J226" s="274"/>
      <c r="L226" s="28"/>
      <c r="M226" s="28"/>
      <c r="O226" s="36"/>
      <c r="P226" s="36"/>
      <c r="Q226" s="36"/>
      <c r="R226" s="36"/>
      <c r="S226" s="36"/>
      <c r="T226" s="36"/>
      <c r="U226" s="36"/>
      <c r="V226" s="36"/>
      <c r="W226" s="36"/>
      <c r="X226" s="36"/>
      <c r="Y226" s="36"/>
      <c r="Z226" s="36"/>
      <c r="AA226" s="36"/>
      <c r="AB226" s="9"/>
      <c r="AC226" s="164"/>
      <c r="AD226" s="162"/>
      <c r="AE226" s="165"/>
      <c r="AF226" s="28"/>
      <c r="AG226" s="255"/>
      <c r="AJ226" s="160"/>
      <c r="AK226" s="160"/>
      <c r="AL226" s="172"/>
      <c r="AM226" s="160"/>
      <c r="AN226" s="160"/>
      <c r="AO226" s="160"/>
      <c r="AP226" s="160"/>
      <c r="AQ226" s="160"/>
      <c r="AR226" s="160"/>
      <c r="AS226" s="171"/>
      <c r="AT226" s="171"/>
      <c r="AU226" s="160"/>
      <c r="AV226" s="161"/>
      <c r="AW226" s="161"/>
    </row>
    <row r="227" spans="1:51" ht="14.25" customHeight="1">
      <c r="B227" s="255"/>
      <c r="J227" s="284">
        <f>J203+1</f>
        <v>14</v>
      </c>
      <c r="K227" s="2" t="s">
        <v>211</v>
      </c>
      <c r="L227" s="7"/>
      <c r="M227" s="7"/>
      <c r="O227" s="454" t="str">
        <f>CONCATENATE(J227,". ",K227)</f>
        <v>14. Se Embarcação a Ser Construída</v>
      </c>
      <c r="P227" s="454"/>
      <c r="Q227" s="454"/>
      <c r="R227" s="454"/>
      <c r="S227" s="454"/>
      <c r="T227" s="454"/>
      <c r="U227" s="454"/>
      <c r="V227" s="454"/>
      <c r="W227" s="454"/>
      <c r="X227" s="454"/>
      <c r="Y227" s="454"/>
      <c r="Z227" s="454"/>
      <c r="AA227" s="454"/>
      <c r="AB227" s="9"/>
      <c r="AC227" s="191"/>
      <c r="AD227" s="162"/>
      <c r="AE227" s="136" t="s">
        <v>389</v>
      </c>
      <c r="AF227" s="7"/>
      <c r="AK227" s="160"/>
      <c r="AM227" s="255"/>
      <c r="AN227" s="283">
        <f>IF(OR(AE229&lt;&gt;"",AE231&lt;&gt;"",AE233&lt;&gt;"",AE235&lt;&gt;"",AE237&lt;&gt;"",AE239&lt;&gt;"",AE241&lt;&gt;"",AE243&lt;&gt;"",AC229&lt;&gt;"",AC231&lt;&gt;"",AC233&lt;&gt;"",AC235&lt;&gt;"",AC237&lt;&gt;"",AC239&lt;&gt;"",AC241&lt;&gt;"",AC243&lt;&gt;""),3,0)</f>
        <v>0</v>
      </c>
      <c r="AO227" s="255" t="str">
        <f>IF(AND(AE227="-",AN227=2),"",IF(AND(AE227="-",AN227&lt;&gt;3),"X",""))</f>
        <v>X</v>
      </c>
      <c r="AP227" s="188"/>
      <c r="AQ227" s="255"/>
      <c r="AR227" s="13"/>
      <c r="AS227" s="255"/>
      <c r="AT227" s="255"/>
      <c r="AU227" s="78"/>
      <c r="AV227" s="78"/>
      <c r="AW227" s="13"/>
      <c r="AX227" s="78"/>
      <c r="AY227" s="78"/>
    </row>
    <row r="228" spans="1:51" s="6" customFormat="1" ht="3" customHeight="1">
      <c r="A228" s="255"/>
      <c r="B228" s="255"/>
      <c r="J228" s="274"/>
      <c r="L228" s="28"/>
      <c r="M228" s="28"/>
      <c r="O228" s="36"/>
      <c r="P228" s="36"/>
      <c r="Q228" s="36"/>
      <c r="R228" s="36"/>
      <c r="S228" s="36"/>
      <c r="T228" s="36"/>
      <c r="U228" s="36"/>
      <c r="V228" s="36"/>
      <c r="W228" s="36"/>
      <c r="X228" s="36"/>
      <c r="Y228" s="36"/>
      <c r="Z228" s="36"/>
      <c r="AA228" s="36"/>
      <c r="AB228" s="9"/>
      <c r="AC228" s="164"/>
      <c r="AD228" s="162"/>
      <c r="AE228" s="165"/>
      <c r="AF228" s="28"/>
      <c r="AG228" s="2"/>
      <c r="AJ228" s="160"/>
      <c r="AK228" s="160"/>
      <c r="AL228" s="172"/>
      <c r="AM228" s="160"/>
      <c r="AN228" s="160"/>
      <c r="AO228" s="160"/>
      <c r="AP228" s="160"/>
      <c r="AQ228" s="160"/>
      <c r="AR228" s="160"/>
      <c r="AS228" s="171"/>
      <c r="AT228" s="171"/>
      <c r="AU228" s="160"/>
      <c r="AV228" s="161"/>
      <c r="AW228" s="161"/>
    </row>
    <row r="229" spans="1:51" ht="14.25" customHeight="1">
      <c r="B229" s="255"/>
      <c r="J229" s="272" t="str">
        <f>IF(IFERROR(SEARCH(".",J227),0)=0,CONCATENATE(J227,".",1),IF(IFERROR(SEARCH(".",J227),0)&gt;1,CONCATENATE(IFERROR(LEFT(J227,IFERROR(SEARCH(".",J227),0)-1),0),".",IFERROR(RIGHT(J227,LEN(J227)-IFERROR(SEARCH(".",J227),0)),0)+1),0))</f>
        <v>14.1</v>
      </c>
      <c r="K229" s="2" t="s">
        <v>266</v>
      </c>
      <c r="L229" s="7"/>
      <c r="M229" s="7"/>
      <c r="O229" s="467" t="str">
        <f>CONCATENATE(J229,". ",K229,$K$17)</f>
        <v>14.1. Projeto, Cronograma físico-financeiro e ART para embarcação a ser construída e objeto do financiamento;------------------------------------------------------------------------------------------------------------------------------------------------------------------------</v>
      </c>
      <c r="P229" s="467"/>
      <c r="Q229" s="467"/>
      <c r="R229" s="467"/>
      <c r="S229" s="467"/>
      <c r="T229" s="467"/>
      <c r="U229" s="467"/>
      <c r="V229" s="467"/>
      <c r="W229" s="467"/>
      <c r="X229" s="467"/>
      <c r="Y229" s="467"/>
      <c r="Z229" s="467"/>
      <c r="AA229" s="467"/>
      <c r="AB229" s="467"/>
      <c r="AC229" s="467"/>
      <c r="AD229" s="162"/>
      <c r="AE229" s="166"/>
      <c r="AF229" s="7"/>
      <c r="AG229" s="80"/>
      <c r="AK229" s="160"/>
      <c r="AM229" s="255">
        <v>1</v>
      </c>
      <c r="AN229" s="271">
        <f>IF(AND(AC229&lt;&gt;"",AE229&lt;&gt;""),4,IF($AC$227&lt;&gt;"",3,IF(AC229&lt;&gt;"",1,IF(AE229&lt;&gt;"",2,0))))</f>
        <v>0</v>
      </c>
      <c r="AO229" s="255" t="str">
        <f t="shared" ref="AO229" si="427">IF(AND(AE229="",AN229=2),"",IF(AND(AE229="",AN229&lt;&gt;3),"X",""))</f>
        <v>X</v>
      </c>
      <c r="AP229" s="188">
        <f t="shared" ref="AP229" si="428">IF(AND(AC229&lt;&gt;"",AE229&lt;&gt;""),1,IF(AND(AE229="",AN229=2),1,IF(OR(AN229&lt;&gt;0),0,1)))</f>
        <v>1</v>
      </c>
      <c r="AQ229" s="255">
        <f ca="1">SUM($AP$21:OFFSET(AQ229,-2,-1))</f>
        <v>91</v>
      </c>
      <c r="AR229" s="13" t="str">
        <f t="shared" ref="AR229" ca="1" si="429">IF(AND(AC229="",AQ229=0),AS229,"XX")</f>
        <v>XX</v>
      </c>
      <c r="AS229" s="255">
        <f>MAX($AE$21:AE227)</f>
        <v>0</v>
      </c>
      <c r="AT229" s="255">
        <f>IF(SUM(AE231:$AE$259)&gt;0,MIN(AE231:$AE$259),10000)</f>
        <v>10000</v>
      </c>
      <c r="AU229" s="78"/>
      <c r="AV229" s="78"/>
      <c r="AW229" s="13">
        <f t="shared" ref="AW229" si="430">IF(AND(AC229&lt;&gt;"",AE229&lt;&gt;""),4,0)</f>
        <v>0</v>
      </c>
      <c r="AX229" s="78" t="e">
        <f ca="1">IF(AND(AN229&lt;&gt;1,AN229&lt;&gt;3,AN229&lt;&gt;4),AR229+1,XX)</f>
        <v>#VALUE!</v>
      </c>
      <c r="AY229" s="78">
        <f>IF(AND(AN229&lt;&gt;1,AN229&lt;&gt;3,AN229&lt;&gt;4),AT229-1,XX)</f>
        <v>9999</v>
      </c>
    </row>
    <row r="230" spans="1:51" s="6" customFormat="1" ht="3" customHeight="1">
      <c r="A230" s="255"/>
      <c r="B230" s="255"/>
      <c r="J230" s="274"/>
      <c r="L230" s="28"/>
      <c r="M230" s="28"/>
      <c r="O230" s="36"/>
      <c r="P230" s="36"/>
      <c r="Q230" s="36"/>
      <c r="R230" s="36"/>
      <c r="S230" s="36"/>
      <c r="T230" s="36"/>
      <c r="U230" s="36"/>
      <c r="V230" s="36"/>
      <c r="W230" s="36"/>
      <c r="X230" s="36"/>
      <c r="Y230" s="36"/>
      <c r="Z230" s="36"/>
      <c r="AA230" s="36"/>
      <c r="AB230" s="9"/>
      <c r="AC230" s="164"/>
      <c r="AD230" s="162"/>
      <c r="AE230" s="165"/>
      <c r="AF230" s="28"/>
      <c r="AG230" s="2"/>
      <c r="AJ230" s="160"/>
      <c r="AK230" s="160"/>
      <c r="AL230" s="172"/>
      <c r="AM230" s="160"/>
      <c r="AN230" s="160"/>
      <c r="AO230" s="160"/>
      <c r="AP230" s="160"/>
      <c r="AQ230" s="160"/>
      <c r="AR230" s="160"/>
      <c r="AS230" s="171"/>
      <c r="AT230" s="171"/>
      <c r="AU230" s="160"/>
      <c r="AV230" s="161"/>
      <c r="AW230" s="161"/>
    </row>
    <row r="231" spans="1:51" ht="14.25" customHeight="1">
      <c r="B231" s="255"/>
      <c r="J231" s="272" t="str">
        <f>IF(IFERROR(SEARCH(".",J229),0)=0,CONCATENATE(J229,".",1),IF(IFERROR(SEARCH(".",J229),0)&gt;1,CONCATENATE(IFERROR(LEFT(J229,IFERROR(SEARCH(".",J229),0)-1),0),".",IFERROR(RIGHT(J229,LEN(J229)-IFERROR(SEARCH(".",J229),0)),0)+1),0))</f>
        <v>14.2</v>
      </c>
      <c r="K231" s="2" t="s">
        <v>41</v>
      </c>
      <c r="L231" s="7"/>
      <c r="M231" s="7"/>
      <c r="O231" s="467" t="str">
        <f>CONCATENATE(J231,". ",K231,$K$17)</f>
        <v>14.2. Proposta/orçamento de construção por estaleiro;------------------------------------------------------------------------------------------------------------------------------------------------------------------------</v>
      </c>
      <c r="P231" s="467"/>
      <c r="Q231" s="467"/>
      <c r="R231" s="467"/>
      <c r="S231" s="467"/>
      <c r="T231" s="467"/>
      <c r="U231" s="467"/>
      <c r="V231" s="467"/>
      <c r="W231" s="467"/>
      <c r="X231" s="467"/>
      <c r="Y231" s="467"/>
      <c r="Z231" s="467"/>
      <c r="AA231" s="467"/>
      <c r="AB231" s="467"/>
      <c r="AC231" s="467"/>
      <c r="AD231" s="162"/>
      <c r="AE231" s="166"/>
      <c r="AF231" s="7"/>
      <c r="AG231" s="80"/>
      <c r="AK231" s="160"/>
      <c r="AM231" s="255">
        <v>1</v>
      </c>
      <c r="AN231" s="271">
        <f t="shared" ref="AN231" si="431">IF(AND(AC231&lt;&gt;"",AE231&lt;&gt;""),4,IF($AC$227&lt;&gt;"",3,IF(AC231&lt;&gt;"",1,IF(AE231&lt;&gt;"",2,0))))</f>
        <v>0</v>
      </c>
      <c r="AO231" s="255" t="str">
        <f t="shared" ref="AO231" si="432">IF(AND(AE231="",AN231=2),"",IF(AND(AE231="",AN231&lt;&gt;3),"X",""))</f>
        <v>X</v>
      </c>
      <c r="AP231" s="188">
        <f t="shared" ref="AP231" si="433">IF(AND(AC231&lt;&gt;"",AE231&lt;&gt;""),1,IF(AND(AE231="",AN231=2),1,IF(OR(AN231&lt;&gt;0),0,1)))</f>
        <v>1</v>
      </c>
      <c r="AQ231" s="255">
        <f ca="1">SUM($AP$21:OFFSET(AQ231,-2,-1))</f>
        <v>92</v>
      </c>
      <c r="AR231" s="13" t="str">
        <f t="shared" ref="AR231" ca="1" si="434">IF(AND(AC231="",AQ231=0),AS231,"XX")</f>
        <v>XX</v>
      </c>
      <c r="AS231" s="255">
        <f>MAX($AE$21:AE229)</f>
        <v>0</v>
      </c>
      <c r="AT231" s="255">
        <f>IF(SUM(AE233:$AE$259)&gt;0,MIN(AE233:$AE$259),10000)</f>
        <v>10000</v>
      </c>
      <c r="AU231" s="78"/>
      <c r="AV231" s="78"/>
      <c r="AW231" s="13">
        <f t="shared" ref="AW231" si="435">IF(AND(AC231&lt;&gt;"",AE231&lt;&gt;""),4,0)</f>
        <v>0</v>
      </c>
      <c r="AX231" s="78" t="e">
        <f ca="1">IF(AND(AN231&lt;&gt;1,AN231&lt;&gt;3,AN231&lt;&gt;4),AR231+1,XX)</f>
        <v>#VALUE!</v>
      </c>
      <c r="AY231" s="78">
        <f>IF(AND(AN231&lt;&gt;1,AN231&lt;&gt;3,AN231&lt;&gt;4),AT231-1,XX)</f>
        <v>9999</v>
      </c>
    </row>
    <row r="232" spans="1:51" s="6" customFormat="1" ht="3" customHeight="1">
      <c r="A232" s="255"/>
      <c r="B232" s="255"/>
      <c r="J232" s="274"/>
      <c r="L232" s="28"/>
      <c r="M232" s="28"/>
      <c r="O232" s="36"/>
      <c r="P232" s="36"/>
      <c r="Q232" s="36"/>
      <c r="R232" s="36"/>
      <c r="S232" s="36"/>
      <c r="T232" s="36"/>
      <c r="U232" s="36"/>
      <c r="V232" s="36"/>
      <c r="W232" s="36"/>
      <c r="X232" s="36"/>
      <c r="Y232" s="36"/>
      <c r="Z232" s="36"/>
      <c r="AA232" s="36"/>
      <c r="AB232" s="9"/>
      <c r="AC232" s="164"/>
      <c r="AD232" s="162"/>
      <c r="AE232" s="165"/>
      <c r="AF232" s="28"/>
      <c r="AG232" s="255"/>
      <c r="AJ232" s="160"/>
      <c r="AK232" s="160"/>
      <c r="AL232" s="172"/>
      <c r="AM232" s="160"/>
      <c r="AN232" s="160"/>
      <c r="AO232" s="160"/>
      <c r="AP232" s="160"/>
      <c r="AQ232" s="160"/>
      <c r="AR232" s="160"/>
      <c r="AS232" s="171"/>
      <c r="AT232" s="171"/>
      <c r="AU232" s="160"/>
      <c r="AV232" s="161"/>
      <c r="AW232" s="161"/>
    </row>
    <row r="233" spans="1:51" ht="14.25" customHeight="1">
      <c r="B233" s="255"/>
      <c r="J233" s="272" t="str">
        <f>IF(IFERROR(SEARCH(".",J231),0)=0,CONCATENATE(J231,".",1),IF(IFERROR(SEARCH(".",J231),0)&gt;1,CONCATENATE(IFERROR(LEFT(J231,IFERROR(SEARCH(".",J231),0)-1),0),".",IFERROR(RIGHT(J231,LEN(J231)-IFERROR(SEARCH(".",J231),0)),0)+1),0))</f>
        <v>14.3</v>
      </c>
      <c r="K233" s="2" t="s">
        <v>42</v>
      </c>
      <c r="L233" s="7"/>
      <c r="M233" s="7"/>
      <c r="O233" s="467" t="str">
        <f>CONCATENATE(J233,". ",K233,$K$17)</f>
        <v>14.3. Contrato ou proposta de construção da embarcação entre armador e a empresa construtora/estaleiro;------------------------------------------------------------------------------------------------------------------------------------------------------------------------</v>
      </c>
      <c r="P233" s="467"/>
      <c r="Q233" s="467"/>
      <c r="R233" s="467"/>
      <c r="S233" s="467"/>
      <c r="T233" s="467"/>
      <c r="U233" s="467"/>
      <c r="V233" s="467"/>
      <c r="W233" s="467"/>
      <c r="X233" s="467"/>
      <c r="Y233" s="467"/>
      <c r="Z233" s="467"/>
      <c r="AA233" s="467"/>
      <c r="AB233" s="467"/>
      <c r="AC233" s="467"/>
      <c r="AD233" s="162"/>
      <c r="AE233" s="166"/>
      <c r="AF233" s="7"/>
      <c r="AG233" s="80"/>
      <c r="AK233" s="160"/>
      <c r="AM233" s="255">
        <v>1</v>
      </c>
      <c r="AN233" s="271">
        <f t="shared" ref="AN233" si="436">IF(AND(AC233&lt;&gt;"",AE233&lt;&gt;""),4,IF($AC$227&lt;&gt;"",3,IF(AC233&lt;&gt;"",1,IF(AE233&lt;&gt;"",2,0))))</f>
        <v>0</v>
      </c>
      <c r="AO233" s="255" t="str">
        <f t="shared" ref="AO233" si="437">IF(AND(AE233="",AN233=2),"",IF(AND(AE233="",AN233&lt;&gt;3),"X",""))</f>
        <v>X</v>
      </c>
      <c r="AP233" s="188">
        <f t="shared" ref="AP233" si="438">IF(AND(AC233&lt;&gt;"",AE233&lt;&gt;""),1,IF(AND(AE233="",AN233=2),1,IF(OR(AN233&lt;&gt;0),0,1)))</f>
        <v>1</v>
      </c>
      <c r="AQ233" s="255">
        <f ca="1">SUM($AP$21:OFFSET(AQ233,-2,-1))</f>
        <v>93</v>
      </c>
      <c r="AR233" s="13" t="str">
        <f t="shared" ref="AR233" ca="1" si="439">IF(AND(AC233="",AQ233=0),AS233,"XX")</f>
        <v>XX</v>
      </c>
      <c r="AS233" s="255">
        <f>MAX($AE$21:AE231)</f>
        <v>0</v>
      </c>
      <c r="AT233" s="255">
        <f>IF(SUM(AE235:$AE$259)&gt;0,MIN(AE235:$AE$259),10000)</f>
        <v>10000</v>
      </c>
      <c r="AU233" s="78"/>
      <c r="AV233" s="78"/>
      <c r="AW233" s="13">
        <f t="shared" ref="AW233" si="440">IF(AND(AC233&lt;&gt;"",AE233&lt;&gt;""),4,0)</f>
        <v>0</v>
      </c>
      <c r="AX233" s="78" t="e">
        <f ca="1">IF(AND(AN233&lt;&gt;1,AN233&lt;&gt;3,AN233&lt;&gt;4),AR233+1,XX)</f>
        <v>#VALUE!</v>
      </c>
      <c r="AY233" s="78">
        <f>IF(AND(AN233&lt;&gt;1,AN233&lt;&gt;3,AN233&lt;&gt;4),AT233-1,XX)</f>
        <v>9999</v>
      </c>
    </row>
    <row r="234" spans="1:51" s="6" customFormat="1" ht="3" customHeight="1">
      <c r="A234" s="255"/>
      <c r="B234" s="255"/>
      <c r="J234" s="274"/>
      <c r="L234" s="28"/>
      <c r="M234" s="28"/>
      <c r="O234" s="36"/>
      <c r="P234" s="36"/>
      <c r="Q234" s="36"/>
      <c r="R234" s="36"/>
      <c r="S234" s="36"/>
      <c r="T234" s="36"/>
      <c r="U234" s="36"/>
      <c r="V234" s="36"/>
      <c r="W234" s="36"/>
      <c r="X234" s="36"/>
      <c r="Y234" s="36"/>
      <c r="Z234" s="36"/>
      <c r="AA234" s="36"/>
      <c r="AB234" s="9"/>
      <c r="AC234" s="164"/>
      <c r="AD234" s="162"/>
      <c r="AE234" s="165"/>
      <c r="AF234" s="28"/>
      <c r="AG234" s="255"/>
      <c r="AJ234" s="160"/>
      <c r="AK234" s="160"/>
      <c r="AL234" s="172"/>
      <c r="AM234" s="160"/>
      <c r="AN234" s="160"/>
      <c r="AO234" s="160"/>
      <c r="AP234" s="160"/>
      <c r="AQ234" s="160"/>
      <c r="AR234" s="160"/>
      <c r="AS234" s="171"/>
      <c r="AT234" s="171"/>
      <c r="AU234" s="160"/>
      <c r="AV234" s="161"/>
      <c r="AW234" s="161"/>
    </row>
    <row r="235" spans="1:51" ht="14.25" customHeight="1">
      <c r="B235" s="255"/>
      <c r="J235" s="272" t="str">
        <f>IF(IFERROR(SEARCH(".",J233),0)=0,CONCATENATE(J233,".",1),IF(IFERROR(SEARCH(".",J233),0)&gt;1,CONCATENATE(IFERROR(LEFT(J233,IFERROR(SEARCH(".",J233),0)-1),0),".",IFERROR(RIGHT(J233,LEN(J233)-IFERROR(SEARCH(".",J233),0)),0)+1),0))</f>
        <v>14.4</v>
      </c>
      <c r="K235" s="2" t="s">
        <v>39</v>
      </c>
      <c r="L235" s="7"/>
      <c r="M235" s="7"/>
      <c r="O235" s="467" t="str">
        <f>CONCATENATE(J235,". ",K235,$K$17)</f>
        <v>14.4. Licença de Operação vigente da empresa construtora/estaleiro;------------------------------------------------------------------------------------------------------------------------------------------------------------------------</v>
      </c>
      <c r="P235" s="467"/>
      <c r="Q235" s="467"/>
      <c r="R235" s="467"/>
      <c r="S235" s="467"/>
      <c r="T235" s="467"/>
      <c r="U235" s="467"/>
      <c r="V235" s="467"/>
      <c r="W235" s="467"/>
      <c r="X235" s="467"/>
      <c r="Y235" s="467"/>
      <c r="Z235" s="467"/>
      <c r="AA235" s="467"/>
      <c r="AB235" s="467"/>
      <c r="AC235" s="467"/>
      <c r="AD235" s="162"/>
      <c r="AE235" s="166"/>
      <c r="AF235" s="7"/>
      <c r="AG235" s="80"/>
      <c r="AK235" s="160"/>
      <c r="AM235" s="255">
        <v>1</v>
      </c>
      <c r="AN235" s="271">
        <f t="shared" ref="AN235" si="441">IF(AND(AC235&lt;&gt;"",AE235&lt;&gt;""),4,IF($AC$227&lt;&gt;"",3,IF(AC235&lt;&gt;"",1,IF(AE235&lt;&gt;"",2,0))))</f>
        <v>0</v>
      </c>
      <c r="AO235" s="255" t="str">
        <f t="shared" ref="AO235" si="442">IF(AND(AE235="",AN235=2),"",IF(AND(AE235="",AN235&lt;&gt;3),"X",""))</f>
        <v>X</v>
      </c>
      <c r="AP235" s="188">
        <f t="shared" ref="AP235" si="443">IF(AND(AC235&lt;&gt;"",AE235&lt;&gt;""),1,IF(AND(AE235="",AN235=2),1,IF(OR(AN235&lt;&gt;0),0,1)))</f>
        <v>1</v>
      </c>
      <c r="AQ235" s="255">
        <f ca="1">SUM($AP$21:OFFSET(AQ235,-2,-1))</f>
        <v>94</v>
      </c>
      <c r="AR235" s="13" t="str">
        <f t="shared" ref="AR235" ca="1" si="444">IF(AND(AC235="",AQ235=0),AS235,"XX")</f>
        <v>XX</v>
      </c>
      <c r="AS235" s="255">
        <f>MAX($AE$21:AE233)</f>
        <v>0</v>
      </c>
      <c r="AT235" s="255">
        <f>IF(SUM(AE237:$AE$259)&gt;0,MIN(AE237:$AE$259),10000)</f>
        <v>10000</v>
      </c>
      <c r="AU235" s="78"/>
      <c r="AV235" s="78"/>
      <c r="AW235" s="13">
        <f t="shared" ref="AW235" si="445">IF(AND(AC235&lt;&gt;"",AE235&lt;&gt;""),4,0)</f>
        <v>0</v>
      </c>
      <c r="AX235" s="78" t="e">
        <f ca="1">IF(AND(AN235&lt;&gt;1,AN235&lt;&gt;3,AN235&lt;&gt;4),AR235+1,XX)</f>
        <v>#VALUE!</v>
      </c>
      <c r="AY235" s="78">
        <f>IF(AND(AN235&lt;&gt;1,AN235&lt;&gt;3,AN235&lt;&gt;4),AT235-1,XX)</f>
        <v>9999</v>
      </c>
    </row>
    <row r="236" spans="1:51" s="6" customFormat="1" ht="3" customHeight="1">
      <c r="A236" s="255"/>
      <c r="B236" s="255"/>
      <c r="J236" s="274"/>
      <c r="L236" s="28"/>
      <c r="M236" s="28"/>
      <c r="O236" s="36"/>
      <c r="P236" s="36"/>
      <c r="Q236" s="36"/>
      <c r="R236" s="36"/>
      <c r="S236" s="36"/>
      <c r="T236" s="36"/>
      <c r="U236" s="36"/>
      <c r="V236" s="36"/>
      <c r="W236" s="36"/>
      <c r="X236" s="36"/>
      <c r="Y236" s="36"/>
      <c r="Z236" s="36"/>
      <c r="AA236" s="36"/>
      <c r="AB236" s="9"/>
      <c r="AC236" s="164"/>
      <c r="AD236" s="162"/>
      <c r="AE236" s="165"/>
      <c r="AF236" s="28"/>
      <c r="AG236" s="25"/>
      <c r="AJ236" s="160"/>
      <c r="AK236" s="160"/>
      <c r="AL236" s="172"/>
      <c r="AM236" s="160"/>
      <c r="AN236" s="160"/>
      <c r="AO236" s="160"/>
      <c r="AP236" s="160"/>
      <c r="AQ236" s="160"/>
      <c r="AR236" s="160"/>
      <c r="AS236" s="171"/>
      <c r="AT236" s="171"/>
      <c r="AU236" s="160"/>
      <c r="AV236" s="161"/>
      <c r="AW236" s="161"/>
    </row>
    <row r="237" spans="1:51" ht="14.25" customHeight="1">
      <c r="B237" s="255"/>
      <c r="J237" s="272" t="str">
        <f>IF(IFERROR(SEARCH(".",J235),0)=0,CONCATENATE(J235,".",1),IF(IFERROR(SEARCH(".",J235),0)&gt;1,CONCATENATE(IFERROR(LEFT(J235,IFERROR(SEARCH(".",J235),0)-1),0),".",IFERROR(RIGHT(J235,LEN(J235)-IFERROR(SEARCH(".",J235),0)),0)+1),0))</f>
        <v>14.5</v>
      </c>
      <c r="K237" s="2" t="s">
        <v>43</v>
      </c>
      <c r="L237" s="7"/>
      <c r="M237" s="7"/>
      <c r="O237" s="467" t="str">
        <f>CONCATENATE(J237,". ",K237,$K$17)</f>
        <v>14.5. Registro da empresa estaleiro/construtor no CREA;------------------------------------------------------------------------------------------------------------------------------------------------------------------------</v>
      </c>
      <c r="P237" s="467"/>
      <c r="Q237" s="467"/>
      <c r="R237" s="467"/>
      <c r="S237" s="467"/>
      <c r="T237" s="467"/>
      <c r="U237" s="467"/>
      <c r="V237" s="467"/>
      <c r="W237" s="467"/>
      <c r="X237" s="467"/>
      <c r="Y237" s="467"/>
      <c r="Z237" s="467"/>
      <c r="AA237" s="467"/>
      <c r="AB237" s="467"/>
      <c r="AC237" s="467"/>
      <c r="AD237" s="162"/>
      <c r="AE237" s="166"/>
      <c r="AF237" s="7"/>
      <c r="AG237" s="80"/>
      <c r="AK237" s="160"/>
      <c r="AM237" s="255">
        <v>1</v>
      </c>
      <c r="AN237" s="271">
        <f t="shared" ref="AN237" si="446">IF(AND(AC237&lt;&gt;"",AE237&lt;&gt;""),4,IF($AC$227&lt;&gt;"",3,IF(AC237&lt;&gt;"",1,IF(AE237&lt;&gt;"",2,0))))</f>
        <v>0</v>
      </c>
      <c r="AO237" s="255" t="str">
        <f t="shared" ref="AO237" si="447">IF(AND(AE237="",AN237=2),"",IF(AND(AE237="",AN237&lt;&gt;3),"X",""))</f>
        <v>X</v>
      </c>
      <c r="AP237" s="188">
        <f t="shared" ref="AP237" si="448">IF(AND(AC237&lt;&gt;"",AE237&lt;&gt;""),1,IF(AND(AE237="",AN237=2),1,IF(OR(AN237&lt;&gt;0),0,1)))</f>
        <v>1</v>
      </c>
      <c r="AQ237" s="255">
        <f ca="1">SUM($AP$21:OFFSET(AQ237,-2,-1))</f>
        <v>95</v>
      </c>
      <c r="AR237" s="13" t="str">
        <f t="shared" ref="AR237" ca="1" si="449">IF(AND(AC237="",AQ237=0),AS237,"XX")</f>
        <v>XX</v>
      </c>
      <c r="AS237" s="255">
        <f>MAX($AE$21:AE235)</f>
        <v>0</v>
      </c>
      <c r="AT237" s="255">
        <f>IF(SUM(AE239:$AE$259)&gt;0,MIN(AE239:$AE$259),10000)</f>
        <v>10000</v>
      </c>
      <c r="AU237" s="78"/>
      <c r="AV237" s="78"/>
      <c r="AW237" s="13">
        <f t="shared" ref="AW237" si="450">IF(AND(AC237&lt;&gt;"",AE237&lt;&gt;""),4,0)</f>
        <v>0</v>
      </c>
      <c r="AX237" s="78" t="e">
        <f ca="1">IF(AND(AN237&lt;&gt;1,AN237&lt;&gt;3,AN237&lt;&gt;4),AR237+1,XX)</f>
        <v>#VALUE!</v>
      </c>
      <c r="AY237" s="78">
        <f>IF(AND(AN237&lt;&gt;1,AN237&lt;&gt;3,AN237&lt;&gt;4),AT237-1,XX)</f>
        <v>9999</v>
      </c>
    </row>
    <row r="238" spans="1:51" s="6" customFormat="1" ht="3" customHeight="1">
      <c r="A238" s="255"/>
      <c r="B238" s="255"/>
      <c r="J238" s="274"/>
      <c r="L238" s="28"/>
      <c r="M238" s="28"/>
      <c r="O238" s="36"/>
      <c r="P238" s="36"/>
      <c r="Q238" s="36"/>
      <c r="R238" s="36"/>
      <c r="S238" s="36"/>
      <c r="T238" s="36"/>
      <c r="U238" s="36"/>
      <c r="V238" s="36"/>
      <c r="W238" s="36"/>
      <c r="X238" s="36"/>
      <c r="Y238" s="36"/>
      <c r="Z238" s="36"/>
      <c r="AA238" s="36"/>
      <c r="AB238" s="9"/>
      <c r="AC238" s="164"/>
      <c r="AD238" s="162"/>
      <c r="AE238" s="165"/>
      <c r="AF238" s="28"/>
      <c r="AG238" s="255"/>
      <c r="AJ238" s="160"/>
      <c r="AK238" s="160"/>
      <c r="AL238" s="172"/>
      <c r="AM238" s="160"/>
      <c r="AN238" s="160"/>
      <c r="AO238" s="160"/>
      <c r="AP238" s="160"/>
      <c r="AQ238" s="160"/>
      <c r="AR238" s="160"/>
      <c r="AS238" s="171"/>
      <c r="AT238" s="171"/>
      <c r="AU238" s="160"/>
      <c r="AV238" s="161"/>
      <c r="AW238" s="161"/>
    </row>
    <row r="239" spans="1:51" ht="14.25" customHeight="1">
      <c r="B239" s="255"/>
      <c r="J239" s="272" t="str">
        <f>IF(IFERROR(SEARCH(".",J237),0)=0,CONCATENATE(J237,".",1),IF(IFERROR(SEARCH(".",J237),0)&gt;1,CONCATENATE(IFERROR(LEFT(J237,IFERROR(SEARCH(".",J237),0)-1),0),".",IFERROR(RIGHT(J237,LEN(J237)-IFERROR(SEARCH(".",J237),0)),0)+1),0))</f>
        <v>14.6</v>
      </c>
      <c r="K239" s="2" t="s">
        <v>229</v>
      </c>
      <c r="L239" s="7"/>
      <c r="M239" s="7"/>
      <c r="O239" s="467" t="str">
        <f>CONCATENATE(J239,". ",K239,$K$17)</f>
        <v>14.6. Certidão de regularidade junto ao CREA; (da empresa estaleiro/construtor)------------------------------------------------------------------------------------------------------------------------------------------------------------------------</v>
      </c>
      <c r="P239" s="467"/>
      <c r="Q239" s="467"/>
      <c r="R239" s="467"/>
      <c r="S239" s="467"/>
      <c r="T239" s="467"/>
      <c r="U239" s="467"/>
      <c r="V239" s="467"/>
      <c r="W239" s="467"/>
      <c r="X239" s="467"/>
      <c r="Y239" s="467"/>
      <c r="Z239" s="467"/>
      <c r="AA239" s="467"/>
      <c r="AB239" s="467"/>
      <c r="AC239" s="467"/>
      <c r="AD239" s="162"/>
      <c r="AE239" s="166"/>
      <c r="AF239" s="7"/>
      <c r="AG239" s="80"/>
      <c r="AK239" s="160"/>
      <c r="AM239" s="255">
        <v>1</v>
      </c>
      <c r="AN239" s="271">
        <f t="shared" ref="AN239" si="451">IF(AND(AC239&lt;&gt;"",AE239&lt;&gt;""),4,IF($AC$227&lt;&gt;"",3,IF(AC239&lt;&gt;"",1,IF(AE239&lt;&gt;"",2,0))))</f>
        <v>0</v>
      </c>
      <c r="AO239" s="255" t="str">
        <f t="shared" ref="AO239" si="452">IF(AND(AE239="",AN239=2),"",IF(AND(AE239="",AN239&lt;&gt;3),"X",""))</f>
        <v>X</v>
      </c>
      <c r="AP239" s="188">
        <f t="shared" ref="AP239" si="453">IF(AND(AC239&lt;&gt;"",AE239&lt;&gt;""),1,IF(AND(AE239="",AN239=2),1,IF(OR(AN239&lt;&gt;0),0,1)))</f>
        <v>1</v>
      </c>
      <c r="AQ239" s="255">
        <f ca="1">SUM($AP$21:OFFSET(AQ239,-2,-1))</f>
        <v>96</v>
      </c>
      <c r="AR239" s="13" t="str">
        <f t="shared" ref="AR239" ca="1" si="454">IF(AND(AC239="",AQ239=0),AS239,"XX")</f>
        <v>XX</v>
      </c>
      <c r="AS239" s="255">
        <f>MAX($AE$21:AE237)</f>
        <v>0</v>
      </c>
      <c r="AT239" s="255">
        <f>IF(SUM(AE241:$AE$259)&gt;0,MIN(AE241:$AE$259),10000)</f>
        <v>10000</v>
      </c>
      <c r="AU239" s="78"/>
      <c r="AV239" s="78"/>
      <c r="AW239" s="13">
        <f t="shared" ref="AW239" si="455">IF(AND(AC239&lt;&gt;"",AE239&lt;&gt;""),4,0)</f>
        <v>0</v>
      </c>
      <c r="AX239" s="78" t="e">
        <f ca="1">IF(AND(AN239&lt;&gt;1,AN239&lt;&gt;3,AN239&lt;&gt;4),AR239+1,XX)</f>
        <v>#VALUE!</v>
      </c>
      <c r="AY239" s="78">
        <f>IF(AND(AN239&lt;&gt;1,AN239&lt;&gt;3,AN239&lt;&gt;4),AT239-1,XX)</f>
        <v>9999</v>
      </c>
    </row>
    <row r="240" spans="1:51" s="6" customFormat="1" ht="3" customHeight="1">
      <c r="A240" s="255"/>
      <c r="B240" s="255"/>
      <c r="J240" s="274"/>
      <c r="L240" s="28"/>
      <c r="M240" s="28"/>
      <c r="O240" s="36"/>
      <c r="P240" s="36"/>
      <c r="Q240" s="36"/>
      <c r="R240" s="36"/>
      <c r="S240" s="36"/>
      <c r="T240" s="36"/>
      <c r="U240" s="36"/>
      <c r="V240" s="36"/>
      <c r="W240" s="36"/>
      <c r="X240" s="36"/>
      <c r="Y240" s="36"/>
      <c r="Z240" s="36"/>
      <c r="AA240" s="36"/>
      <c r="AB240" s="9"/>
      <c r="AC240" s="164"/>
      <c r="AD240" s="162"/>
      <c r="AE240" s="165"/>
      <c r="AF240" s="28"/>
      <c r="AG240" s="255"/>
      <c r="AJ240" s="160"/>
      <c r="AK240" s="160"/>
      <c r="AL240" s="172"/>
      <c r="AM240" s="160"/>
      <c r="AN240" s="160"/>
      <c r="AO240" s="160"/>
      <c r="AP240" s="160"/>
      <c r="AQ240" s="160"/>
      <c r="AR240" s="160"/>
      <c r="AS240" s="171"/>
      <c r="AT240" s="171"/>
      <c r="AU240" s="160"/>
      <c r="AV240" s="161"/>
      <c r="AW240" s="161"/>
    </row>
    <row r="241" spans="1:51" ht="14.25" customHeight="1">
      <c r="B241" s="255"/>
      <c r="J241" s="272" t="str">
        <f>IF(IFERROR(SEARCH(".",J239),0)=0,CONCATENATE(J239,".",1),IF(IFERROR(SEARCH(".",J239),0)&gt;1,CONCATENATE(IFERROR(LEFT(J239,IFERROR(SEARCH(".",J239),0)-1),0),".",IFERROR(RIGHT(J239,LEN(J239)-IFERROR(SEARCH(".",J239),0)),0)+1),0))</f>
        <v>14.7</v>
      </c>
      <c r="K241" s="2" t="s">
        <v>353</v>
      </c>
      <c r="L241" s="7"/>
      <c r="M241" s="7"/>
      <c r="O241" s="467" t="str">
        <f>CONCATENATE(J241,". ",K241,$K$17)</f>
        <v>14.7. Licença Provisória de Construção de Embarcação emitida pela empresa Certificadora;------------------------------------------------------------------------------------------------------------------------------------------------------------------------</v>
      </c>
      <c r="P241" s="467"/>
      <c r="Q241" s="467"/>
      <c r="R241" s="467"/>
      <c r="S241" s="467"/>
      <c r="T241" s="467"/>
      <c r="U241" s="467"/>
      <c r="V241" s="467"/>
      <c r="W241" s="467"/>
      <c r="X241" s="467"/>
      <c r="Y241" s="467"/>
      <c r="Z241" s="467"/>
      <c r="AA241" s="467"/>
      <c r="AB241" s="467"/>
      <c r="AC241" s="467"/>
      <c r="AD241" s="162"/>
      <c r="AE241" s="166"/>
      <c r="AF241" s="7"/>
      <c r="AG241" s="80"/>
      <c r="AK241" s="160"/>
      <c r="AM241" s="255">
        <v>1</v>
      </c>
      <c r="AN241" s="271">
        <f t="shared" ref="AN241" si="456">IF(AND(AC241&lt;&gt;"",AE241&lt;&gt;""),4,IF($AC$227&lt;&gt;"",3,IF(AC241&lt;&gt;"",1,IF(AE241&lt;&gt;"",2,0))))</f>
        <v>0</v>
      </c>
      <c r="AO241" s="255" t="str">
        <f t="shared" ref="AO241" si="457">IF(AND(AE241="",AN241=2),"",IF(AND(AE241="",AN241&lt;&gt;3),"X",""))</f>
        <v>X</v>
      </c>
      <c r="AP241" s="188">
        <f t="shared" ref="AP241" si="458">IF(AND(AC241&lt;&gt;"",AE241&lt;&gt;""),1,IF(AND(AE241="",AN241=2),1,IF(OR(AN241&lt;&gt;0),0,1)))</f>
        <v>1</v>
      </c>
      <c r="AQ241" s="255">
        <f ca="1">SUM($AP$21:OFFSET(AQ241,-2,-1))</f>
        <v>97</v>
      </c>
      <c r="AR241" s="13" t="str">
        <f t="shared" ref="AR241" ca="1" si="459">IF(AND(AC241="",AQ241=0),AS241,"XX")</f>
        <v>XX</v>
      </c>
      <c r="AS241" s="255">
        <f>MAX($AE$21:AE239)</f>
        <v>0</v>
      </c>
      <c r="AT241" s="255">
        <f>IF(SUM(AE243:$AE$259)&gt;0,MIN(AE243:$AE$259),10000)</f>
        <v>10000</v>
      </c>
      <c r="AU241" s="78"/>
      <c r="AV241" s="78"/>
      <c r="AW241" s="13">
        <f t="shared" ref="AW241" si="460">IF(AND(AC241&lt;&gt;"",AE241&lt;&gt;""),4,0)</f>
        <v>0</v>
      </c>
      <c r="AX241" s="78" t="e">
        <f ca="1">IF(AND(AN241&lt;&gt;1,AN241&lt;&gt;3,AN241&lt;&gt;4),AR241+1,XX)</f>
        <v>#VALUE!</v>
      </c>
      <c r="AY241" s="78">
        <f>IF(AND(AN241&lt;&gt;1,AN241&lt;&gt;3,AN241&lt;&gt;4),AT241-1,XX)</f>
        <v>9999</v>
      </c>
    </row>
    <row r="242" spans="1:51" s="6" customFormat="1" ht="3" customHeight="1">
      <c r="A242" s="255"/>
      <c r="B242" s="255"/>
      <c r="J242" s="274"/>
      <c r="L242" s="28"/>
      <c r="M242" s="28"/>
      <c r="O242" s="36"/>
      <c r="P242" s="36"/>
      <c r="Q242" s="36"/>
      <c r="R242" s="36"/>
      <c r="S242" s="36"/>
      <c r="T242" s="36"/>
      <c r="U242" s="36"/>
      <c r="V242" s="36"/>
      <c r="W242" s="36"/>
      <c r="X242" s="36"/>
      <c r="Y242" s="36"/>
      <c r="Z242" s="36"/>
      <c r="AA242" s="36"/>
      <c r="AB242" s="9"/>
      <c r="AC242" s="164"/>
      <c r="AD242" s="162"/>
      <c r="AE242" s="165"/>
      <c r="AF242" s="28"/>
      <c r="AG242" s="2"/>
      <c r="AJ242" s="160"/>
      <c r="AK242" s="160"/>
      <c r="AL242" s="172"/>
      <c r="AM242" s="160"/>
      <c r="AN242" s="160"/>
      <c r="AO242" s="160"/>
      <c r="AP242" s="160"/>
      <c r="AQ242" s="160"/>
      <c r="AR242" s="160"/>
      <c r="AS242" s="171"/>
      <c r="AT242" s="171"/>
      <c r="AU242" s="160"/>
      <c r="AV242" s="161"/>
      <c r="AW242" s="161"/>
    </row>
    <row r="243" spans="1:51" ht="14.25" customHeight="1">
      <c r="B243" s="255"/>
      <c r="J243" s="272" t="str">
        <f>IF(IFERROR(SEARCH(".",J241),0)=0,CONCATENATE(J241,".",1),IF(IFERROR(SEARCH(".",J241),0)&gt;1,CONCATENATE(IFERROR(LEFT(J241,IFERROR(SEARCH(".",J241),0)-1),0),".",IFERROR(RIGHT(J241,LEN(J241)-IFERROR(SEARCH(".",J241),0)),0)+1),0))</f>
        <v>14.8</v>
      </c>
      <c r="K243" s="2" t="s">
        <v>501</v>
      </c>
      <c r="L243" s="7"/>
      <c r="M243" s="7"/>
      <c r="O243" s="467" t="str">
        <f>CONCATENATE(J243,". ",K243,$K$17)</f>
        <v>14.8. Proposta de seguro de construção a ser contratado pelo estaleiro construtor;------------------------------------------------------------------------------------------------------------------------------------------------------------------------</v>
      </c>
      <c r="P243" s="467"/>
      <c r="Q243" s="467"/>
      <c r="R243" s="467"/>
      <c r="S243" s="467"/>
      <c r="T243" s="467"/>
      <c r="U243" s="467"/>
      <c r="V243" s="467"/>
      <c r="W243" s="467"/>
      <c r="X243" s="467"/>
      <c r="Y243" s="467"/>
      <c r="Z243" s="467"/>
      <c r="AA243" s="467"/>
      <c r="AB243" s="467"/>
      <c r="AC243" s="467"/>
      <c r="AD243" s="162"/>
      <c r="AE243" s="166"/>
      <c r="AF243" s="7"/>
      <c r="AG243" s="80"/>
      <c r="AK243" s="160"/>
      <c r="AM243" s="255">
        <v>1</v>
      </c>
      <c r="AN243" s="271">
        <f t="shared" ref="AN243" si="461">IF(AND(AC243&lt;&gt;"",AE243&lt;&gt;""),4,IF($AC$227&lt;&gt;"",3,IF(AC243&lt;&gt;"",1,IF(AE243&lt;&gt;"",2,0))))</f>
        <v>0</v>
      </c>
      <c r="AO243" s="255" t="str">
        <f t="shared" ref="AO243" si="462">IF(AND(AE243="",AN243=2),"",IF(AND(AE243="",AN243&lt;&gt;3),"X",""))</f>
        <v>X</v>
      </c>
      <c r="AP243" s="188">
        <f t="shared" ref="AP243" si="463">IF(AND(AC243&lt;&gt;"",AE243&lt;&gt;""),1,IF(AND(AE243="",AN243=2),1,IF(OR(AN243&lt;&gt;0),0,1)))</f>
        <v>1</v>
      </c>
      <c r="AQ243" s="255">
        <f ca="1">SUM($AP$21:OFFSET(AQ243,-2,-1))</f>
        <v>98</v>
      </c>
      <c r="AR243" s="13" t="str">
        <f t="shared" ref="AR243" ca="1" si="464">IF(AND(AC243="",AQ243=0),AS243,"XX")</f>
        <v>XX</v>
      </c>
      <c r="AS243" s="255">
        <f>MAX($AE$21:AE241)</f>
        <v>0</v>
      </c>
      <c r="AT243" s="255">
        <f>IF(SUM(AE245:$AE$259)&gt;0,MIN(AE245:$AE$259),10000)</f>
        <v>10000</v>
      </c>
      <c r="AU243" s="78"/>
      <c r="AV243" s="78"/>
      <c r="AW243" s="13">
        <f t="shared" ref="AW243" si="465">IF(AND(AC243&lt;&gt;"",AE243&lt;&gt;""),4,0)</f>
        <v>0</v>
      </c>
      <c r="AX243" s="78" t="e">
        <f ca="1">IF(AND(AN243&lt;&gt;1,AN243&lt;&gt;3,AN243&lt;&gt;4),AR243+1,XX)</f>
        <v>#VALUE!</v>
      </c>
      <c r="AY243" s="78">
        <f>IF(AND(AN243&lt;&gt;1,AN243&lt;&gt;3,AN243&lt;&gt;4),AT243-1,XX)</f>
        <v>9999</v>
      </c>
    </row>
    <row r="244" spans="1:51" s="6" customFormat="1" ht="3" customHeight="1">
      <c r="A244" s="255"/>
      <c r="B244" s="255"/>
      <c r="J244" s="274"/>
      <c r="L244" s="28"/>
      <c r="M244" s="28"/>
      <c r="O244" s="36"/>
      <c r="P244" s="36"/>
      <c r="Q244" s="36"/>
      <c r="R244" s="36"/>
      <c r="S244" s="36"/>
      <c r="T244" s="36"/>
      <c r="U244" s="36"/>
      <c r="V244" s="36"/>
      <c r="W244" s="36"/>
      <c r="X244" s="36"/>
      <c r="Y244" s="36"/>
      <c r="Z244" s="36"/>
      <c r="AA244" s="36"/>
      <c r="AB244" s="9"/>
      <c r="AC244" s="164"/>
      <c r="AD244" s="162"/>
      <c r="AE244" s="165"/>
      <c r="AF244" s="28"/>
      <c r="AG244" s="255"/>
      <c r="AJ244" s="160"/>
      <c r="AK244" s="160"/>
      <c r="AL244" s="172"/>
      <c r="AM244" s="160"/>
      <c r="AN244" s="160"/>
      <c r="AO244" s="160"/>
      <c r="AP244" s="160"/>
      <c r="AQ244" s="160"/>
      <c r="AR244" s="160"/>
      <c r="AS244" s="171"/>
      <c r="AT244" s="171"/>
      <c r="AU244" s="160"/>
      <c r="AV244" s="161"/>
      <c r="AW244" s="161"/>
    </row>
    <row r="245" spans="1:51" ht="14.25" customHeight="1">
      <c r="B245" s="255"/>
      <c r="J245" s="284">
        <f>J227+1</f>
        <v>15</v>
      </c>
      <c r="K245" s="2" t="s">
        <v>51</v>
      </c>
      <c r="L245" s="7"/>
      <c r="M245" s="7"/>
      <c r="O245" s="454" t="str">
        <f>CONCATENATE(J245,". ",K245)</f>
        <v>15. Se Empresa de Transporte Terrestre:</v>
      </c>
      <c r="P245" s="454"/>
      <c r="Q245" s="454"/>
      <c r="R245" s="454"/>
      <c r="S245" s="454"/>
      <c r="T245" s="454"/>
      <c r="U245" s="454"/>
      <c r="V245" s="454"/>
      <c r="W245" s="454"/>
      <c r="X245" s="454"/>
      <c r="Y245" s="454"/>
      <c r="Z245" s="454"/>
      <c r="AA245" s="454"/>
      <c r="AB245" s="9"/>
      <c r="AC245" s="191"/>
      <c r="AD245" s="162"/>
      <c r="AE245" s="136" t="s">
        <v>389</v>
      </c>
      <c r="AF245" s="7"/>
      <c r="AK245" s="160"/>
      <c r="AM245" s="255"/>
      <c r="AN245" s="283">
        <f>IF(OR(AE247&lt;&gt;"",AE249&lt;&gt;"",AC247&lt;&gt;"",AC249&lt;&gt;""),3,0)</f>
        <v>0</v>
      </c>
      <c r="AO245" s="255" t="str">
        <f>IF(AND(AE245="-",AN245=2),"",IF(AND(AE245="-",AN245&lt;&gt;3),"X",""))</f>
        <v>X</v>
      </c>
      <c r="AP245" s="188"/>
      <c r="AQ245" s="255"/>
      <c r="AR245" s="13"/>
      <c r="AS245" s="255"/>
      <c r="AT245" s="255"/>
      <c r="AU245" s="78"/>
      <c r="AV245" s="78"/>
      <c r="AW245" s="13"/>
      <c r="AX245" s="78"/>
      <c r="AY245" s="78"/>
    </row>
    <row r="246" spans="1:51" s="6" customFormat="1" ht="3" customHeight="1">
      <c r="A246" s="255"/>
      <c r="B246" s="255"/>
      <c r="J246" s="274"/>
      <c r="L246" s="28"/>
      <c r="M246" s="28"/>
      <c r="O246" s="36"/>
      <c r="P246" s="36"/>
      <c r="Q246" s="36"/>
      <c r="R246" s="36"/>
      <c r="S246" s="36"/>
      <c r="T246" s="36"/>
      <c r="U246" s="36"/>
      <c r="V246" s="36"/>
      <c r="W246" s="36"/>
      <c r="X246" s="36"/>
      <c r="Y246" s="36"/>
      <c r="Z246" s="36"/>
      <c r="AA246" s="36"/>
      <c r="AB246" s="9"/>
      <c r="AC246" s="164"/>
      <c r="AD246" s="162"/>
      <c r="AE246" s="165"/>
      <c r="AF246" s="28"/>
      <c r="AG246" s="255"/>
      <c r="AJ246" s="160"/>
      <c r="AK246" s="160"/>
      <c r="AL246" s="172"/>
      <c r="AM246" s="160"/>
      <c r="AN246" s="160"/>
      <c r="AO246" s="160"/>
      <c r="AP246" s="160"/>
      <c r="AQ246" s="160"/>
      <c r="AR246" s="160"/>
      <c r="AS246" s="171"/>
      <c r="AT246" s="171"/>
      <c r="AU246" s="160"/>
      <c r="AV246" s="161"/>
      <c r="AW246" s="161"/>
    </row>
    <row r="247" spans="1:51" ht="14.25" customHeight="1">
      <c r="B247" s="255"/>
      <c r="J247" s="272" t="str">
        <f>IF(IFERROR(SEARCH(".",J245),0)=0,CONCATENATE(J245,".",1),IF(IFERROR(SEARCH(".",J245),0)&gt;1,CONCATENATE(IFERROR(LEFT(J245,IFERROR(SEARCH(".",J245),0)-1),0),".",IFERROR(RIGHT(J245,LEN(J245)-IFERROR(SEARCH(".",J245),0)),0)+1),0))</f>
        <v>15.1</v>
      </c>
      <c r="K247" s="2" t="s">
        <v>40</v>
      </c>
      <c r="L247" s="7"/>
      <c r="M247" s="7"/>
      <c r="O247" s="467" t="str">
        <f>CONCATENATE(J247,". ",K247,$K$17)</f>
        <v>15.1. Autorização da ANTT;------------------------------------------------------------------------------------------------------------------------------------------------------------------------</v>
      </c>
      <c r="P247" s="467"/>
      <c r="Q247" s="467"/>
      <c r="R247" s="467"/>
      <c r="S247" s="467"/>
      <c r="T247" s="467"/>
      <c r="U247" s="467"/>
      <c r="V247" s="467"/>
      <c r="W247" s="467"/>
      <c r="X247" s="467"/>
      <c r="Y247" s="467"/>
      <c r="Z247" s="467"/>
      <c r="AA247" s="467"/>
      <c r="AB247" s="467"/>
      <c r="AC247" s="467"/>
      <c r="AD247" s="162"/>
      <c r="AE247" s="166"/>
      <c r="AF247" s="7"/>
      <c r="AG247" s="80"/>
      <c r="AK247" s="160"/>
      <c r="AM247" s="255">
        <v>1</v>
      </c>
      <c r="AN247" s="271">
        <f>IF(AND(AC247&lt;&gt;"",AE247&lt;&gt;""),4,IF($AC$245&lt;&gt;"",3,IF(AC247&lt;&gt;"",1,IF(AE247&lt;&gt;"",2,0))))</f>
        <v>0</v>
      </c>
      <c r="AO247" s="255" t="str">
        <f t="shared" ref="AO247" si="466">IF(AND(AE247="",AN247=2),"",IF(AND(AE247="",AN247&lt;&gt;3),"X",""))</f>
        <v>X</v>
      </c>
      <c r="AP247" s="188">
        <f t="shared" ref="AP247" si="467">IF(AND(AC247&lt;&gt;"",AE247&lt;&gt;""),1,IF(AND(AE247="",AN247=2),1,IF(OR(AN247&lt;&gt;0),0,1)))</f>
        <v>1</v>
      </c>
      <c r="AQ247" s="255">
        <f ca="1">SUM($AP$21:OFFSET(AQ247,-2,-1))</f>
        <v>99</v>
      </c>
      <c r="AR247" s="13" t="str">
        <f t="shared" ref="AR247" ca="1" si="468">IF(AND(AC247="",AQ247=0),AS247,"XX")</f>
        <v>XX</v>
      </c>
      <c r="AS247" s="255">
        <f>MAX($AE$21:AE245)</f>
        <v>0</v>
      </c>
      <c r="AT247" s="255">
        <f>IF(SUM(AE249:$AE$259)&gt;0,MIN(AE249:$AE$259),10000)</f>
        <v>10000</v>
      </c>
      <c r="AU247" s="78"/>
      <c r="AV247" s="78"/>
      <c r="AW247" s="13">
        <f t="shared" ref="AW247" si="469">IF(AND(AC247&lt;&gt;"",AE247&lt;&gt;""),4,0)</f>
        <v>0</v>
      </c>
      <c r="AX247" s="78" t="e">
        <f ca="1">IF(AND(AN247&lt;&gt;1,AN247&lt;&gt;3,AN247&lt;&gt;4),AR247+1,XX)</f>
        <v>#VALUE!</v>
      </c>
      <c r="AY247" s="78">
        <f>IF(AND(AN247&lt;&gt;1,AN247&lt;&gt;3,AN247&lt;&gt;4),AT247-1,XX)</f>
        <v>9999</v>
      </c>
    </row>
    <row r="248" spans="1:51" s="6" customFormat="1" ht="3" customHeight="1">
      <c r="A248" s="255"/>
      <c r="B248" s="255"/>
      <c r="J248" s="274"/>
      <c r="L248" s="28"/>
      <c r="M248" s="28"/>
      <c r="O248" s="36"/>
      <c r="P248" s="36"/>
      <c r="Q248" s="36"/>
      <c r="R248" s="36"/>
      <c r="S248" s="36"/>
      <c r="T248" s="36"/>
      <c r="U248" s="36"/>
      <c r="V248" s="36"/>
      <c r="W248" s="36"/>
      <c r="X248" s="36"/>
      <c r="Y248" s="36"/>
      <c r="Z248" s="36"/>
      <c r="AA248" s="36"/>
      <c r="AB248" s="9"/>
      <c r="AC248" s="164"/>
      <c r="AD248" s="162"/>
      <c r="AE248" s="165"/>
      <c r="AF248" s="28"/>
      <c r="AG248" s="2"/>
      <c r="AJ248" s="160"/>
      <c r="AK248" s="160"/>
      <c r="AL248" s="172"/>
      <c r="AM248" s="160"/>
      <c r="AN248" s="160"/>
      <c r="AO248" s="160"/>
      <c r="AP248" s="160"/>
      <c r="AQ248" s="160"/>
      <c r="AR248" s="160"/>
      <c r="AS248" s="171"/>
      <c r="AT248" s="171"/>
      <c r="AU248" s="160"/>
      <c r="AV248" s="161"/>
      <c r="AW248" s="161"/>
    </row>
    <row r="249" spans="1:51" ht="14.25" customHeight="1">
      <c r="B249" s="255"/>
      <c r="J249" s="272" t="str">
        <f>IF(IFERROR(SEARCH(".",J247),0)=0,CONCATENATE(J247,".",1),IF(IFERROR(SEARCH(".",J247),0)&gt;1,CONCATENATE(IFERROR(LEFT(J247,IFERROR(SEARCH(".",J247),0)-1),0),".",IFERROR(RIGHT(J247,LEN(J247)-IFERROR(SEARCH(".",J247),0)),0)+1),0))</f>
        <v>15.2</v>
      </c>
      <c r="K249" s="2" t="s">
        <v>117</v>
      </c>
      <c r="L249" s="7"/>
      <c r="M249" s="7"/>
      <c r="O249" s="467" t="str">
        <f>CONCATENATE(J249,". ",K249,$K$17)</f>
        <v>15.2. Autorização Ambiental de Transporte Interestadual de Produtos Perigosos - expedida pelo IBAMA;------------------------------------------------------------------------------------------------------------------------------------------------------------------------</v>
      </c>
      <c r="P249" s="467"/>
      <c r="Q249" s="467"/>
      <c r="R249" s="467"/>
      <c r="S249" s="467"/>
      <c r="T249" s="467"/>
      <c r="U249" s="467"/>
      <c r="V249" s="467"/>
      <c r="W249" s="467"/>
      <c r="X249" s="467"/>
      <c r="Y249" s="467"/>
      <c r="Z249" s="467"/>
      <c r="AA249" s="467"/>
      <c r="AB249" s="9"/>
      <c r="AC249" s="191"/>
      <c r="AD249" s="162"/>
      <c r="AE249" s="166"/>
      <c r="AF249" s="7"/>
      <c r="AG249" s="80"/>
      <c r="AK249" s="160"/>
      <c r="AM249" s="255">
        <v>1</v>
      </c>
      <c r="AN249" s="271">
        <f>IF(AND(AC249&lt;&gt;"",AE249&lt;&gt;""),4,IF($AC$245&lt;&gt;"",3,IF(AC249&lt;&gt;"",1,IF(AE249&lt;&gt;"",2,0))))</f>
        <v>0</v>
      </c>
      <c r="AO249" s="255" t="str">
        <f t="shared" ref="AO249" si="470">IF(AND(AE249="",AN249=2),"",IF(AND(AE249="",AN249&lt;&gt;3),"X",""))</f>
        <v>X</v>
      </c>
      <c r="AP249" s="188">
        <f t="shared" ref="AP249" si="471">IF(AND(AC249&lt;&gt;"",AE249&lt;&gt;""),1,IF(AND(AE249="",AN249=2),1,IF(OR(AN249&lt;&gt;0),0,1)))</f>
        <v>1</v>
      </c>
      <c r="AQ249" s="255">
        <f ca="1">SUM($AP$21:OFFSET(AQ249,-2,-1))</f>
        <v>100</v>
      </c>
      <c r="AR249" s="13" t="str">
        <f t="shared" ref="AR249" ca="1" si="472">IF(AND(AC249="",AQ249=0),AS249,"XX")</f>
        <v>XX</v>
      </c>
      <c r="AS249" s="255">
        <f>MAX($AE$21:AE247)</f>
        <v>0</v>
      </c>
      <c r="AT249" s="255">
        <f>IF(SUM(AE251:$AE$259)&gt;0,MIN(AE251:$AE$259),10000)</f>
        <v>10000</v>
      </c>
      <c r="AU249" s="78"/>
      <c r="AV249" s="78"/>
      <c r="AW249" s="13">
        <f t="shared" ref="AW249" si="473">IF(AND(AC249&lt;&gt;"",AE249&lt;&gt;""),4,0)</f>
        <v>0</v>
      </c>
      <c r="AX249" s="78" t="e">
        <f ca="1">IF(AND(AN249&lt;&gt;1,AN249&lt;&gt;3,AN249&lt;&gt;4),AR249+1,XX)</f>
        <v>#VALUE!</v>
      </c>
      <c r="AY249" s="78">
        <f>IF(AND(AN249&lt;&gt;1,AN249&lt;&gt;3,AN249&lt;&gt;4),AT249-1,XX)</f>
        <v>9999</v>
      </c>
    </row>
    <row r="250" spans="1:51" ht="3" customHeight="1">
      <c r="B250" s="255"/>
      <c r="J250" s="274"/>
      <c r="L250" s="7"/>
      <c r="M250" s="7"/>
      <c r="O250" s="36"/>
      <c r="P250" s="36"/>
      <c r="Q250" s="36"/>
      <c r="R250" s="36"/>
      <c r="S250" s="36"/>
      <c r="T250" s="36"/>
      <c r="U250" s="36"/>
      <c r="V250" s="36"/>
      <c r="W250" s="36"/>
      <c r="X250" s="36"/>
      <c r="Y250" s="36"/>
      <c r="Z250" s="36"/>
      <c r="AA250" s="36"/>
      <c r="AB250" s="9"/>
      <c r="AC250" s="164"/>
      <c r="AD250" s="162"/>
      <c r="AE250" s="165"/>
      <c r="AF250" s="7"/>
      <c r="AK250" s="160"/>
      <c r="AS250" s="171"/>
      <c r="AT250" s="171"/>
      <c r="AU250" s="160"/>
      <c r="AX250" s="6"/>
      <c r="AY250" s="6"/>
    </row>
    <row r="251" spans="1:51" ht="14.25" customHeight="1">
      <c r="B251" s="255"/>
      <c r="J251" s="284">
        <f>J245+1</f>
        <v>16</v>
      </c>
      <c r="K251" s="2" t="s">
        <v>26</v>
      </c>
      <c r="L251" s="7"/>
      <c r="M251" s="7"/>
      <c r="O251" s="467" t="str">
        <f>CONCATENATE(J251,". ",K251,$K$17)</f>
        <v>16. Autorização da ANP; (se postos de combustíveis e derivados)------------------------------------------------------------------------------------------------------------------------------------------------------------------------</v>
      </c>
      <c r="P251" s="467"/>
      <c r="Q251" s="467"/>
      <c r="R251" s="467"/>
      <c r="S251" s="467"/>
      <c r="T251" s="467"/>
      <c r="U251" s="467"/>
      <c r="V251" s="467"/>
      <c r="W251" s="467"/>
      <c r="X251" s="467"/>
      <c r="Y251" s="467"/>
      <c r="Z251" s="467"/>
      <c r="AA251" s="467"/>
      <c r="AB251" s="9"/>
      <c r="AC251" s="191"/>
      <c r="AD251" s="162"/>
      <c r="AE251" s="166"/>
      <c r="AF251" s="7"/>
      <c r="AG251" s="80"/>
      <c r="AK251" s="160"/>
      <c r="AM251" s="255">
        <v>1</v>
      </c>
      <c r="AN251" s="271">
        <f t="shared" ref="AN251" si="474">IF(AND(AC251&lt;&gt;"",AE251&lt;&gt;""),4,IF(AC251&lt;&gt;"",1,IF(AE251&lt;&gt;"",2,0)))</f>
        <v>0</v>
      </c>
      <c r="AO251" s="255" t="str">
        <f t="shared" ref="AO251" si="475">IF(AND(AE251="",AN251=2),"",IF(AND(AE251="",AN251&lt;&gt;3),"X",""))</f>
        <v>X</v>
      </c>
      <c r="AP251" s="188">
        <f t="shared" ref="AP251" si="476">IF(AND(AC251&lt;&gt;"",AE251&lt;&gt;""),1,IF(AND(AE251="",AN251=2),1,IF(OR(AN251&lt;&gt;0),0,1)))</f>
        <v>1</v>
      </c>
      <c r="AQ251" s="255">
        <f ca="1">SUM($AP$21:OFFSET(AQ251,-2,-1))</f>
        <v>101</v>
      </c>
      <c r="AR251" s="13" t="str">
        <f t="shared" ref="AR251" ca="1" si="477">IF(AND(AC251="",AQ251=0),AS251,"XX")</f>
        <v>XX</v>
      </c>
      <c r="AS251" s="255">
        <f>MAX($AE$21:AE249)</f>
        <v>0</v>
      </c>
      <c r="AT251" s="255">
        <f>IF(SUM(AE253:$AE$259)&gt;0,MIN(AE253:$AE$259),10000)</f>
        <v>10000</v>
      </c>
      <c r="AU251" s="78"/>
      <c r="AV251" s="78"/>
      <c r="AW251" s="13">
        <f t="shared" ref="AW251" si="478">IF(AND(AC251&lt;&gt;"",AE251&lt;&gt;""),4,0)</f>
        <v>0</v>
      </c>
      <c r="AX251" s="78" t="e">
        <f ca="1">IF(AND(AN251&lt;&gt;1,AN251&lt;&gt;3,AN251&lt;&gt;4),AR251+1,XX)</f>
        <v>#VALUE!</v>
      </c>
      <c r="AY251" s="78">
        <f>IF(AND(AN251&lt;&gt;1,AN251&lt;&gt;3,AN251&lt;&gt;4),AT251-1,XX)</f>
        <v>9999</v>
      </c>
    </row>
    <row r="252" spans="1:51" s="6" customFormat="1" ht="3" customHeight="1">
      <c r="A252" s="255"/>
      <c r="B252" s="255"/>
      <c r="J252" s="274"/>
      <c r="L252" s="28"/>
      <c r="M252" s="28"/>
      <c r="O252" s="36"/>
      <c r="P252" s="36"/>
      <c r="Q252" s="36"/>
      <c r="R252" s="36"/>
      <c r="S252" s="36"/>
      <c r="T252" s="36"/>
      <c r="U252" s="36"/>
      <c r="V252" s="36"/>
      <c r="W252" s="36"/>
      <c r="X252" s="36"/>
      <c r="Y252" s="36"/>
      <c r="Z252" s="36"/>
      <c r="AA252" s="36"/>
      <c r="AB252" s="9"/>
      <c r="AC252" s="164"/>
      <c r="AD252" s="162"/>
      <c r="AE252" s="165"/>
      <c r="AF252" s="28"/>
      <c r="AJ252" s="160"/>
      <c r="AK252" s="160"/>
      <c r="AL252" s="172"/>
      <c r="AM252" s="160"/>
      <c r="AN252" s="160"/>
      <c r="AO252" s="160"/>
      <c r="AP252" s="160"/>
      <c r="AQ252" s="160"/>
      <c r="AR252" s="160"/>
      <c r="AS252" s="171"/>
      <c r="AT252" s="171"/>
      <c r="AU252" s="160"/>
      <c r="AV252" s="161"/>
      <c r="AW252" s="161"/>
    </row>
    <row r="253" spans="1:51" ht="14.25" customHeight="1">
      <c r="B253" s="255"/>
      <c r="J253" s="284">
        <f>J251+1</f>
        <v>17</v>
      </c>
      <c r="K253" s="2" t="s">
        <v>189</v>
      </c>
      <c r="L253" s="7"/>
      <c r="M253" s="7"/>
      <c r="O253" s="467" t="str">
        <f>CONCATENATE(J253,". ",K253,$K$17)</f>
        <v>17. Autorização da ANVISA ou entidades delegada/conveniada; (se empresa da área de saúde já implantada)------------------------------------------------------------------------------------------------------------------------------------------------------------------------</v>
      </c>
      <c r="P253" s="467"/>
      <c r="Q253" s="467"/>
      <c r="R253" s="467"/>
      <c r="S253" s="467"/>
      <c r="T253" s="467"/>
      <c r="U253" s="467"/>
      <c r="V253" s="467"/>
      <c r="W253" s="467"/>
      <c r="X253" s="467"/>
      <c r="Y253" s="467"/>
      <c r="Z253" s="467"/>
      <c r="AA253" s="467"/>
      <c r="AB253" s="9"/>
      <c r="AC253" s="191"/>
      <c r="AD253" s="162"/>
      <c r="AE253" s="166"/>
      <c r="AF253" s="7"/>
      <c r="AG253" s="80"/>
      <c r="AK253" s="160"/>
      <c r="AM253" s="255">
        <v>1</v>
      </c>
      <c r="AN253" s="271">
        <f t="shared" ref="AN253" si="479">IF(AND(AC253&lt;&gt;"",AE253&lt;&gt;""),4,IF(AC253&lt;&gt;"",1,IF(AE253&lt;&gt;"",2,0)))</f>
        <v>0</v>
      </c>
      <c r="AO253" s="255" t="str">
        <f t="shared" ref="AO253" si="480">IF(AND(AE253="",AN253=2),"",IF(AND(AE253="",AN253&lt;&gt;3),"X",""))</f>
        <v>X</v>
      </c>
      <c r="AP253" s="188">
        <f t="shared" ref="AP253" si="481">IF(AND(AC253&lt;&gt;"",AE253&lt;&gt;""),1,IF(AND(AE253="",AN253=2),1,IF(OR(AN253&lt;&gt;0),0,1)))</f>
        <v>1</v>
      </c>
      <c r="AQ253" s="255">
        <f ca="1">SUM($AP$21:OFFSET(AQ253,-2,-1))</f>
        <v>102</v>
      </c>
      <c r="AR253" s="13" t="str">
        <f t="shared" ref="AR253" ca="1" si="482">IF(AND(AC253="",AQ253=0),AS253,"XX")</f>
        <v>XX</v>
      </c>
      <c r="AS253" s="255">
        <f>MAX($AE$21:AE251)</f>
        <v>0</v>
      </c>
      <c r="AT253" s="255">
        <f>IF(SUM(AE255:$AE$259)&gt;0,MIN(AE255:$AE$259),10000)</f>
        <v>10000</v>
      </c>
      <c r="AU253" s="78"/>
      <c r="AV253" s="78"/>
      <c r="AW253" s="13">
        <f t="shared" ref="AW253" si="483">IF(AND(AC253&lt;&gt;"",AE253&lt;&gt;""),4,0)</f>
        <v>0</v>
      </c>
      <c r="AX253" s="78" t="e">
        <f ca="1">IF(AND(AN253&lt;&gt;1,AN253&lt;&gt;3,AN253&lt;&gt;4),AR253+1,XX)</f>
        <v>#VALUE!</v>
      </c>
      <c r="AY253" s="78">
        <f>IF(AND(AN253&lt;&gt;1,AN253&lt;&gt;3,AN253&lt;&gt;4),AT253-1,XX)</f>
        <v>9999</v>
      </c>
    </row>
    <row r="254" spans="1:51" s="6" customFormat="1" ht="3" customHeight="1">
      <c r="A254" s="255"/>
      <c r="B254" s="255"/>
      <c r="J254" s="274"/>
      <c r="L254" s="28"/>
      <c r="M254" s="28"/>
      <c r="O254" s="36"/>
      <c r="P254" s="36"/>
      <c r="Q254" s="36"/>
      <c r="R254" s="36"/>
      <c r="S254" s="36"/>
      <c r="T254" s="36"/>
      <c r="U254" s="36"/>
      <c r="V254" s="36"/>
      <c r="W254" s="36"/>
      <c r="X254" s="36"/>
      <c r="Y254" s="36"/>
      <c r="Z254" s="36"/>
      <c r="AA254" s="36"/>
      <c r="AB254" s="9"/>
      <c r="AC254" s="164"/>
      <c r="AD254" s="162"/>
      <c r="AE254" s="165"/>
      <c r="AF254" s="28"/>
      <c r="AJ254" s="160"/>
      <c r="AK254" s="160"/>
      <c r="AL254" s="172"/>
      <c r="AM254" s="160"/>
      <c r="AN254" s="160"/>
      <c r="AO254" s="160"/>
      <c r="AP254" s="160"/>
      <c r="AQ254" s="160"/>
      <c r="AR254" s="160"/>
      <c r="AS254" s="171"/>
      <c r="AT254" s="171"/>
      <c r="AU254" s="160"/>
      <c r="AV254" s="161"/>
      <c r="AW254" s="161"/>
    </row>
    <row r="255" spans="1:51" ht="14.25" customHeight="1">
      <c r="B255" s="255"/>
      <c r="J255" s="284">
        <f>J253+1</f>
        <v>18</v>
      </c>
      <c r="K255" s="2" t="s">
        <v>188</v>
      </c>
      <c r="L255" s="7"/>
      <c r="M255" s="7"/>
      <c r="O255" s="467" t="str">
        <f>CONCATENATE(J255,". ",K255,$K$17)</f>
        <v>18. Aprovação do projeto arquitetônico pela ANVISA; (se empresa da área de saúde em implantação)------------------------------------------------------------------------------------------------------------------------------------------------------------------------</v>
      </c>
      <c r="P255" s="467"/>
      <c r="Q255" s="467"/>
      <c r="R255" s="467"/>
      <c r="S255" s="467"/>
      <c r="T255" s="467"/>
      <c r="U255" s="467"/>
      <c r="V255" s="467"/>
      <c r="W255" s="467"/>
      <c r="X255" s="467"/>
      <c r="Y255" s="467"/>
      <c r="Z255" s="467"/>
      <c r="AA255" s="467"/>
      <c r="AB255" s="9"/>
      <c r="AC255" s="191"/>
      <c r="AD255" s="162"/>
      <c r="AE255" s="166"/>
      <c r="AF255" s="7"/>
      <c r="AG255" s="80"/>
      <c r="AK255" s="160"/>
      <c r="AM255" s="255">
        <v>1</v>
      </c>
      <c r="AN255" s="271">
        <f t="shared" ref="AN255" si="484">IF(AND(AC255&lt;&gt;"",AE255&lt;&gt;""),4,IF(AC255&lt;&gt;"",1,IF(AE255&lt;&gt;"",2,0)))</f>
        <v>0</v>
      </c>
      <c r="AO255" s="255" t="str">
        <f t="shared" ref="AO255" si="485">IF(AND(AE255="",AN255=2),"",IF(AND(AE255="",AN255&lt;&gt;3),"X",""))</f>
        <v>X</v>
      </c>
      <c r="AP255" s="188">
        <f t="shared" ref="AP255" si="486">IF(AND(AC255&lt;&gt;"",AE255&lt;&gt;""),1,IF(AND(AE255="",AN255=2),1,IF(OR(AN255&lt;&gt;0),0,1)))</f>
        <v>1</v>
      </c>
      <c r="AQ255" s="255">
        <f ca="1">SUM($AP$21:OFFSET(AQ255,-2,-1))</f>
        <v>103</v>
      </c>
      <c r="AR255" s="13" t="str">
        <f t="shared" ref="AR255" ca="1" si="487">IF(AND(AC255="",AQ255=0),AS255,"XX")</f>
        <v>XX</v>
      </c>
      <c r="AS255" s="255">
        <f>MAX($AE$21:AE253)</f>
        <v>0</v>
      </c>
      <c r="AT255" s="255">
        <f>IF(SUM(AE257:$AE$259)&gt;0,MIN(AE257:$AE$259),10000)</f>
        <v>10000</v>
      </c>
      <c r="AU255" s="78"/>
      <c r="AV255" s="78"/>
      <c r="AW255" s="13">
        <f t="shared" ref="AW255" si="488">IF(AND(AC255&lt;&gt;"",AE255&lt;&gt;""),4,0)</f>
        <v>0</v>
      </c>
      <c r="AX255" s="78" t="e">
        <f ca="1">IF(AND(AN255&lt;&gt;1,AN255&lt;&gt;3,AN255&lt;&gt;4),AR255+1,XX)</f>
        <v>#VALUE!</v>
      </c>
      <c r="AY255" s="78">
        <f>IF(AND(AN255&lt;&gt;1,AN255&lt;&gt;3,AN255&lt;&gt;4),AT255-1,XX)</f>
        <v>9999</v>
      </c>
    </row>
    <row r="256" spans="1:51" s="6" customFormat="1" ht="3" customHeight="1">
      <c r="A256" s="255"/>
      <c r="B256" s="255"/>
      <c r="J256" s="274"/>
      <c r="L256" s="28"/>
      <c r="M256" s="28"/>
      <c r="O256" s="36"/>
      <c r="P256" s="36"/>
      <c r="Q256" s="36"/>
      <c r="R256" s="36"/>
      <c r="S256" s="36"/>
      <c r="T256" s="36"/>
      <c r="U256" s="36"/>
      <c r="V256" s="36"/>
      <c r="W256" s="36"/>
      <c r="X256" s="36"/>
      <c r="Y256" s="36"/>
      <c r="Z256" s="36"/>
      <c r="AA256" s="36"/>
      <c r="AB256" s="9"/>
      <c r="AC256" s="164"/>
      <c r="AD256" s="162"/>
      <c r="AE256" s="165"/>
      <c r="AF256" s="28"/>
      <c r="AJ256" s="160"/>
      <c r="AK256" s="160"/>
      <c r="AL256" s="172"/>
      <c r="AM256" s="160"/>
      <c r="AN256" s="160"/>
      <c r="AO256" s="160"/>
      <c r="AP256" s="160"/>
      <c r="AQ256" s="160"/>
      <c r="AR256" s="160"/>
      <c r="AS256" s="171"/>
      <c r="AT256" s="171"/>
      <c r="AU256" s="160"/>
      <c r="AV256" s="161"/>
      <c r="AW256" s="161"/>
    </row>
    <row r="257" spans="1:59" ht="14.25" customHeight="1">
      <c r="B257" s="255"/>
      <c r="J257" s="284">
        <f>J255+1</f>
        <v>19</v>
      </c>
      <c r="K257" s="2" t="s">
        <v>174</v>
      </c>
      <c r="L257" s="7"/>
      <c r="M257" s="7"/>
      <c r="O257" s="467" t="str">
        <f>CONCATENATE(J257,". ",K257,$K$17)</f>
        <v>19. Certificado de cadastramento do Ministério do Turismo. (se prestador de serviços turísticos)------------------------------------------------------------------------------------------------------------------------------------------------------------------------</v>
      </c>
      <c r="P257" s="467"/>
      <c r="Q257" s="467"/>
      <c r="R257" s="467"/>
      <c r="S257" s="467"/>
      <c r="T257" s="467"/>
      <c r="U257" s="467"/>
      <c r="V257" s="467"/>
      <c r="W257" s="467"/>
      <c r="X257" s="467"/>
      <c r="Y257" s="467"/>
      <c r="Z257" s="467"/>
      <c r="AA257" s="467"/>
      <c r="AB257" s="9"/>
      <c r="AC257" s="191"/>
      <c r="AD257" s="162"/>
      <c r="AE257" s="166"/>
      <c r="AF257" s="7"/>
      <c r="AG257" s="80"/>
      <c r="AK257" s="160"/>
      <c r="AM257" s="255">
        <v>1</v>
      </c>
      <c r="AN257" s="271">
        <f t="shared" ref="AN257" si="489">IF(AND(AC257&lt;&gt;"",AE257&lt;&gt;""),4,IF(AC257&lt;&gt;"",1,IF(AE257&lt;&gt;"",2,0)))</f>
        <v>0</v>
      </c>
      <c r="AO257" s="255" t="str">
        <f t="shared" ref="AO257" si="490">IF(AND(AE257="",AN257=2),"",IF(AND(AE257="",AN257&lt;&gt;3),"X",""))</f>
        <v>X</v>
      </c>
      <c r="AP257" s="188">
        <f t="shared" ref="AP257" si="491">IF(AND(AC257&lt;&gt;"",AE257&lt;&gt;""),1,IF(AND(AE257="",AN257=2),1,IF(OR(AN257&lt;&gt;0),0,1)))</f>
        <v>1</v>
      </c>
      <c r="AQ257" s="255">
        <f ca="1">SUM($AP$21:OFFSET(AQ257,-2,-1))</f>
        <v>104</v>
      </c>
      <c r="AR257" s="13" t="str">
        <f t="shared" ref="AR257" ca="1" si="492">IF(AND(AC257="",AQ257=0),AS257,"XX")</f>
        <v>XX</v>
      </c>
      <c r="AS257" s="255">
        <f>MAX($AE$21:AE255)</f>
        <v>0</v>
      </c>
      <c r="AT257" s="255">
        <f>IF(SUM(AE259:$AE$259)&gt;0,MIN(AE259:$AE$259),10000)</f>
        <v>10000</v>
      </c>
      <c r="AU257" s="78"/>
      <c r="AV257" s="78"/>
      <c r="AW257" s="13">
        <f t="shared" ref="AW257" si="493">IF(AND(AC257&lt;&gt;"",AE257&lt;&gt;""),4,0)</f>
        <v>0</v>
      </c>
      <c r="AX257" s="78" t="e">
        <f ca="1">IF(AND(AN257&lt;&gt;1,AN257&lt;&gt;3,AN257&lt;&gt;4),AR257+1,XX)</f>
        <v>#VALUE!</v>
      </c>
      <c r="AY257" s="78">
        <f>IF(AND(AN257&lt;&gt;1,AN257&lt;&gt;3,AN257&lt;&gt;4),AT257-1,XX)</f>
        <v>9999</v>
      </c>
    </row>
    <row r="258" spans="1:59" ht="3" customHeight="1">
      <c r="L258" s="7"/>
      <c r="M258" s="7"/>
      <c r="N258" s="121"/>
      <c r="O258" s="18"/>
      <c r="P258" s="18"/>
      <c r="Q258" s="19"/>
      <c r="R258" s="19"/>
      <c r="S258" s="19"/>
      <c r="T258" s="19"/>
      <c r="U258" s="19"/>
      <c r="V258" s="19"/>
      <c r="W258" s="19"/>
      <c r="X258" s="19"/>
      <c r="Y258" s="19"/>
      <c r="Z258" s="19"/>
      <c r="AA258" s="19"/>
      <c r="AB258" s="20"/>
      <c r="AC258" s="21"/>
      <c r="AD258" s="8"/>
      <c r="AE258" s="254"/>
      <c r="AF258" s="7"/>
      <c r="AU258" s="160"/>
    </row>
    <row r="259" spans="1:59" ht="3" customHeight="1">
      <c r="L259" s="7"/>
      <c r="M259" s="7"/>
      <c r="N259" s="121"/>
      <c r="O259" s="93"/>
      <c r="P259" s="93"/>
      <c r="Q259" s="94"/>
      <c r="R259" s="94"/>
      <c r="S259" s="94"/>
      <c r="T259" s="94"/>
      <c r="U259" s="94"/>
      <c r="V259" s="94"/>
      <c r="W259" s="94"/>
      <c r="X259" s="94"/>
      <c r="Y259" s="94"/>
      <c r="Z259" s="94"/>
      <c r="AA259" s="94"/>
      <c r="AB259" s="95"/>
      <c r="AC259" s="96"/>
      <c r="AD259" s="86"/>
      <c r="AE259" s="97"/>
      <c r="AF259" s="98"/>
      <c r="AG259" s="98"/>
      <c r="AH259" s="7"/>
      <c r="AI259" s="7"/>
      <c r="AU259" s="259"/>
    </row>
    <row r="260" spans="1:59" ht="17.25" customHeight="1">
      <c r="L260" s="7"/>
      <c r="M260" s="7"/>
      <c r="N260" s="394" t="str">
        <f>IF(AU260=1,"Item em destaque preenchido de forma indevida",IF(AU260&gt;1,"Itens em destaque preenchidos de forma indevida",IF(N261&lt;&gt;"","Proposta não está pronta para internalização ao Banco","")))</f>
        <v/>
      </c>
      <c r="O260" s="394"/>
      <c r="P260" s="394"/>
      <c r="Q260" s="394"/>
      <c r="R260" s="394"/>
      <c r="S260" s="394"/>
      <c r="T260" s="394"/>
      <c r="U260" s="394"/>
      <c r="V260" s="394"/>
      <c r="W260" s="394"/>
      <c r="X260" s="394"/>
      <c r="Y260" s="394"/>
      <c r="Z260" s="394"/>
      <c r="AA260" s="394"/>
      <c r="AB260" s="394"/>
      <c r="AC260" s="394"/>
      <c r="AD260" s="394"/>
      <c r="AE260" s="394"/>
      <c r="AF260" s="468"/>
      <c r="AG260" s="468"/>
      <c r="AH260" s="7"/>
      <c r="AI260" s="7"/>
      <c r="AM260" s="160">
        <f>SUM(AM21:AM257)</f>
        <v>105</v>
      </c>
      <c r="AP260" s="160">
        <f>SUM(AP21:AP257)</f>
        <v>105</v>
      </c>
      <c r="AU260" s="259"/>
    </row>
    <row r="261" spans="1:59" ht="17.25" customHeight="1">
      <c r="L261" s="7"/>
      <c r="M261" s="7"/>
      <c r="N261" s="407" t="str">
        <f>IF(AND(AP260&lt;AM260,AP260&gt;0),AN271,"")</f>
        <v/>
      </c>
      <c r="O261" s="407"/>
      <c r="P261" s="407"/>
      <c r="Q261" s="407"/>
      <c r="R261" s="407"/>
      <c r="S261" s="407"/>
      <c r="T261" s="407"/>
      <c r="U261" s="407"/>
      <c r="V261" s="407"/>
      <c r="W261" s="407"/>
      <c r="X261" s="407"/>
      <c r="Y261" s="407"/>
      <c r="Z261" s="407"/>
      <c r="AA261" s="407"/>
      <c r="AB261" s="407"/>
      <c r="AC261" s="407"/>
      <c r="AD261" s="407"/>
      <c r="AE261" s="407"/>
      <c r="AF261" s="468"/>
      <c r="AG261" s="468"/>
      <c r="AH261" s="7"/>
      <c r="AI261" s="7"/>
    </row>
    <row r="262" spans="1:59" ht="3" customHeight="1">
      <c r="L262" s="7"/>
      <c r="M262" s="7"/>
      <c r="N262" s="289"/>
      <c r="O262" s="289"/>
      <c r="P262" s="289"/>
      <c r="Q262" s="289"/>
      <c r="R262" s="289"/>
      <c r="S262" s="289"/>
      <c r="T262" s="289"/>
      <c r="U262" s="289"/>
      <c r="V262" s="289"/>
      <c r="W262" s="289"/>
      <c r="X262" s="289"/>
      <c r="Y262" s="289"/>
      <c r="Z262" s="289"/>
      <c r="AA262" s="289"/>
      <c r="AB262" s="289"/>
      <c r="AC262" s="289"/>
      <c r="AD262" s="289"/>
      <c r="AE262" s="289"/>
      <c r="AF262" s="7"/>
      <c r="AG262" s="7"/>
      <c r="AH262" s="7"/>
      <c r="AI262" s="7"/>
    </row>
    <row r="263" spans="1:59" ht="6" customHeight="1">
      <c r="L263" s="7"/>
      <c r="M263" s="7"/>
      <c r="N263" s="135"/>
      <c r="O263" s="23"/>
      <c r="P263" s="23"/>
      <c r="Q263" s="22"/>
      <c r="R263" s="24"/>
      <c r="S263" s="24"/>
      <c r="T263" s="24"/>
      <c r="U263" s="24"/>
      <c r="V263" s="24"/>
      <c r="W263" s="24"/>
      <c r="X263" s="24"/>
      <c r="Y263" s="24"/>
      <c r="Z263" s="24"/>
      <c r="AA263" s="24"/>
      <c r="AB263" s="24"/>
      <c r="AC263" s="24"/>
      <c r="AD263" s="8"/>
      <c r="AE263" s="254"/>
      <c r="AF263" s="7"/>
      <c r="AG263" s="7"/>
      <c r="AH263" s="7"/>
      <c r="AI263" s="7"/>
    </row>
    <row r="264" spans="1:59" ht="5.25" customHeight="1">
      <c r="L264" s="7"/>
      <c r="M264" s="7"/>
      <c r="N264" s="135"/>
      <c r="O264" s="290"/>
      <c r="P264" s="291"/>
      <c r="Q264" s="292"/>
      <c r="R264" s="293"/>
      <c r="S264" s="293"/>
      <c r="T264" s="85"/>
      <c r="U264" s="85"/>
      <c r="V264" s="85"/>
      <c r="W264" s="85"/>
      <c r="X264" s="85"/>
      <c r="Y264" s="85"/>
      <c r="Z264" s="85"/>
      <c r="AA264" s="85"/>
      <c r="AB264" s="85"/>
      <c r="AC264" s="85"/>
      <c r="AD264" s="86"/>
      <c r="AE264" s="97"/>
      <c r="AF264" s="98"/>
      <c r="AG264" s="153"/>
    </row>
    <row r="265" spans="1:59" ht="12" customHeight="1">
      <c r="L265" s="7"/>
      <c r="M265" s="7"/>
      <c r="N265" s="135"/>
      <c r="O265" s="469" t="s">
        <v>181</v>
      </c>
      <c r="P265" s="470"/>
      <c r="Q265" s="470"/>
      <c r="R265" s="470"/>
      <c r="S265" s="66"/>
      <c r="T265" s="405" t="s">
        <v>179</v>
      </c>
      <c r="U265" s="405"/>
      <c r="V265" s="405"/>
      <c r="W265" s="405"/>
      <c r="X265" s="405"/>
      <c r="Y265" s="405"/>
      <c r="Z265" s="405"/>
      <c r="AA265" s="405"/>
      <c r="AB265" s="405"/>
      <c r="AC265" s="405"/>
      <c r="AD265" s="405"/>
      <c r="AE265" s="405"/>
      <c r="AF265" s="405"/>
      <c r="AG265" s="406"/>
    </row>
    <row r="266" spans="1:59" ht="18.75" customHeight="1">
      <c r="L266" s="7"/>
      <c r="M266" s="7"/>
      <c r="N266" s="135"/>
      <c r="O266" s="471" t="s">
        <v>333</v>
      </c>
      <c r="P266" s="398"/>
      <c r="Q266" s="398"/>
      <c r="R266" s="398"/>
      <c r="S266" s="45"/>
      <c r="T266" s="399" t="s">
        <v>333</v>
      </c>
      <c r="U266" s="399"/>
      <c r="V266" s="399"/>
      <c r="W266" s="399"/>
      <c r="X266" s="399"/>
      <c r="Y266" s="399"/>
      <c r="Z266" s="399"/>
      <c r="AA266" s="399"/>
      <c r="AB266" s="399"/>
      <c r="AC266" s="399"/>
      <c r="AD266" s="399"/>
      <c r="AE266" s="399"/>
      <c r="AF266" s="399"/>
      <c r="AG266" s="400"/>
      <c r="AL266" s="255"/>
      <c r="AM266" s="255"/>
      <c r="AN266" s="255" t="str">
        <f>"F a l t a  p r e e n c h e r   ››› "&amp;AP260&amp;"  i t e m ‹‹‹"</f>
        <v>F a l t a  p r e e n c h e r   ››› 105  i t e m ‹‹‹</v>
      </c>
    </row>
    <row r="267" spans="1:59" ht="15" customHeight="1">
      <c r="L267" s="7"/>
      <c r="M267" s="7"/>
      <c r="N267" s="135"/>
      <c r="O267" s="478"/>
      <c r="P267" s="431"/>
      <c r="Q267" s="431"/>
      <c r="R267" s="431"/>
      <c r="S267" s="120"/>
      <c r="T267" s="403" t="str">
        <f>IF(O9&lt;&gt;"",O9,"")</f>
        <v/>
      </c>
      <c r="U267" s="403"/>
      <c r="V267" s="403"/>
      <c r="W267" s="403"/>
      <c r="X267" s="403"/>
      <c r="Y267" s="403"/>
      <c r="Z267" s="403"/>
      <c r="AA267" s="403"/>
      <c r="AB267" s="403"/>
      <c r="AC267" s="403"/>
      <c r="AD267" s="403"/>
      <c r="AE267" s="403"/>
      <c r="AF267" s="7"/>
      <c r="AG267" s="154"/>
      <c r="AL267" s="255"/>
      <c r="AM267" s="255"/>
      <c r="AN267" s="255" t="str">
        <f>"F a l t a  p r e e n c h e r   ››› "&amp;AP260&amp;"  i t e n s ‹‹‹"</f>
        <v>F a l t a  p r e e n c h e r   ››› 105  i t e n s ‹‹‹</v>
      </c>
    </row>
    <row r="268" spans="1:59" s="160" customFormat="1" ht="6" customHeight="1">
      <c r="A268" s="255"/>
      <c r="B268" s="2"/>
      <c r="C268" s="2"/>
      <c r="D268" s="2"/>
      <c r="E268" s="2"/>
      <c r="F268" s="2"/>
      <c r="G268" s="2"/>
      <c r="H268" s="2"/>
      <c r="I268" s="2"/>
      <c r="J268" s="3"/>
      <c r="K268" s="2"/>
      <c r="L268" s="7"/>
      <c r="M268" s="7"/>
      <c r="N268" s="135"/>
      <c r="O268" s="294"/>
      <c r="P268" s="295"/>
      <c r="Q268" s="296"/>
      <c r="R268" s="297"/>
      <c r="S268" s="297"/>
      <c r="T268" s="91"/>
      <c r="U268" s="91"/>
      <c r="V268" s="91"/>
      <c r="W268" s="91"/>
      <c r="X268" s="91"/>
      <c r="Y268" s="91"/>
      <c r="Z268" s="91"/>
      <c r="AA268" s="91"/>
      <c r="AB268" s="91"/>
      <c r="AC268" s="91"/>
      <c r="AD268" s="92"/>
      <c r="AE268" s="151"/>
      <c r="AF268" s="100"/>
      <c r="AG268" s="155"/>
      <c r="AH268" s="2"/>
      <c r="AI268" s="2"/>
      <c r="AK268" s="161"/>
      <c r="AL268" s="255"/>
      <c r="AM268" s="255"/>
      <c r="AN268" s="255" t="str">
        <f>IF(AP260&gt;1,AN267,AN266)</f>
        <v>F a l t a  p r e e n c h e r   ››› 105  i t e n s ‹‹‹</v>
      </c>
      <c r="AS268" s="161"/>
      <c r="AT268" s="161"/>
      <c r="AU268" s="161"/>
      <c r="AV268" s="161"/>
      <c r="AW268" s="161"/>
      <c r="AX268" s="2"/>
      <c r="AY268" s="2"/>
      <c r="AZ268" s="2"/>
      <c r="BA268" s="2"/>
      <c r="BB268" s="2"/>
      <c r="BC268" s="2"/>
      <c r="BD268" s="2"/>
      <c r="BE268" s="2"/>
      <c r="BF268" s="2"/>
      <c r="BG268" s="2"/>
    </row>
    <row r="269" spans="1:59" s="160" customFormat="1" ht="8.25" customHeight="1">
      <c r="A269" s="255"/>
      <c r="B269" s="2"/>
      <c r="C269" s="2"/>
      <c r="D269" s="2"/>
      <c r="E269" s="2"/>
      <c r="F269" s="2"/>
      <c r="G269" s="2"/>
      <c r="H269" s="2"/>
      <c r="I269" s="2"/>
      <c r="J269" s="3"/>
      <c r="K269" s="2"/>
      <c r="L269" s="7"/>
      <c r="M269" s="7"/>
      <c r="N269" s="135"/>
      <c r="O269" s="253"/>
      <c r="P269" s="253"/>
      <c r="Q269" s="47"/>
      <c r="R269" s="45"/>
      <c r="S269" s="45"/>
      <c r="T269" s="45"/>
      <c r="U269" s="45"/>
      <c r="V269" s="45"/>
      <c r="W269" s="45"/>
      <c r="X269" s="45"/>
      <c r="Y269" s="45"/>
      <c r="Z269" s="45"/>
      <c r="AA269" s="45"/>
      <c r="AB269" s="45"/>
      <c r="AC269" s="45"/>
      <c r="AD269" s="46"/>
      <c r="AE269" s="49"/>
      <c r="AF269" s="7"/>
      <c r="AG269" s="355"/>
      <c r="AH269" s="2"/>
      <c r="AI269" s="2"/>
      <c r="AK269" s="161"/>
      <c r="AL269" s="255"/>
      <c r="AM269" s="255"/>
      <c r="AN269" s="255"/>
      <c r="AS269" s="161"/>
      <c r="AT269" s="161"/>
      <c r="AU269" s="161"/>
      <c r="AV269" s="161"/>
      <c r="AW269" s="161"/>
      <c r="AX269" s="2"/>
      <c r="AY269" s="2"/>
      <c r="AZ269" s="2"/>
      <c r="BA269" s="2"/>
      <c r="BB269" s="2"/>
      <c r="BC269" s="2"/>
      <c r="BD269" s="2"/>
      <c r="BE269" s="2"/>
      <c r="BF269" s="2"/>
      <c r="BG269" s="2"/>
    </row>
    <row r="270" spans="1:59" s="160" customFormat="1" ht="6" customHeight="1">
      <c r="A270" s="255"/>
      <c r="B270" s="2"/>
      <c r="C270" s="2"/>
      <c r="D270" s="2"/>
      <c r="E270" s="2"/>
      <c r="F270" s="2"/>
      <c r="G270" s="2"/>
      <c r="H270" s="2"/>
      <c r="I270" s="2"/>
      <c r="J270" s="3"/>
      <c r="K270" s="2"/>
      <c r="L270" s="7"/>
      <c r="M270" s="7"/>
      <c r="N270" s="135"/>
      <c r="O270" s="299"/>
      <c r="P270" s="300"/>
      <c r="Q270" s="301"/>
      <c r="R270" s="302"/>
      <c r="S270" s="45"/>
      <c r="T270" s="303"/>
      <c r="U270" s="304"/>
      <c r="V270" s="304"/>
      <c r="W270" s="304"/>
      <c r="X270" s="304"/>
      <c r="Y270" s="304"/>
      <c r="Z270" s="304"/>
      <c r="AA270" s="304"/>
      <c r="AB270" s="304"/>
      <c r="AC270" s="304"/>
      <c r="AD270" s="305"/>
      <c r="AE270" s="350"/>
      <c r="AF270" s="352"/>
      <c r="AG270" s="353"/>
      <c r="AH270" s="2"/>
      <c r="AI270" s="2"/>
      <c r="AK270" s="161"/>
      <c r="AL270" s="255"/>
      <c r="AM270" s="255"/>
      <c r="AN270" s="255"/>
      <c r="AS270" s="161"/>
      <c r="AT270" s="161"/>
      <c r="AU270" s="161"/>
      <c r="AV270" s="161"/>
      <c r="AW270" s="161"/>
      <c r="AX270" s="2"/>
      <c r="AY270" s="2"/>
      <c r="AZ270" s="2"/>
      <c r="BA270" s="2"/>
      <c r="BB270" s="2"/>
      <c r="BC270" s="2"/>
      <c r="BD270" s="2"/>
      <c r="BE270" s="2"/>
      <c r="BF270" s="2"/>
      <c r="BG270" s="2"/>
    </row>
    <row r="271" spans="1:59" s="160" customFormat="1" ht="12.75" customHeight="1">
      <c r="A271" s="255"/>
      <c r="B271" s="2"/>
      <c r="C271" s="2"/>
      <c r="D271" s="2"/>
      <c r="E271" s="2"/>
      <c r="F271" s="2"/>
      <c r="G271" s="2"/>
      <c r="H271" s="2"/>
      <c r="I271" s="2"/>
      <c r="J271" s="3"/>
      <c r="K271" s="2"/>
      <c r="L271" s="7"/>
      <c r="M271" s="7"/>
      <c r="N271" s="135"/>
      <c r="O271" s="458" t="s">
        <v>27</v>
      </c>
      <c r="P271" s="405"/>
      <c r="Q271" s="405"/>
      <c r="R271" s="459"/>
      <c r="S271" s="50"/>
      <c r="T271" s="458" t="s">
        <v>31</v>
      </c>
      <c r="U271" s="405"/>
      <c r="V271" s="405"/>
      <c r="W271" s="405"/>
      <c r="X271" s="405"/>
      <c r="Y271" s="405"/>
      <c r="Z271" s="405"/>
      <c r="AA271" s="405"/>
      <c r="AB271" s="405"/>
      <c r="AC271" s="405"/>
      <c r="AD271" s="405"/>
      <c r="AE271" s="405"/>
      <c r="AF271" s="405"/>
      <c r="AG271" s="459"/>
      <c r="AH271" s="2"/>
      <c r="AI271" s="2"/>
      <c r="AK271" s="161"/>
      <c r="AL271" s="255"/>
      <c r="AM271" s="255"/>
      <c r="AN271" s="255" t="str">
        <f>IF(AND(AP260&lt;AM260,AP260&gt;0),AN268,"X")</f>
        <v>X</v>
      </c>
      <c r="AS271" s="161"/>
      <c r="AT271" s="161"/>
      <c r="AU271" s="161"/>
      <c r="AV271" s="161"/>
      <c r="AW271" s="161"/>
      <c r="AX271" s="2"/>
      <c r="AY271" s="2"/>
      <c r="AZ271" s="2"/>
      <c r="BA271" s="2"/>
      <c r="BB271" s="2"/>
      <c r="BC271" s="2"/>
      <c r="BD271" s="2"/>
      <c r="BE271" s="2"/>
      <c r="BF271" s="2"/>
      <c r="BG271" s="2"/>
    </row>
    <row r="272" spans="1:59" s="160" customFormat="1" ht="20.25" customHeight="1">
      <c r="A272" s="255"/>
      <c r="B272" s="2"/>
      <c r="C272" s="2"/>
      <c r="D272" s="2"/>
      <c r="E272" s="2"/>
      <c r="F272" s="2"/>
      <c r="G272" s="2"/>
      <c r="H272" s="2"/>
      <c r="I272" s="2"/>
      <c r="J272" s="3"/>
      <c r="K272" s="2"/>
      <c r="L272" s="7"/>
      <c r="M272" s="7"/>
      <c r="N272" s="135"/>
      <c r="O272" s="306"/>
      <c r="P272" s="50"/>
      <c r="Q272" s="50"/>
      <c r="R272" s="307"/>
      <c r="S272" s="50"/>
      <c r="T272" s="306"/>
      <c r="U272" s="50"/>
      <c r="V272" s="50"/>
      <c r="W272" s="50"/>
      <c r="X272" s="50"/>
      <c r="Y272" s="50"/>
      <c r="Z272" s="50"/>
      <c r="AA272" s="50"/>
      <c r="AB272" s="51"/>
      <c r="AC272" s="52"/>
      <c r="AD272" s="46"/>
      <c r="AE272" s="49"/>
      <c r="AF272" s="7"/>
      <c r="AG272" s="354"/>
      <c r="AH272" s="2"/>
      <c r="AI272" s="2"/>
      <c r="AK272" s="161"/>
      <c r="AS272" s="161"/>
      <c r="AT272" s="161"/>
      <c r="AU272" s="161"/>
      <c r="AV272" s="161"/>
      <c r="AW272" s="161"/>
      <c r="AX272" s="2"/>
      <c r="AY272" s="2"/>
      <c r="AZ272" s="2"/>
      <c r="BA272" s="2"/>
      <c r="BB272" s="2"/>
      <c r="BC272" s="2"/>
      <c r="BD272" s="2"/>
      <c r="BE272" s="2"/>
      <c r="BF272" s="2"/>
      <c r="BG272" s="2"/>
    </row>
    <row r="273" spans="1:59" s="160" customFormat="1" ht="21" customHeight="1">
      <c r="A273" s="255"/>
      <c r="B273" s="2"/>
      <c r="C273" s="2"/>
      <c r="D273" s="2"/>
      <c r="E273" s="2"/>
      <c r="F273" s="2"/>
      <c r="G273" s="2"/>
      <c r="H273" s="2"/>
      <c r="I273" s="2"/>
      <c r="J273" s="3"/>
      <c r="K273" s="2"/>
      <c r="L273" s="7"/>
      <c r="M273" s="7"/>
      <c r="N273" s="121"/>
      <c r="O273" s="463" t="s">
        <v>28</v>
      </c>
      <c r="P273" s="391"/>
      <c r="Q273" s="391"/>
      <c r="R273" s="464"/>
      <c r="S273" s="44"/>
      <c r="T273" s="463"/>
      <c r="U273" s="391"/>
      <c r="V273" s="391"/>
      <c r="W273" s="391"/>
      <c r="X273" s="391"/>
      <c r="Y273" s="391"/>
      <c r="Z273" s="391"/>
      <c r="AA273" s="391"/>
      <c r="AB273" s="391"/>
      <c r="AC273" s="391"/>
      <c r="AD273" s="391"/>
      <c r="AE273" s="392"/>
      <c r="AF273" s="7"/>
      <c r="AG273" s="354"/>
      <c r="AH273" s="2"/>
      <c r="AI273" s="2"/>
      <c r="AK273" s="161"/>
      <c r="AS273" s="161"/>
      <c r="AT273" s="161"/>
      <c r="AU273" s="161"/>
      <c r="AV273" s="161"/>
      <c r="AW273" s="161"/>
      <c r="AX273" s="2"/>
      <c r="AY273" s="2"/>
      <c r="AZ273" s="2"/>
      <c r="BA273" s="2"/>
      <c r="BB273" s="2"/>
      <c r="BC273" s="2"/>
      <c r="BD273" s="2"/>
      <c r="BE273" s="2"/>
      <c r="BF273" s="2"/>
      <c r="BG273" s="2"/>
    </row>
    <row r="274" spans="1:59" s="160" customFormat="1" ht="20.25" customHeight="1">
      <c r="A274" s="255"/>
      <c r="B274" s="2"/>
      <c r="C274" s="2"/>
      <c r="D274" s="2"/>
      <c r="E274" s="2"/>
      <c r="F274" s="2"/>
      <c r="G274" s="2"/>
      <c r="H274" s="2"/>
      <c r="I274" s="2"/>
      <c r="J274" s="3"/>
      <c r="K274" s="2"/>
      <c r="L274" s="7"/>
      <c r="M274" s="7"/>
      <c r="N274" s="121"/>
      <c r="O274" s="463" t="s">
        <v>183</v>
      </c>
      <c r="P274" s="391"/>
      <c r="Q274" s="391"/>
      <c r="R274" s="464"/>
      <c r="S274" s="44"/>
      <c r="T274" s="463"/>
      <c r="U274" s="391"/>
      <c r="V274" s="391"/>
      <c r="W274" s="391"/>
      <c r="X274" s="391"/>
      <c r="Y274" s="391"/>
      <c r="Z274" s="391"/>
      <c r="AA274" s="391"/>
      <c r="AB274" s="391"/>
      <c r="AC274" s="391"/>
      <c r="AD274" s="391"/>
      <c r="AE274" s="392"/>
      <c r="AF274" s="7"/>
      <c r="AG274" s="354"/>
      <c r="AH274" s="2"/>
      <c r="AI274" s="2"/>
      <c r="AK274" s="161"/>
      <c r="AS274" s="161"/>
      <c r="AT274" s="161"/>
      <c r="AU274" s="161"/>
      <c r="AV274" s="161"/>
      <c r="AW274" s="161"/>
      <c r="AX274" s="2"/>
      <c r="AY274" s="2"/>
      <c r="AZ274" s="2"/>
      <c r="BA274" s="2"/>
      <c r="BB274" s="2"/>
      <c r="BC274" s="2"/>
      <c r="BD274" s="2"/>
      <c r="BE274" s="2"/>
      <c r="BF274" s="2"/>
      <c r="BG274" s="2"/>
    </row>
    <row r="275" spans="1:59" s="160" customFormat="1" ht="32.25" customHeight="1">
      <c r="A275" s="255"/>
      <c r="B275" s="2"/>
      <c r="C275" s="2"/>
      <c r="D275" s="2"/>
      <c r="E275" s="2"/>
      <c r="F275" s="2"/>
      <c r="G275" s="2"/>
      <c r="H275" s="2"/>
      <c r="I275" s="2"/>
      <c r="J275" s="3"/>
      <c r="K275" s="2"/>
      <c r="L275" s="7"/>
      <c r="M275" s="7"/>
      <c r="N275" s="121"/>
      <c r="O275" s="465" t="s">
        <v>184</v>
      </c>
      <c r="P275" s="388"/>
      <c r="Q275" s="388"/>
      <c r="R275" s="466"/>
      <c r="S275" s="44"/>
      <c r="T275" s="465"/>
      <c r="U275" s="388"/>
      <c r="V275" s="388"/>
      <c r="W275" s="388"/>
      <c r="X275" s="388"/>
      <c r="Y275" s="388"/>
      <c r="Z275" s="388"/>
      <c r="AA275" s="388"/>
      <c r="AB275" s="388"/>
      <c r="AC275" s="388"/>
      <c r="AD275" s="388"/>
      <c r="AE275" s="392"/>
      <c r="AF275" s="7"/>
      <c r="AG275" s="354"/>
      <c r="AH275" s="2"/>
      <c r="AI275" s="2"/>
      <c r="AK275" s="161"/>
      <c r="AS275" s="161"/>
      <c r="AT275" s="161"/>
      <c r="AU275" s="161"/>
      <c r="AV275" s="161"/>
      <c r="AW275" s="161"/>
      <c r="AX275" s="2"/>
      <c r="AY275" s="2"/>
      <c r="AZ275" s="2"/>
      <c r="BA275" s="2"/>
      <c r="BB275" s="2"/>
      <c r="BC275" s="2"/>
      <c r="BD275" s="2"/>
      <c r="BE275" s="2"/>
      <c r="BF275" s="2"/>
      <c r="BG275" s="2"/>
    </row>
    <row r="276" spans="1:59" s="160" customFormat="1" ht="15">
      <c r="A276" s="255"/>
      <c r="B276" s="2"/>
      <c r="C276" s="2"/>
      <c r="D276" s="2"/>
      <c r="E276" s="2"/>
      <c r="F276" s="2"/>
      <c r="G276" s="2"/>
      <c r="H276" s="2"/>
      <c r="I276" s="2"/>
      <c r="J276" s="3"/>
      <c r="K276" s="2"/>
      <c r="L276" s="7"/>
      <c r="M276" s="7"/>
      <c r="N276" s="121"/>
      <c r="O276" s="465" t="s">
        <v>182</v>
      </c>
      <c r="P276" s="388"/>
      <c r="Q276" s="388"/>
      <c r="R276" s="466"/>
      <c r="S276" s="44"/>
      <c r="T276" s="460" t="s">
        <v>339</v>
      </c>
      <c r="U276" s="461"/>
      <c r="V276" s="461"/>
      <c r="W276" s="461"/>
      <c r="X276" s="461"/>
      <c r="Y276" s="461"/>
      <c r="Z276" s="461"/>
      <c r="AA276" s="461"/>
      <c r="AB276" s="461"/>
      <c r="AC276" s="461"/>
      <c r="AD276" s="461"/>
      <c r="AE276" s="461"/>
      <c r="AF276" s="461"/>
      <c r="AG276" s="462"/>
      <c r="AH276" s="2"/>
      <c r="AI276" s="2"/>
      <c r="AK276" s="161"/>
      <c r="AS276" s="161"/>
      <c r="AT276" s="161"/>
      <c r="AU276" s="161"/>
      <c r="AV276" s="161"/>
      <c r="AW276" s="161"/>
      <c r="AX276" s="2"/>
      <c r="AY276" s="2"/>
      <c r="AZ276" s="2"/>
      <c r="BA276" s="2"/>
      <c r="BB276" s="2"/>
      <c r="BC276" s="2"/>
      <c r="BD276" s="2"/>
      <c r="BE276" s="2"/>
      <c r="BF276" s="2"/>
      <c r="BG276" s="2"/>
    </row>
    <row r="277" spans="1:59" s="160" customFormat="1" ht="15.75">
      <c r="A277" s="255"/>
      <c r="B277" s="2"/>
      <c r="C277" s="2"/>
      <c r="D277" s="2"/>
      <c r="E277" s="2"/>
      <c r="F277" s="2"/>
      <c r="G277" s="2"/>
      <c r="H277" s="2"/>
      <c r="I277" s="2"/>
      <c r="J277" s="3"/>
      <c r="K277" s="2"/>
      <c r="L277" s="7"/>
      <c r="M277" s="7"/>
      <c r="N277" s="121"/>
      <c r="O277" s="463" t="s">
        <v>29</v>
      </c>
      <c r="P277" s="391"/>
      <c r="Q277" s="391"/>
      <c r="R277" s="464"/>
      <c r="S277" s="44"/>
      <c r="T277" s="308"/>
      <c r="U277" s="44"/>
      <c r="V277" s="44"/>
      <c r="W277" s="44"/>
      <c r="X277" s="44"/>
      <c r="Y277" s="44"/>
      <c r="Z277" s="44"/>
      <c r="AA277" s="44"/>
      <c r="AB277" s="44"/>
      <c r="AC277" s="309"/>
      <c r="AD277" s="46"/>
      <c r="AE277" s="49"/>
      <c r="AF277" s="7"/>
      <c r="AG277" s="354"/>
      <c r="AH277" s="2"/>
      <c r="AI277" s="2"/>
      <c r="AK277" s="161"/>
      <c r="AS277" s="161"/>
      <c r="AT277" s="161"/>
      <c r="AU277" s="161"/>
      <c r="AV277" s="161"/>
      <c r="AW277" s="161"/>
      <c r="AX277" s="2"/>
      <c r="AY277" s="2"/>
      <c r="AZ277" s="2"/>
      <c r="BA277" s="2"/>
      <c r="BB277" s="2"/>
      <c r="BC277" s="2"/>
      <c r="BD277" s="2"/>
      <c r="BE277" s="2"/>
      <c r="BF277" s="2"/>
      <c r="BG277" s="2"/>
    </row>
    <row r="278" spans="1:59" s="160" customFormat="1" ht="20.25" customHeight="1">
      <c r="A278" s="255"/>
      <c r="B278" s="2"/>
      <c r="C278" s="2"/>
      <c r="D278" s="2"/>
      <c r="E278" s="2"/>
      <c r="F278" s="2"/>
      <c r="G278" s="2"/>
      <c r="H278" s="2"/>
      <c r="I278" s="2"/>
      <c r="J278" s="3"/>
      <c r="K278" s="2"/>
      <c r="L278" s="7"/>
      <c r="M278" s="7"/>
      <c r="N278" s="121"/>
      <c r="O278" s="463" t="s">
        <v>183</v>
      </c>
      <c r="P278" s="391"/>
      <c r="Q278" s="391"/>
      <c r="R278" s="464"/>
      <c r="S278" s="44"/>
      <c r="T278" s="463" t="s">
        <v>183</v>
      </c>
      <c r="U278" s="391"/>
      <c r="V278" s="391"/>
      <c r="W278" s="391"/>
      <c r="X278" s="391"/>
      <c r="Y278" s="391"/>
      <c r="Z278" s="391"/>
      <c r="AA278" s="391"/>
      <c r="AB278" s="391"/>
      <c r="AC278" s="391"/>
      <c r="AD278" s="391"/>
      <c r="AE278" s="391"/>
      <c r="AF278" s="391"/>
      <c r="AG278" s="464"/>
      <c r="AH278" s="2"/>
      <c r="AI278" s="2"/>
      <c r="AK278" s="161"/>
      <c r="AS278" s="161"/>
      <c r="AT278" s="161"/>
      <c r="AU278" s="161"/>
      <c r="AV278" s="161"/>
      <c r="AW278" s="161"/>
      <c r="AX278" s="2"/>
      <c r="AY278" s="2"/>
      <c r="AZ278" s="2"/>
      <c r="BA278" s="2"/>
      <c r="BB278" s="2"/>
      <c r="BC278" s="2"/>
      <c r="BD278" s="2"/>
      <c r="BE278" s="2"/>
      <c r="BF278" s="2"/>
      <c r="BG278" s="2"/>
    </row>
    <row r="279" spans="1:59" s="160" customFormat="1" ht="32.25" customHeight="1">
      <c r="A279" s="255"/>
      <c r="B279" s="2"/>
      <c r="C279" s="2"/>
      <c r="D279" s="2"/>
      <c r="E279" s="2"/>
      <c r="F279" s="2"/>
      <c r="G279" s="2"/>
      <c r="H279" s="2"/>
      <c r="I279" s="2"/>
      <c r="J279" s="3"/>
      <c r="K279" s="2"/>
      <c r="L279" s="7"/>
      <c r="M279" s="7"/>
      <c r="N279" s="121"/>
      <c r="O279" s="465" t="s">
        <v>184</v>
      </c>
      <c r="P279" s="388"/>
      <c r="Q279" s="388"/>
      <c r="R279" s="466"/>
      <c r="S279" s="44"/>
      <c r="T279" s="465" t="s">
        <v>184</v>
      </c>
      <c r="U279" s="388"/>
      <c r="V279" s="388"/>
      <c r="W279" s="388"/>
      <c r="X279" s="388"/>
      <c r="Y279" s="388"/>
      <c r="Z279" s="388"/>
      <c r="AA279" s="388"/>
      <c r="AB279" s="388"/>
      <c r="AC279" s="388"/>
      <c r="AD279" s="388"/>
      <c r="AE279" s="388"/>
      <c r="AF279" s="388"/>
      <c r="AG279" s="466"/>
      <c r="AH279" s="2"/>
      <c r="AI279" s="2"/>
      <c r="AK279" s="161"/>
      <c r="AS279" s="161"/>
      <c r="AT279" s="161"/>
      <c r="AU279" s="161"/>
      <c r="AV279" s="161"/>
      <c r="AW279" s="161"/>
      <c r="AX279" s="2"/>
      <c r="AY279" s="2"/>
      <c r="AZ279" s="2"/>
      <c r="BA279" s="2"/>
      <c r="BB279" s="2"/>
      <c r="BC279" s="2"/>
      <c r="BD279" s="2"/>
      <c r="BE279" s="2"/>
      <c r="BF279" s="2"/>
      <c r="BG279" s="2"/>
    </row>
    <row r="280" spans="1:59" s="160" customFormat="1" ht="15.75" customHeight="1">
      <c r="A280" s="255"/>
      <c r="B280" s="2"/>
      <c r="C280" s="2"/>
      <c r="D280" s="2"/>
      <c r="E280" s="2"/>
      <c r="F280" s="2"/>
      <c r="G280" s="2"/>
      <c r="H280" s="2"/>
      <c r="I280" s="2"/>
      <c r="J280" s="3"/>
      <c r="K280" s="2"/>
      <c r="L280" s="7"/>
      <c r="M280" s="7"/>
      <c r="N280" s="121"/>
      <c r="O280" s="465" t="s">
        <v>182</v>
      </c>
      <c r="P280" s="388"/>
      <c r="Q280" s="388"/>
      <c r="R280" s="466"/>
      <c r="S280" s="44"/>
      <c r="T280" s="463"/>
      <c r="U280" s="391"/>
      <c r="V280" s="391"/>
      <c r="W280" s="391"/>
      <c r="X280" s="391"/>
      <c r="Y280" s="391"/>
      <c r="Z280" s="391"/>
      <c r="AA280" s="391"/>
      <c r="AB280" s="391"/>
      <c r="AC280" s="391"/>
      <c r="AD280" s="391"/>
      <c r="AE280" s="392"/>
      <c r="AF280" s="7"/>
      <c r="AG280" s="354"/>
      <c r="AH280" s="2"/>
      <c r="AI280" s="2"/>
      <c r="AK280" s="161"/>
      <c r="AS280" s="161"/>
      <c r="AT280" s="161"/>
      <c r="AU280" s="161"/>
      <c r="AV280" s="161"/>
      <c r="AW280" s="161"/>
      <c r="AX280" s="2"/>
      <c r="AY280" s="2"/>
      <c r="AZ280" s="2"/>
      <c r="BA280" s="2"/>
      <c r="BB280" s="2"/>
      <c r="BC280" s="2"/>
      <c r="BD280" s="2"/>
      <c r="BE280" s="2"/>
      <c r="BF280" s="2"/>
      <c r="BG280" s="2"/>
    </row>
    <row r="281" spans="1:59" s="160" customFormat="1" ht="20.25" customHeight="1">
      <c r="A281" s="255"/>
      <c r="B281" s="2"/>
      <c r="C281" s="2"/>
      <c r="D281" s="2"/>
      <c r="E281" s="2"/>
      <c r="F281" s="2"/>
      <c r="G281" s="2"/>
      <c r="H281" s="2"/>
      <c r="I281" s="2"/>
      <c r="J281" s="3"/>
      <c r="K281" s="2"/>
      <c r="L281" s="7"/>
      <c r="M281" s="7"/>
      <c r="N281" s="121"/>
      <c r="O281" s="463" t="s">
        <v>30</v>
      </c>
      <c r="P281" s="391"/>
      <c r="Q281" s="391"/>
      <c r="R281" s="464"/>
      <c r="S281" s="44"/>
      <c r="T281" s="463"/>
      <c r="U281" s="391"/>
      <c r="V281" s="391"/>
      <c r="W281" s="391"/>
      <c r="X281" s="391"/>
      <c r="Y281" s="391"/>
      <c r="Z281" s="391"/>
      <c r="AA281" s="391"/>
      <c r="AB281" s="391"/>
      <c r="AC281" s="391"/>
      <c r="AD281" s="391"/>
      <c r="AE281" s="392"/>
      <c r="AF281" s="7"/>
      <c r="AG281" s="354"/>
      <c r="AH281" s="2"/>
      <c r="AI281" s="2"/>
      <c r="AK281" s="161"/>
      <c r="AS281" s="161"/>
      <c r="AT281" s="161"/>
      <c r="AU281" s="161"/>
      <c r="AV281" s="161"/>
      <c r="AW281" s="161"/>
      <c r="AX281" s="2"/>
      <c r="AY281" s="2"/>
      <c r="AZ281" s="2"/>
      <c r="BA281" s="2"/>
      <c r="BB281" s="2"/>
      <c r="BC281" s="2"/>
      <c r="BD281" s="2"/>
      <c r="BE281" s="2"/>
      <c r="BF281" s="2"/>
      <c r="BG281" s="2"/>
    </row>
    <row r="282" spans="1:59" s="160" customFormat="1" ht="20.25" customHeight="1">
      <c r="A282" s="255"/>
      <c r="B282" s="2"/>
      <c r="C282" s="2"/>
      <c r="D282" s="2"/>
      <c r="E282" s="2"/>
      <c r="F282" s="2"/>
      <c r="G282" s="2"/>
      <c r="H282" s="2"/>
      <c r="I282" s="2"/>
      <c r="J282" s="3"/>
      <c r="K282" s="2"/>
      <c r="L282" s="7"/>
      <c r="M282" s="7"/>
      <c r="N282" s="121"/>
      <c r="O282" s="463" t="s">
        <v>183</v>
      </c>
      <c r="P282" s="391"/>
      <c r="Q282" s="391"/>
      <c r="R282" s="464"/>
      <c r="S282" s="44"/>
      <c r="T282" s="465"/>
      <c r="U282" s="388"/>
      <c r="V282" s="388"/>
      <c r="W282" s="388"/>
      <c r="X282" s="388"/>
      <c r="Y282" s="388"/>
      <c r="Z282" s="388"/>
      <c r="AA282" s="388"/>
      <c r="AB282" s="388"/>
      <c r="AC282" s="388"/>
      <c r="AD282" s="388"/>
      <c r="AE282" s="392"/>
      <c r="AF282" s="7"/>
      <c r="AG282" s="354"/>
      <c r="AH282" s="2"/>
      <c r="AI282" s="2"/>
      <c r="AK282" s="161"/>
      <c r="AS282" s="161"/>
      <c r="AT282" s="161"/>
      <c r="AU282" s="161"/>
      <c r="AV282" s="161"/>
      <c r="AW282" s="161"/>
      <c r="AX282" s="2"/>
      <c r="AY282" s="2"/>
      <c r="AZ282" s="2"/>
      <c r="BA282" s="2"/>
      <c r="BB282" s="2"/>
      <c r="BC282" s="2"/>
      <c r="BD282" s="2"/>
      <c r="BE282" s="2"/>
      <c r="BF282" s="2"/>
      <c r="BG282" s="2"/>
    </row>
    <row r="283" spans="1:59" s="160" customFormat="1" ht="27.75" customHeight="1">
      <c r="A283" s="255"/>
      <c r="B283" s="2"/>
      <c r="C283" s="2"/>
      <c r="D283" s="2"/>
      <c r="E283" s="2"/>
      <c r="F283" s="2"/>
      <c r="G283" s="2"/>
      <c r="H283" s="2"/>
      <c r="I283" s="2"/>
      <c r="J283" s="3"/>
      <c r="K283" s="2"/>
      <c r="L283" s="7"/>
      <c r="M283" s="7"/>
      <c r="N283" s="121"/>
      <c r="O283" s="465" t="s">
        <v>184</v>
      </c>
      <c r="P283" s="388"/>
      <c r="Q283" s="388"/>
      <c r="R283" s="466"/>
      <c r="S283" s="51"/>
      <c r="T283" s="310"/>
      <c r="U283" s="53"/>
      <c r="V283" s="53"/>
      <c r="W283" s="53"/>
      <c r="X283" s="53"/>
      <c r="Y283" s="53"/>
      <c r="Z283" s="53"/>
      <c r="AA283" s="53"/>
      <c r="AB283" s="53"/>
      <c r="AC283" s="53"/>
      <c r="AD283" s="54"/>
      <c r="AE283" s="49"/>
      <c r="AF283" s="7"/>
      <c r="AG283" s="354"/>
      <c r="AH283" s="2"/>
      <c r="AI283" s="2"/>
      <c r="AK283" s="161"/>
      <c r="AS283" s="161"/>
      <c r="AT283" s="161"/>
      <c r="AU283" s="161"/>
      <c r="AV283" s="161"/>
      <c r="AW283" s="161"/>
      <c r="AX283" s="2"/>
      <c r="AY283" s="2"/>
      <c r="AZ283" s="2"/>
      <c r="BA283" s="2"/>
      <c r="BB283" s="2"/>
      <c r="BC283" s="2"/>
      <c r="BD283" s="2"/>
      <c r="BE283" s="2"/>
      <c r="BF283" s="2"/>
      <c r="BG283" s="2"/>
    </row>
    <row r="284" spans="1:59" ht="11.25" customHeight="1">
      <c r="L284" s="7"/>
      <c r="M284" s="7"/>
      <c r="N284" s="121"/>
      <c r="O284" s="311"/>
      <c r="P284" s="312"/>
      <c r="Q284" s="312"/>
      <c r="R284" s="313"/>
      <c r="S284" s="51"/>
      <c r="T284" s="311"/>
      <c r="U284" s="312"/>
      <c r="V284" s="312"/>
      <c r="W284" s="312"/>
      <c r="X284" s="312"/>
      <c r="Y284" s="312"/>
      <c r="Z284" s="312"/>
      <c r="AA284" s="312"/>
      <c r="AB284" s="312"/>
      <c r="AC284" s="314"/>
      <c r="AD284" s="298"/>
      <c r="AE284" s="351"/>
      <c r="AF284" s="355"/>
      <c r="AG284" s="356"/>
    </row>
    <row r="285" spans="1:59" ht="18.75" customHeight="1">
      <c r="L285" s="7"/>
      <c r="M285" s="7"/>
      <c r="N285" s="121"/>
      <c r="O285" s="20"/>
      <c r="P285" s="20"/>
      <c r="Q285" s="20"/>
      <c r="R285" s="20"/>
      <c r="S285" s="20"/>
      <c r="T285" s="20"/>
      <c r="U285" s="20"/>
      <c r="V285" s="20"/>
      <c r="W285" s="20"/>
      <c r="X285" s="20"/>
      <c r="Y285" s="20"/>
      <c r="Z285" s="20"/>
      <c r="AA285" s="20"/>
      <c r="AB285" s="20"/>
      <c r="AC285" s="21"/>
      <c r="AD285" s="8"/>
      <c r="AE285" s="254"/>
      <c r="AF285" s="7"/>
      <c r="AG285" s="252" t="str">
        <f>Menu!D2</f>
        <v>Versão 2.0.9 - 13/02/2017</v>
      </c>
      <c r="AH285" s="7"/>
      <c r="AI285" s="7"/>
    </row>
    <row r="286" spans="1:59" ht="15" customHeight="1">
      <c r="AG286" s="315"/>
    </row>
    <row r="287" spans="1:59" ht="15" hidden="1" customHeight="1"/>
    <row r="288" spans="1:59" s="255" customFormat="1" ht="15" hidden="1" customHeight="1">
      <c r="B288" s="2"/>
      <c r="C288" s="2"/>
      <c r="D288" s="2"/>
      <c r="E288" s="2"/>
      <c r="F288" s="2"/>
      <c r="G288" s="2"/>
      <c r="H288" s="2"/>
      <c r="I288" s="2"/>
      <c r="J288" s="3"/>
      <c r="K288" s="2"/>
      <c r="L288" s="2"/>
      <c r="M288" s="2"/>
      <c r="O288" s="2"/>
      <c r="P288" s="2"/>
      <c r="Q288" s="2"/>
      <c r="R288" s="2"/>
      <c r="S288" s="2"/>
      <c r="T288" s="2"/>
      <c r="U288" s="2"/>
      <c r="V288" s="2"/>
      <c r="W288" s="2"/>
      <c r="X288" s="2"/>
      <c r="Y288" s="2"/>
      <c r="Z288" s="2"/>
      <c r="AA288" s="2"/>
      <c r="AB288" s="2"/>
      <c r="AC288" s="2"/>
      <c r="AD288" s="4"/>
      <c r="AE288" s="2"/>
      <c r="AF288" s="2"/>
      <c r="AG288" s="2"/>
      <c r="AH288" s="2"/>
      <c r="AI288" s="2"/>
      <c r="AJ288" s="160"/>
      <c r="AK288" s="161"/>
      <c r="AL288" s="160"/>
      <c r="AM288" s="160"/>
      <c r="AN288" s="160"/>
      <c r="AO288" s="160"/>
      <c r="AP288" s="160"/>
      <c r="AQ288" s="160"/>
      <c r="AR288" s="160"/>
      <c r="AS288" s="160"/>
      <c r="AT288" s="160"/>
      <c r="AU288" s="160"/>
      <c r="AV288" s="160"/>
      <c r="AW288" s="160"/>
    </row>
    <row r="289" spans="2:49" s="255" customFormat="1" ht="15" hidden="1" customHeight="1">
      <c r="B289" s="2"/>
      <c r="C289" s="2"/>
      <c r="D289" s="2"/>
      <c r="E289" s="2"/>
      <c r="F289" s="2"/>
      <c r="G289" s="2"/>
      <c r="H289" s="2"/>
      <c r="I289" s="2"/>
      <c r="J289" s="3"/>
      <c r="K289" s="2"/>
      <c r="L289" s="2"/>
      <c r="M289" s="2"/>
      <c r="O289" s="2"/>
      <c r="P289" s="2"/>
      <c r="Q289" s="2"/>
      <c r="R289" s="2"/>
      <c r="S289" s="2"/>
      <c r="T289" s="2"/>
      <c r="U289" s="2"/>
      <c r="V289" s="2"/>
      <c r="W289" s="2"/>
      <c r="X289" s="2"/>
      <c r="Y289" s="2"/>
      <c r="Z289" s="2"/>
      <c r="AA289" s="2"/>
      <c r="AB289" s="2"/>
      <c r="AC289" s="2"/>
      <c r="AD289" s="4"/>
      <c r="AE289" s="2"/>
      <c r="AF289" s="2"/>
      <c r="AG289" s="2"/>
      <c r="AH289" s="2"/>
      <c r="AI289" s="2"/>
      <c r="AJ289" s="160"/>
      <c r="AK289" s="161"/>
      <c r="AL289" s="160"/>
      <c r="AM289" s="160"/>
      <c r="AN289" s="160"/>
      <c r="AO289" s="160"/>
      <c r="AP289" s="160"/>
      <c r="AQ289" s="160"/>
      <c r="AR289" s="160"/>
      <c r="AS289" s="160"/>
      <c r="AT289" s="160"/>
      <c r="AU289" s="160"/>
      <c r="AV289" s="160"/>
      <c r="AW289" s="160"/>
    </row>
    <row r="290" spans="2:49" s="255" customFormat="1" ht="15" hidden="1" customHeight="1">
      <c r="B290" s="2"/>
      <c r="C290" s="2"/>
      <c r="D290" s="2"/>
      <c r="E290" s="2"/>
      <c r="F290" s="2"/>
      <c r="G290" s="2"/>
      <c r="H290" s="2"/>
      <c r="I290" s="2"/>
      <c r="J290" s="3"/>
      <c r="K290" s="2"/>
      <c r="L290" s="2"/>
      <c r="M290" s="2"/>
      <c r="O290" s="2"/>
      <c r="P290" s="2"/>
      <c r="Q290" s="2"/>
      <c r="R290" s="2"/>
      <c r="S290" s="2"/>
      <c r="T290" s="2"/>
      <c r="U290" s="2"/>
      <c r="V290" s="2"/>
      <c r="W290" s="2"/>
      <c r="X290" s="2"/>
      <c r="Y290" s="2"/>
      <c r="Z290" s="2"/>
      <c r="AA290" s="2"/>
      <c r="AB290" s="2"/>
      <c r="AC290" s="2"/>
      <c r="AD290" s="4"/>
      <c r="AE290" s="2"/>
      <c r="AF290" s="2"/>
      <c r="AG290" s="2"/>
      <c r="AH290" s="2"/>
      <c r="AI290" s="2"/>
      <c r="AJ290" s="160"/>
      <c r="AK290" s="161"/>
      <c r="AL290" s="160"/>
      <c r="AM290" s="160"/>
      <c r="AN290" s="160"/>
      <c r="AO290" s="160"/>
      <c r="AP290" s="160"/>
      <c r="AQ290" s="160"/>
      <c r="AR290" s="160"/>
      <c r="AS290" s="160"/>
      <c r="AT290" s="160"/>
      <c r="AU290" s="160"/>
      <c r="AV290" s="160"/>
      <c r="AW290" s="160"/>
    </row>
    <row r="291" spans="2:49" s="255" customFormat="1" ht="15" hidden="1" customHeight="1">
      <c r="B291" s="2"/>
      <c r="C291" s="2"/>
      <c r="D291" s="2"/>
      <c r="E291" s="2"/>
      <c r="F291" s="2"/>
      <c r="G291" s="2"/>
      <c r="H291" s="2"/>
      <c r="I291" s="2"/>
      <c r="J291" s="3"/>
      <c r="K291" s="2"/>
      <c r="L291" s="2"/>
      <c r="M291" s="2"/>
      <c r="O291" s="2"/>
      <c r="P291" s="2"/>
      <c r="Q291" s="2"/>
      <c r="R291" s="2"/>
      <c r="S291" s="2"/>
      <c r="T291" s="2"/>
      <c r="U291" s="2"/>
      <c r="V291" s="2"/>
      <c r="W291" s="2"/>
      <c r="X291" s="2"/>
      <c r="Y291" s="2"/>
      <c r="Z291" s="2"/>
      <c r="AA291" s="2"/>
      <c r="AB291" s="2"/>
      <c r="AC291" s="2"/>
      <c r="AD291" s="4"/>
      <c r="AE291" s="2"/>
      <c r="AF291" s="2"/>
      <c r="AG291" s="2"/>
      <c r="AH291" s="2"/>
      <c r="AI291" s="2"/>
      <c r="AJ291" s="160"/>
      <c r="AK291" s="161"/>
      <c r="AL291" s="160"/>
      <c r="AM291" s="160"/>
      <c r="AN291" s="160"/>
      <c r="AO291" s="160"/>
      <c r="AP291" s="160"/>
      <c r="AQ291" s="160"/>
      <c r="AR291" s="160"/>
      <c r="AS291" s="160"/>
      <c r="AT291" s="160"/>
      <c r="AU291" s="160"/>
      <c r="AV291" s="160"/>
      <c r="AW291" s="160"/>
    </row>
    <row r="292" spans="2:49" s="255" customFormat="1" ht="15" hidden="1" customHeight="1">
      <c r="B292" s="2"/>
      <c r="C292" s="2"/>
      <c r="D292" s="2"/>
      <c r="E292" s="2"/>
      <c r="F292" s="2"/>
      <c r="G292" s="2"/>
      <c r="H292" s="2"/>
      <c r="I292" s="2"/>
      <c r="J292" s="3"/>
      <c r="K292" s="2"/>
      <c r="L292" s="2"/>
      <c r="M292" s="2"/>
      <c r="O292" s="2"/>
      <c r="P292" s="2"/>
      <c r="Q292" s="2"/>
      <c r="R292" s="2"/>
      <c r="S292" s="2"/>
      <c r="T292" s="2"/>
      <c r="U292" s="2"/>
      <c r="V292" s="2"/>
      <c r="W292" s="2"/>
      <c r="X292" s="2"/>
      <c r="Y292" s="2"/>
      <c r="Z292" s="2"/>
      <c r="AA292" s="2"/>
      <c r="AB292" s="2"/>
      <c r="AC292" s="2"/>
      <c r="AD292" s="4"/>
      <c r="AE292" s="2"/>
      <c r="AF292" s="2"/>
      <c r="AG292" s="2"/>
      <c r="AH292" s="2"/>
      <c r="AI292" s="2"/>
      <c r="AJ292" s="160"/>
      <c r="AK292" s="161"/>
      <c r="AL292" s="160"/>
      <c r="AM292" s="160"/>
      <c r="AN292" s="160"/>
      <c r="AO292" s="160"/>
      <c r="AP292" s="160"/>
      <c r="AQ292" s="160"/>
      <c r="AR292" s="160"/>
      <c r="AS292" s="160"/>
      <c r="AT292" s="160"/>
      <c r="AU292" s="160"/>
      <c r="AV292" s="160"/>
      <c r="AW292" s="160"/>
    </row>
    <row r="293" spans="2:49" s="255" customFormat="1" ht="15" hidden="1" customHeight="1">
      <c r="B293" s="2"/>
      <c r="C293" s="2"/>
      <c r="D293" s="2"/>
      <c r="E293" s="2"/>
      <c r="F293" s="2"/>
      <c r="G293" s="2"/>
      <c r="H293" s="2"/>
      <c r="I293" s="2"/>
      <c r="J293" s="3"/>
      <c r="K293" s="2"/>
      <c r="L293" s="2"/>
      <c r="M293" s="2"/>
      <c r="O293" s="2"/>
      <c r="P293" s="2"/>
      <c r="Q293" s="2"/>
      <c r="R293" s="2"/>
      <c r="S293" s="2"/>
      <c r="T293" s="2"/>
      <c r="U293" s="2"/>
      <c r="V293" s="2"/>
      <c r="W293" s="2"/>
      <c r="X293" s="2"/>
      <c r="Y293" s="2"/>
      <c r="Z293" s="2"/>
      <c r="AA293" s="2"/>
      <c r="AB293" s="2"/>
      <c r="AC293" s="2"/>
      <c r="AD293" s="4"/>
      <c r="AE293" s="2"/>
      <c r="AF293" s="2"/>
      <c r="AG293" s="2"/>
      <c r="AH293" s="2"/>
      <c r="AI293" s="2"/>
      <c r="AJ293" s="160"/>
      <c r="AK293" s="161"/>
      <c r="AL293" s="160"/>
      <c r="AM293" s="160"/>
      <c r="AN293" s="160"/>
      <c r="AO293" s="160"/>
      <c r="AP293" s="160"/>
      <c r="AQ293" s="160"/>
      <c r="AR293" s="160"/>
      <c r="AS293" s="160"/>
      <c r="AT293" s="160"/>
      <c r="AU293" s="160"/>
      <c r="AV293" s="160"/>
      <c r="AW293" s="160"/>
    </row>
    <row r="294" spans="2:49" s="255" customFormat="1" ht="15" hidden="1" customHeight="1">
      <c r="B294" s="2"/>
      <c r="C294" s="2"/>
      <c r="D294" s="2"/>
      <c r="E294" s="2"/>
      <c r="F294" s="2"/>
      <c r="G294" s="2"/>
      <c r="H294" s="2"/>
      <c r="I294" s="2"/>
      <c r="J294" s="3"/>
      <c r="K294" s="2"/>
      <c r="L294" s="2"/>
      <c r="M294" s="2"/>
      <c r="O294" s="2"/>
      <c r="P294" s="2"/>
      <c r="Q294" s="2"/>
      <c r="R294" s="2"/>
      <c r="S294" s="2"/>
      <c r="T294" s="2"/>
      <c r="U294" s="2"/>
      <c r="V294" s="2"/>
      <c r="W294" s="2"/>
      <c r="X294" s="2"/>
      <c r="Y294" s="2"/>
      <c r="Z294" s="2"/>
      <c r="AA294" s="2"/>
      <c r="AB294" s="2"/>
      <c r="AC294" s="2"/>
      <c r="AD294" s="4"/>
      <c r="AE294" s="2"/>
      <c r="AF294" s="2"/>
      <c r="AG294" s="2"/>
      <c r="AH294" s="2"/>
      <c r="AI294" s="2"/>
      <c r="AJ294" s="160"/>
      <c r="AK294" s="161"/>
      <c r="AL294" s="160"/>
      <c r="AM294" s="160"/>
      <c r="AN294" s="160"/>
      <c r="AO294" s="160"/>
      <c r="AP294" s="160"/>
      <c r="AQ294" s="160"/>
      <c r="AR294" s="160"/>
      <c r="AS294" s="160"/>
      <c r="AT294" s="160"/>
      <c r="AU294" s="160"/>
      <c r="AV294" s="160"/>
      <c r="AW294" s="160"/>
    </row>
    <row r="295" spans="2:49" s="255" customFormat="1" ht="15" hidden="1" customHeight="1">
      <c r="B295" s="2"/>
      <c r="C295" s="2"/>
      <c r="D295" s="2"/>
      <c r="E295" s="2"/>
      <c r="F295" s="2"/>
      <c r="G295" s="2"/>
      <c r="H295" s="2"/>
      <c r="I295" s="2"/>
      <c r="J295" s="3"/>
      <c r="K295" s="2"/>
      <c r="L295" s="2"/>
      <c r="M295" s="2"/>
      <c r="O295" s="2"/>
      <c r="P295" s="2"/>
      <c r="Q295" s="2"/>
      <c r="R295" s="2"/>
      <c r="S295" s="2"/>
      <c r="T295" s="2"/>
      <c r="U295" s="2"/>
      <c r="V295" s="2"/>
      <c r="W295" s="2"/>
      <c r="X295" s="2"/>
      <c r="Y295" s="2"/>
      <c r="Z295" s="2"/>
      <c r="AA295" s="2"/>
      <c r="AB295" s="2"/>
      <c r="AC295" s="2"/>
      <c r="AD295" s="4"/>
      <c r="AE295" s="2"/>
      <c r="AF295" s="2"/>
      <c r="AG295" s="2"/>
      <c r="AH295" s="2"/>
      <c r="AI295" s="2"/>
      <c r="AJ295" s="160"/>
      <c r="AK295" s="161"/>
      <c r="AL295" s="160"/>
      <c r="AM295" s="160"/>
      <c r="AN295" s="160"/>
      <c r="AO295" s="160"/>
      <c r="AP295" s="160"/>
      <c r="AQ295" s="160"/>
      <c r="AR295" s="160"/>
      <c r="AS295" s="160"/>
      <c r="AT295" s="160"/>
      <c r="AU295" s="160"/>
      <c r="AV295" s="160"/>
      <c r="AW295" s="160"/>
    </row>
    <row r="296" spans="2:49" s="255" customFormat="1" ht="15" hidden="1" customHeight="1">
      <c r="B296" s="2"/>
      <c r="C296" s="2"/>
      <c r="D296" s="2"/>
      <c r="E296" s="2"/>
      <c r="F296" s="2"/>
      <c r="G296" s="2"/>
      <c r="H296" s="2"/>
      <c r="I296" s="2"/>
      <c r="J296" s="3"/>
      <c r="K296" s="2"/>
      <c r="L296" s="2"/>
      <c r="M296" s="2"/>
      <c r="O296" s="2"/>
      <c r="P296" s="2"/>
      <c r="Q296" s="2"/>
      <c r="R296" s="2"/>
      <c r="S296" s="2"/>
      <c r="T296" s="2"/>
      <c r="U296" s="2"/>
      <c r="V296" s="2"/>
      <c r="W296" s="2"/>
      <c r="X296" s="2"/>
      <c r="Y296" s="2"/>
      <c r="Z296" s="2"/>
      <c r="AA296" s="2"/>
      <c r="AB296" s="2"/>
      <c r="AC296" s="2"/>
      <c r="AD296" s="4"/>
      <c r="AE296" s="2"/>
      <c r="AF296" s="2"/>
      <c r="AG296" s="2"/>
      <c r="AH296" s="2"/>
      <c r="AI296" s="2"/>
      <c r="AJ296" s="160"/>
      <c r="AK296" s="161"/>
      <c r="AL296" s="160"/>
      <c r="AM296" s="160"/>
      <c r="AN296" s="160"/>
      <c r="AO296" s="160"/>
      <c r="AP296" s="160"/>
      <c r="AQ296" s="160"/>
      <c r="AR296" s="160"/>
      <c r="AS296" s="160"/>
      <c r="AT296" s="160"/>
      <c r="AU296" s="160"/>
      <c r="AV296" s="160"/>
      <c r="AW296" s="160"/>
    </row>
    <row r="297" spans="2:49" s="255" customFormat="1" ht="15" hidden="1" customHeight="1">
      <c r="B297" s="2"/>
      <c r="C297" s="2"/>
      <c r="D297" s="2"/>
      <c r="E297" s="2"/>
      <c r="F297" s="2"/>
      <c r="G297" s="2"/>
      <c r="H297" s="2"/>
      <c r="I297" s="2"/>
      <c r="J297" s="3"/>
      <c r="K297" s="2"/>
      <c r="L297" s="2"/>
      <c r="M297" s="2"/>
      <c r="O297" s="2"/>
      <c r="P297" s="2"/>
      <c r="Q297" s="2"/>
      <c r="R297" s="2"/>
      <c r="S297" s="2"/>
      <c r="T297" s="2"/>
      <c r="U297" s="2"/>
      <c r="V297" s="2"/>
      <c r="W297" s="2"/>
      <c r="X297" s="2"/>
      <c r="Y297" s="2"/>
      <c r="Z297" s="2"/>
      <c r="AA297" s="2"/>
      <c r="AB297" s="2"/>
      <c r="AC297" s="2"/>
      <c r="AD297" s="4"/>
      <c r="AE297" s="2"/>
      <c r="AF297" s="2"/>
      <c r="AG297" s="2"/>
      <c r="AH297" s="2"/>
      <c r="AI297" s="2"/>
      <c r="AJ297" s="160"/>
      <c r="AK297" s="161"/>
      <c r="AL297" s="160"/>
      <c r="AM297" s="160"/>
      <c r="AN297" s="160"/>
      <c r="AO297" s="160"/>
      <c r="AP297" s="160"/>
      <c r="AQ297" s="160"/>
      <c r="AR297" s="160"/>
      <c r="AS297" s="160"/>
      <c r="AT297" s="160"/>
      <c r="AU297" s="160"/>
      <c r="AV297" s="160"/>
      <c r="AW297" s="160"/>
    </row>
    <row r="298" spans="2:49" s="255" customFormat="1" ht="15" hidden="1" customHeight="1">
      <c r="B298" s="2"/>
      <c r="C298" s="2"/>
      <c r="D298" s="2"/>
      <c r="E298" s="2"/>
      <c r="F298" s="2"/>
      <c r="G298" s="2"/>
      <c r="H298" s="2"/>
      <c r="I298" s="2"/>
      <c r="J298" s="3"/>
      <c r="K298" s="2"/>
      <c r="L298" s="2"/>
      <c r="M298" s="2"/>
      <c r="O298" s="2"/>
      <c r="P298" s="2"/>
      <c r="Q298" s="2"/>
      <c r="R298" s="2"/>
      <c r="S298" s="2"/>
      <c r="T298" s="2"/>
      <c r="U298" s="2"/>
      <c r="V298" s="2"/>
      <c r="W298" s="2"/>
      <c r="X298" s="2"/>
      <c r="Y298" s="2"/>
      <c r="Z298" s="2"/>
      <c r="AA298" s="2"/>
      <c r="AB298" s="2"/>
      <c r="AC298" s="2"/>
      <c r="AD298" s="4"/>
      <c r="AE298" s="2"/>
      <c r="AF298" s="2"/>
      <c r="AG298" s="2"/>
      <c r="AH298" s="2"/>
      <c r="AI298" s="2"/>
      <c r="AJ298" s="160"/>
      <c r="AK298" s="161"/>
      <c r="AL298" s="160"/>
      <c r="AM298" s="160"/>
      <c r="AN298" s="160"/>
      <c r="AO298" s="160"/>
      <c r="AP298" s="160"/>
      <c r="AQ298" s="160"/>
      <c r="AR298" s="160"/>
      <c r="AS298" s="160"/>
      <c r="AT298" s="160"/>
      <c r="AU298" s="160"/>
      <c r="AV298" s="160"/>
      <c r="AW298" s="160"/>
    </row>
    <row r="299" spans="2:49" s="255" customFormat="1" ht="15" hidden="1" customHeight="1">
      <c r="B299" s="2"/>
      <c r="C299" s="2"/>
      <c r="D299" s="2"/>
      <c r="E299" s="2"/>
      <c r="F299" s="2"/>
      <c r="G299" s="2"/>
      <c r="H299" s="2"/>
      <c r="I299" s="2"/>
      <c r="J299" s="3"/>
      <c r="K299" s="2"/>
      <c r="L299" s="2"/>
      <c r="M299" s="2"/>
      <c r="O299" s="2"/>
      <c r="P299" s="2"/>
      <c r="Q299" s="2"/>
      <c r="R299" s="2"/>
      <c r="S299" s="2"/>
      <c r="T299" s="2"/>
      <c r="U299" s="2"/>
      <c r="V299" s="2"/>
      <c r="W299" s="2"/>
      <c r="X299" s="2"/>
      <c r="Y299" s="2"/>
      <c r="Z299" s="2"/>
      <c r="AA299" s="2"/>
      <c r="AB299" s="2"/>
      <c r="AC299" s="2"/>
      <c r="AD299" s="4"/>
      <c r="AE299" s="2"/>
      <c r="AF299" s="2"/>
      <c r="AG299" s="2"/>
      <c r="AH299" s="2"/>
      <c r="AI299" s="2"/>
      <c r="AJ299" s="160"/>
      <c r="AK299" s="161"/>
      <c r="AL299" s="160"/>
      <c r="AM299" s="160"/>
      <c r="AN299" s="160"/>
      <c r="AO299" s="160"/>
      <c r="AP299" s="160"/>
      <c r="AQ299" s="160"/>
      <c r="AR299" s="160"/>
      <c r="AS299" s="160"/>
      <c r="AT299" s="160"/>
      <c r="AU299" s="160"/>
      <c r="AV299" s="160"/>
      <c r="AW299" s="160"/>
    </row>
    <row r="300" spans="2:49" s="255" customFormat="1" ht="15" hidden="1" customHeight="1">
      <c r="B300" s="2"/>
      <c r="C300" s="2"/>
      <c r="D300" s="2"/>
      <c r="E300" s="2"/>
      <c r="F300" s="2"/>
      <c r="G300" s="2"/>
      <c r="H300" s="2"/>
      <c r="I300" s="2"/>
      <c r="J300" s="3"/>
      <c r="K300" s="2"/>
      <c r="L300" s="2"/>
      <c r="M300" s="2"/>
      <c r="O300" s="2"/>
      <c r="P300" s="2"/>
      <c r="Q300" s="2"/>
      <c r="R300" s="2"/>
      <c r="S300" s="2"/>
      <c r="T300" s="2"/>
      <c r="U300" s="2"/>
      <c r="V300" s="2"/>
      <c r="W300" s="2"/>
      <c r="X300" s="2"/>
      <c r="Y300" s="2"/>
      <c r="Z300" s="2"/>
      <c r="AA300" s="2"/>
      <c r="AB300" s="2"/>
      <c r="AC300" s="2"/>
      <c r="AD300" s="4"/>
      <c r="AE300" s="2"/>
      <c r="AF300" s="2"/>
      <c r="AG300" s="2"/>
      <c r="AH300" s="2"/>
      <c r="AI300" s="2"/>
      <c r="AJ300" s="160"/>
      <c r="AK300" s="161"/>
      <c r="AL300" s="160"/>
      <c r="AM300" s="160"/>
      <c r="AN300" s="160"/>
      <c r="AO300" s="160"/>
      <c r="AP300" s="160"/>
      <c r="AQ300" s="160"/>
      <c r="AR300" s="160"/>
      <c r="AS300" s="160"/>
      <c r="AT300" s="160"/>
      <c r="AU300" s="160"/>
      <c r="AV300" s="160"/>
      <c r="AW300" s="160"/>
    </row>
    <row r="301" spans="2:49" s="255" customFormat="1" ht="15" hidden="1" customHeight="1">
      <c r="B301" s="2"/>
      <c r="C301" s="2"/>
      <c r="D301" s="2"/>
      <c r="E301" s="2"/>
      <c r="F301" s="2"/>
      <c r="G301" s="2"/>
      <c r="H301" s="2"/>
      <c r="I301" s="2"/>
      <c r="J301" s="3"/>
      <c r="K301" s="2"/>
      <c r="L301" s="2"/>
      <c r="M301" s="2"/>
      <c r="O301" s="2"/>
      <c r="P301" s="2"/>
      <c r="Q301" s="2"/>
      <c r="R301" s="2"/>
      <c r="S301" s="2"/>
      <c r="T301" s="2"/>
      <c r="U301" s="2"/>
      <c r="V301" s="2"/>
      <c r="W301" s="2"/>
      <c r="X301" s="2"/>
      <c r="Y301" s="2"/>
      <c r="Z301" s="2"/>
      <c r="AA301" s="2"/>
      <c r="AB301" s="2"/>
      <c r="AC301" s="2"/>
      <c r="AD301" s="4"/>
      <c r="AE301" s="2"/>
      <c r="AF301" s="2"/>
      <c r="AG301" s="2"/>
      <c r="AH301" s="2"/>
      <c r="AI301" s="2"/>
      <c r="AJ301" s="160"/>
      <c r="AK301" s="161"/>
      <c r="AL301" s="160"/>
      <c r="AM301" s="160"/>
      <c r="AN301" s="160"/>
      <c r="AO301" s="160"/>
      <c r="AP301" s="160"/>
      <c r="AQ301" s="160"/>
      <c r="AR301" s="160"/>
      <c r="AS301" s="160"/>
      <c r="AT301" s="160"/>
      <c r="AU301" s="160"/>
      <c r="AV301" s="160"/>
      <c r="AW301" s="160"/>
    </row>
    <row r="302" spans="2:49" s="255" customFormat="1" ht="15" hidden="1" customHeight="1">
      <c r="B302" s="2"/>
      <c r="C302" s="2"/>
      <c r="D302" s="2"/>
      <c r="E302" s="2"/>
      <c r="F302" s="2"/>
      <c r="G302" s="2"/>
      <c r="H302" s="2"/>
      <c r="I302" s="2"/>
      <c r="J302" s="3"/>
      <c r="K302" s="2"/>
      <c r="L302" s="2"/>
      <c r="M302" s="2"/>
      <c r="O302" s="2"/>
      <c r="P302" s="2"/>
      <c r="Q302" s="2"/>
      <c r="R302" s="2"/>
      <c r="S302" s="2"/>
      <c r="T302" s="2"/>
      <c r="U302" s="2"/>
      <c r="V302" s="2"/>
      <c r="W302" s="2"/>
      <c r="X302" s="2"/>
      <c r="Y302" s="2"/>
      <c r="Z302" s="2"/>
      <c r="AA302" s="2"/>
      <c r="AB302" s="2"/>
      <c r="AC302" s="2"/>
      <c r="AD302" s="4"/>
      <c r="AE302" s="2"/>
      <c r="AF302" s="2"/>
      <c r="AG302" s="2"/>
      <c r="AH302" s="2"/>
      <c r="AI302" s="2"/>
      <c r="AJ302" s="160"/>
      <c r="AK302" s="161"/>
      <c r="AL302" s="160"/>
      <c r="AM302" s="160"/>
      <c r="AN302" s="160"/>
      <c r="AO302" s="160"/>
      <c r="AP302" s="160"/>
      <c r="AQ302" s="160"/>
      <c r="AR302" s="160"/>
      <c r="AS302" s="160"/>
      <c r="AT302" s="160"/>
      <c r="AU302" s="160"/>
      <c r="AV302" s="160"/>
      <c r="AW302" s="160"/>
    </row>
    <row r="303" spans="2:49" s="255" customFormat="1" ht="15" hidden="1" customHeight="1">
      <c r="B303" s="2"/>
      <c r="C303" s="2"/>
      <c r="D303" s="2"/>
      <c r="E303" s="2"/>
      <c r="F303" s="2"/>
      <c r="G303" s="2"/>
      <c r="H303" s="2"/>
      <c r="I303" s="2"/>
      <c r="J303" s="3"/>
      <c r="K303" s="2"/>
      <c r="L303" s="2"/>
      <c r="M303" s="2"/>
      <c r="O303" s="2"/>
      <c r="P303" s="2"/>
      <c r="Q303" s="2"/>
      <c r="R303" s="2"/>
      <c r="S303" s="2"/>
      <c r="T303" s="2"/>
      <c r="U303" s="2"/>
      <c r="V303" s="2"/>
      <c r="W303" s="2"/>
      <c r="X303" s="2"/>
      <c r="Y303" s="2"/>
      <c r="Z303" s="2"/>
      <c r="AA303" s="2"/>
      <c r="AB303" s="2"/>
      <c r="AC303" s="2"/>
      <c r="AD303" s="4"/>
      <c r="AE303" s="2"/>
      <c r="AF303" s="2"/>
      <c r="AG303" s="2"/>
      <c r="AH303" s="2"/>
      <c r="AI303" s="2"/>
      <c r="AJ303" s="160"/>
      <c r="AK303" s="161"/>
      <c r="AL303" s="160"/>
      <c r="AM303" s="160"/>
      <c r="AN303" s="160"/>
      <c r="AO303" s="160"/>
      <c r="AP303" s="160"/>
      <c r="AQ303" s="160"/>
      <c r="AR303" s="160"/>
      <c r="AS303" s="160"/>
      <c r="AT303" s="160"/>
      <c r="AU303" s="160"/>
      <c r="AV303" s="160"/>
      <c r="AW303" s="160"/>
    </row>
    <row r="304" spans="2:49" s="255" customFormat="1" ht="15" hidden="1" customHeight="1">
      <c r="B304" s="2"/>
      <c r="C304" s="2"/>
      <c r="D304" s="2"/>
      <c r="E304" s="2"/>
      <c r="F304" s="2"/>
      <c r="G304" s="2"/>
      <c r="H304" s="2"/>
      <c r="I304" s="2"/>
      <c r="J304" s="3"/>
      <c r="K304" s="2"/>
      <c r="L304" s="2"/>
      <c r="M304" s="2"/>
      <c r="O304" s="2"/>
      <c r="P304" s="2"/>
      <c r="Q304" s="2"/>
      <c r="R304" s="2"/>
      <c r="S304" s="2"/>
      <c r="T304" s="2"/>
      <c r="U304" s="2"/>
      <c r="V304" s="2"/>
      <c r="W304" s="2"/>
      <c r="X304" s="2"/>
      <c r="Y304" s="2"/>
      <c r="Z304" s="2"/>
      <c r="AA304" s="2"/>
      <c r="AB304" s="2"/>
      <c r="AC304" s="2"/>
      <c r="AD304" s="4"/>
      <c r="AE304" s="2"/>
      <c r="AF304" s="2"/>
      <c r="AG304" s="2"/>
      <c r="AH304" s="2"/>
      <c r="AI304" s="2"/>
      <c r="AJ304" s="160"/>
      <c r="AK304" s="161"/>
      <c r="AL304" s="160"/>
      <c r="AM304" s="160"/>
      <c r="AN304" s="160"/>
      <c r="AO304" s="160"/>
      <c r="AP304" s="160"/>
      <c r="AQ304" s="160"/>
      <c r="AR304" s="160"/>
      <c r="AS304" s="160"/>
      <c r="AT304" s="160"/>
      <c r="AU304" s="160"/>
      <c r="AV304" s="160"/>
      <c r="AW304" s="160"/>
    </row>
    <row r="305" spans="2:49" s="255" customFormat="1" ht="15" hidden="1" customHeight="1">
      <c r="B305" s="2"/>
      <c r="C305" s="2"/>
      <c r="D305" s="2"/>
      <c r="E305" s="2"/>
      <c r="F305" s="2"/>
      <c r="G305" s="2"/>
      <c r="H305" s="2"/>
      <c r="I305" s="2"/>
      <c r="J305" s="3"/>
      <c r="K305" s="2"/>
      <c r="L305" s="2"/>
      <c r="M305" s="2"/>
      <c r="O305" s="2"/>
      <c r="P305" s="2"/>
      <c r="Q305" s="2"/>
      <c r="R305" s="2"/>
      <c r="S305" s="2"/>
      <c r="T305" s="2"/>
      <c r="U305" s="2"/>
      <c r="V305" s="2"/>
      <c r="W305" s="2"/>
      <c r="X305" s="2"/>
      <c r="Y305" s="2"/>
      <c r="Z305" s="2"/>
      <c r="AA305" s="2"/>
      <c r="AB305" s="2"/>
      <c r="AC305" s="2"/>
      <c r="AD305" s="4"/>
      <c r="AE305" s="2"/>
      <c r="AF305" s="2"/>
      <c r="AG305" s="2"/>
      <c r="AH305" s="2"/>
      <c r="AI305" s="2"/>
      <c r="AJ305" s="160"/>
      <c r="AK305" s="161"/>
      <c r="AL305" s="160"/>
      <c r="AM305" s="160"/>
      <c r="AN305" s="160"/>
      <c r="AO305" s="160"/>
      <c r="AP305" s="160"/>
      <c r="AQ305" s="160"/>
      <c r="AR305" s="160"/>
      <c r="AS305" s="160"/>
      <c r="AT305" s="160"/>
      <c r="AU305" s="160"/>
      <c r="AV305" s="160"/>
      <c r="AW305" s="160"/>
    </row>
    <row r="306" spans="2:49" s="255" customFormat="1" ht="15" hidden="1" customHeight="1">
      <c r="B306" s="2"/>
      <c r="C306" s="2"/>
      <c r="D306" s="2"/>
      <c r="E306" s="2"/>
      <c r="F306" s="2"/>
      <c r="G306" s="2"/>
      <c r="H306" s="2"/>
      <c r="I306" s="2"/>
      <c r="J306" s="3"/>
      <c r="K306" s="2"/>
      <c r="L306" s="2"/>
      <c r="M306" s="2"/>
      <c r="O306" s="2"/>
      <c r="P306" s="2"/>
      <c r="Q306" s="2"/>
      <c r="R306" s="2"/>
      <c r="S306" s="2"/>
      <c r="T306" s="2"/>
      <c r="U306" s="2"/>
      <c r="V306" s="2"/>
      <c r="W306" s="2"/>
      <c r="X306" s="2"/>
      <c r="Y306" s="2"/>
      <c r="Z306" s="2"/>
      <c r="AA306" s="2"/>
      <c r="AB306" s="2"/>
      <c r="AC306" s="2"/>
      <c r="AD306" s="4"/>
      <c r="AE306" s="2"/>
      <c r="AF306" s="2"/>
      <c r="AG306" s="2"/>
      <c r="AH306" s="2"/>
      <c r="AI306" s="2"/>
      <c r="AJ306" s="160"/>
      <c r="AK306" s="161"/>
      <c r="AL306" s="160"/>
      <c r="AM306" s="160"/>
      <c r="AN306" s="160"/>
      <c r="AO306" s="160"/>
      <c r="AP306" s="160"/>
      <c r="AQ306" s="160"/>
      <c r="AR306" s="160"/>
      <c r="AS306" s="160"/>
      <c r="AT306" s="160"/>
      <c r="AU306" s="160"/>
      <c r="AV306" s="160"/>
      <c r="AW306" s="160"/>
    </row>
    <row r="307" spans="2:49" s="255" customFormat="1" ht="15" hidden="1" customHeight="1">
      <c r="B307" s="2"/>
      <c r="C307" s="2"/>
      <c r="D307" s="2"/>
      <c r="E307" s="2"/>
      <c r="F307" s="2"/>
      <c r="G307" s="2"/>
      <c r="H307" s="2"/>
      <c r="I307" s="2"/>
      <c r="J307" s="3"/>
      <c r="K307" s="2"/>
      <c r="L307" s="2"/>
      <c r="M307" s="2"/>
      <c r="O307" s="2"/>
      <c r="P307" s="2"/>
      <c r="Q307" s="2"/>
      <c r="R307" s="2"/>
      <c r="S307" s="2"/>
      <c r="T307" s="2"/>
      <c r="U307" s="2"/>
      <c r="V307" s="2"/>
      <c r="W307" s="2"/>
      <c r="X307" s="2"/>
      <c r="Y307" s="2"/>
      <c r="Z307" s="2"/>
      <c r="AA307" s="2"/>
      <c r="AB307" s="2"/>
      <c r="AC307" s="2"/>
      <c r="AD307" s="4"/>
      <c r="AE307" s="2"/>
      <c r="AF307" s="2"/>
      <c r="AG307" s="2"/>
      <c r="AH307" s="2"/>
      <c r="AI307" s="2"/>
      <c r="AJ307" s="160"/>
      <c r="AK307" s="161"/>
      <c r="AL307" s="160"/>
      <c r="AM307" s="160"/>
      <c r="AN307" s="160"/>
      <c r="AO307" s="160"/>
      <c r="AP307" s="160"/>
      <c r="AQ307" s="160"/>
      <c r="AR307" s="160"/>
      <c r="AS307" s="160"/>
      <c r="AT307" s="160"/>
      <c r="AU307" s="160"/>
      <c r="AV307" s="160"/>
      <c r="AW307" s="160"/>
    </row>
    <row r="308" spans="2:49" s="255" customFormat="1" ht="15" hidden="1" customHeight="1">
      <c r="B308" s="2"/>
      <c r="C308" s="2"/>
      <c r="D308" s="2"/>
      <c r="E308" s="2"/>
      <c r="F308" s="2"/>
      <c r="G308" s="2"/>
      <c r="H308" s="2"/>
      <c r="I308" s="2"/>
      <c r="J308" s="3"/>
      <c r="K308" s="2"/>
      <c r="L308" s="2"/>
      <c r="M308" s="2"/>
      <c r="O308" s="2"/>
      <c r="P308" s="2"/>
      <c r="Q308" s="2"/>
      <c r="R308" s="2"/>
      <c r="S308" s="2"/>
      <c r="T308" s="2"/>
      <c r="U308" s="2"/>
      <c r="V308" s="2"/>
      <c r="W308" s="2"/>
      <c r="X308" s="2"/>
      <c r="Y308" s="2"/>
      <c r="Z308" s="2"/>
      <c r="AA308" s="2"/>
      <c r="AB308" s="2"/>
      <c r="AC308" s="2"/>
      <c r="AD308" s="4"/>
      <c r="AE308" s="2"/>
      <c r="AF308" s="2"/>
      <c r="AG308" s="2"/>
      <c r="AH308" s="2"/>
      <c r="AI308" s="2"/>
      <c r="AJ308" s="160"/>
      <c r="AK308" s="161"/>
      <c r="AL308" s="160"/>
      <c r="AM308" s="160"/>
      <c r="AN308" s="160"/>
      <c r="AO308" s="160"/>
      <c r="AP308" s="160"/>
      <c r="AQ308" s="160"/>
      <c r="AR308" s="160"/>
      <c r="AS308" s="160"/>
      <c r="AT308" s="160"/>
      <c r="AU308" s="160"/>
      <c r="AV308" s="160"/>
      <c r="AW308" s="160"/>
    </row>
    <row r="309" spans="2:49" s="255" customFormat="1" ht="15" hidden="1" customHeight="1">
      <c r="B309" s="2"/>
      <c r="C309" s="2"/>
      <c r="D309" s="2"/>
      <c r="E309" s="2"/>
      <c r="F309" s="2"/>
      <c r="G309" s="2"/>
      <c r="H309" s="2"/>
      <c r="I309" s="2"/>
      <c r="J309" s="3"/>
      <c r="K309" s="2"/>
      <c r="L309" s="2"/>
      <c r="M309" s="2"/>
      <c r="O309" s="2"/>
      <c r="P309" s="2"/>
      <c r="Q309" s="2"/>
      <c r="R309" s="2"/>
      <c r="S309" s="2"/>
      <c r="T309" s="2"/>
      <c r="U309" s="2"/>
      <c r="V309" s="2"/>
      <c r="W309" s="2"/>
      <c r="X309" s="2"/>
      <c r="Y309" s="2"/>
      <c r="Z309" s="2"/>
      <c r="AA309" s="2"/>
      <c r="AB309" s="2"/>
      <c r="AC309" s="2"/>
      <c r="AD309" s="4"/>
      <c r="AE309" s="2"/>
      <c r="AF309" s="2"/>
      <c r="AG309" s="2"/>
      <c r="AH309" s="2"/>
      <c r="AI309" s="2"/>
      <c r="AJ309" s="160"/>
      <c r="AK309" s="161"/>
      <c r="AL309" s="160"/>
      <c r="AM309" s="160"/>
      <c r="AN309" s="160"/>
      <c r="AO309" s="160"/>
      <c r="AP309" s="160"/>
      <c r="AQ309" s="160"/>
      <c r="AR309" s="160"/>
      <c r="AS309" s="160"/>
      <c r="AT309" s="160"/>
      <c r="AU309" s="160"/>
      <c r="AV309" s="160"/>
      <c r="AW309" s="160"/>
    </row>
    <row r="310" spans="2:49" s="255" customFormat="1" ht="15" hidden="1" customHeight="1">
      <c r="B310" s="2"/>
      <c r="C310" s="2"/>
      <c r="D310" s="2"/>
      <c r="E310" s="2"/>
      <c r="F310" s="2"/>
      <c r="G310" s="2"/>
      <c r="H310" s="2"/>
      <c r="I310" s="2"/>
      <c r="J310" s="3"/>
      <c r="K310" s="2"/>
      <c r="L310" s="2"/>
      <c r="M310" s="2"/>
      <c r="O310" s="2"/>
      <c r="P310" s="2"/>
      <c r="Q310" s="2"/>
      <c r="R310" s="2"/>
      <c r="S310" s="2"/>
      <c r="T310" s="2"/>
      <c r="U310" s="2"/>
      <c r="V310" s="2"/>
      <c r="W310" s="2"/>
      <c r="X310" s="2"/>
      <c r="Y310" s="2"/>
      <c r="Z310" s="2"/>
      <c r="AA310" s="2"/>
      <c r="AB310" s="2"/>
      <c r="AC310" s="2"/>
      <c r="AD310" s="4"/>
      <c r="AE310" s="2"/>
      <c r="AF310" s="2"/>
      <c r="AG310" s="2"/>
      <c r="AH310" s="2"/>
      <c r="AI310" s="2"/>
      <c r="AJ310" s="160"/>
      <c r="AK310" s="161"/>
      <c r="AL310" s="160"/>
      <c r="AM310" s="160"/>
      <c r="AN310" s="160"/>
      <c r="AO310" s="160"/>
      <c r="AP310" s="160"/>
      <c r="AQ310" s="160"/>
      <c r="AR310" s="160"/>
      <c r="AS310" s="160"/>
      <c r="AT310" s="160"/>
      <c r="AU310" s="160"/>
      <c r="AV310" s="160"/>
      <c r="AW310" s="160"/>
    </row>
    <row r="311" spans="2:49" s="255" customFormat="1" ht="15" hidden="1" customHeight="1">
      <c r="B311" s="2"/>
      <c r="C311" s="2"/>
      <c r="D311" s="2"/>
      <c r="E311" s="2"/>
      <c r="F311" s="2"/>
      <c r="G311" s="2"/>
      <c r="H311" s="2"/>
      <c r="I311" s="2"/>
      <c r="J311" s="3"/>
      <c r="K311" s="2"/>
      <c r="L311" s="2"/>
      <c r="M311" s="2"/>
      <c r="O311" s="2"/>
      <c r="P311" s="2"/>
      <c r="Q311" s="2"/>
      <c r="R311" s="2"/>
      <c r="S311" s="2"/>
      <c r="T311" s="2"/>
      <c r="U311" s="2"/>
      <c r="V311" s="2"/>
      <c r="W311" s="2"/>
      <c r="X311" s="2"/>
      <c r="Y311" s="2"/>
      <c r="Z311" s="2"/>
      <c r="AA311" s="2"/>
      <c r="AB311" s="2"/>
      <c r="AC311" s="2"/>
      <c r="AD311" s="4"/>
      <c r="AE311" s="2"/>
      <c r="AF311" s="2"/>
      <c r="AG311" s="2"/>
      <c r="AH311" s="2"/>
      <c r="AI311" s="2"/>
      <c r="AJ311" s="160"/>
      <c r="AK311" s="161"/>
      <c r="AL311" s="160"/>
      <c r="AM311" s="160"/>
      <c r="AN311" s="160"/>
      <c r="AO311" s="160"/>
      <c r="AP311" s="160"/>
      <c r="AQ311" s="160"/>
      <c r="AR311" s="160"/>
      <c r="AS311" s="160"/>
      <c r="AT311" s="160"/>
      <c r="AU311" s="160"/>
      <c r="AV311" s="160"/>
      <c r="AW311" s="160"/>
    </row>
    <row r="312" spans="2:49" s="255" customFormat="1" ht="15" hidden="1" customHeight="1">
      <c r="B312" s="2"/>
      <c r="C312" s="2"/>
      <c r="D312" s="2"/>
      <c r="E312" s="2"/>
      <c r="F312" s="2"/>
      <c r="G312" s="2"/>
      <c r="H312" s="2"/>
      <c r="I312" s="2"/>
      <c r="J312" s="3"/>
      <c r="K312" s="2"/>
      <c r="L312" s="2"/>
      <c r="M312" s="2"/>
      <c r="O312" s="2"/>
      <c r="P312" s="2"/>
      <c r="Q312" s="2"/>
      <c r="R312" s="2"/>
      <c r="S312" s="2"/>
      <c r="T312" s="2"/>
      <c r="U312" s="2"/>
      <c r="V312" s="2"/>
      <c r="W312" s="2"/>
      <c r="X312" s="2"/>
      <c r="Y312" s="2"/>
      <c r="Z312" s="2"/>
      <c r="AA312" s="2"/>
      <c r="AB312" s="2"/>
      <c r="AC312" s="2"/>
      <c r="AD312" s="4"/>
      <c r="AE312" s="2"/>
      <c r="AF312" s="2"/>
      <c r="AG312" s="2"/>
      <c r="AH312" s="2"/>
      <c r="AI312" s="2"/>
      <c r="AJ312" s="160"/>
      <c r="AK312" s="161"/>
      <c r="AL312" s="160"/>
      <c r="AM312" s="160"/>
      <c r="AN312" s="160"/>
      <c r="AO312" s="160"/>
      <c r="AP312" s="160"/>
      <c r="AQ312" s="160"/>
      <c r="AR312" s="160"/>
      <c r="AS312" s="160"/>
      <c r="AT312" s="160"/>
      <c r="AU312" s="160"/>
      <c r="AV312" s="160"/>
      <c r="AW312" s="160"/>
    </row>
    <row r="313" spans="2:49" s="255" customFormat="1" ht="15" hidden="1" customHeight="1">
      <c r="B313" s="2"/>
      <c r="C313" s="2"/>
      <c r="D313" s="2"/>
      <c r="E313" s="2"/>
      <c r="F313" s="2"/>
      <c r="G313" s="2"/>
      <c r="H313" s="2"/>
      <c r="I313" s="2"/>
      <c r="J313" s="3"/>
      <c r="K313" s="2"/>
      <c r="L313" s="2"/>
      <c r="M313" s="2"/>
      <c r="O313" s="2"/>
      <c r="P313" s="2"/>
      <c r="Q313" s="2"/>
      <c r="R313" s="2"/>
      <c r="S313" s="2"/>
      <c r="T313" s="2"/>
      <c r="U313" s="2"/>
      <c r="V313" s="2"/>
      <c r="W313" s="2"/>
      <c r="X313" s="2"/>
      <c r="Y313" s="2"/>
      <c r="Z313" s="2"/>
      <c r="AA313" s="2"/>
      <c r="AB313" s="2"/>
      <c r="AC313" s="2"/>
      <c r="AD313" s="4"/>
      <c r="AE313" s="2"/>
      <c r="AF313" s="2"/>
      <c r="AG313" s="2"/>
      <c r="AH313" s="2"/>
      <c r="AI313" s="2"/>
      <c r="AJ313" s="160"/>
      <c r="AK313" s="161"/>
      <c r="AL313" s="160"/>
      <c r="AM313" s="160"/>
      <c r="AN313" s="160"/>
      <c r="AO313" s="160"/>
      <c r="AP313" s="160"/>
      <c r="AQ313" s="160"/>
      <c r="AR313" s="160"/>
      <c r="AS313" s="160"/>
      <c r="AT313" s="160"/>
      <c r="AU313" s="160"/>
      <c r="AV313" s="160"/>
      <c r="AW313" s="160"/>
    </row>
    <row r="314" spans="2:49" s="255" customFormat="1" ht="15" hidden="1" customHeight="1">
      <c r="B314" s="2"/>
      <c r="C314" s="2"/>
      <c r="D314" s="2"/>
      <c r="E314" s="2"/>
      <c r="F314" s="2"/>
      <c r="G314" s="2"/>
      <c r="H314" s="2"/>
      <c r="I314" s="2"/>
      <c r="J314" s="3"/>
      <c r="K314" s="2"/>
      <c r="L314" s="2"/>
      <c r="M314" s="2"/>
      <c r="O314" s="2"/>
      <c r="P314" s="2"/>
      <c r="Q314" s="2"/>
      <c r="R314" s="2"/>
      <c r="S314" s="2"/>
      <c r="T314" s="2"/>
      <c r="U314" s="2"/>
      <c r="V314" s="2"/>
      <c r="W314" s="2"/>
      <c r="X314" s="2"/>
      <c r="Y314" s="2"/>
      <c r="Z314" s="2"/>
      <c r="AA314" s="2"/>
      <c r="AB314" s="2"/>
      <c r="AC314" s="2"/>
      <c r="AD314" s="4"/>
      <c r="AE314" s="2"/>
      <c r="AF314" s="2"/>
      <c r="AG314" s="2"/>
      <c r="AH314" s="2"/>
      <c r="AI314" s="2"/>
      <c r="AJ314" s="160"/>
      <c r="AK314" s="161"/>
      <c r="AL314" s="160"/>
      <c r="AM314" s="160"/>
      <c r="AN314" s="160"/>
      <c r="AO314" s="160"/>
      <c r="AP314" s="160"/>
      <c r="AQ314" s="160"/>
      <c r="AR314" s="160"/>
      <c r="AS314" s="160"/>
      <c r="AT314" s="160"/>
      <c r="AU314" s="160"/>
      <c r="AV314" s="160"/>
      <c r="AW314" s="160"/>
    </row>
    <row r="315" spans="2:49" s="255" customFormat="1" ht="15" hidden="1" customHeight="1">
      <c r="B315" s="2"/>
      <c r="C315" s="2"/>
      <c r="D315" s="2"/>
      <c r="E315" s="2"/>
      <c r="F315" s="2"/>
      <c r="G315" s="2"/>
      <c r="H315" s="2"/>
      <c r="I315" s="2"/>
      <c r="J315" s="3"/>
      <c r="K315" s="2"/>
      <c r="L315" s="2"/>
      <c r="M315" s="2"/>
      <c r="O315" s="2"/>
      <c r="P315" s="2"/>
      <c r="Q315" s="2"/>
      <c r="R315" s="2"/>
      <c r="S315" s="2"/>
      <c r="T315" s="2"/>
      <c r="U315" s="2"/>
      <c r="V315" s="2"/>
      <c r="W315" s="2"/>
      <c r="X315" s="2"/>
      <c r="Y315" s="2"/>
      <c r="Z315" s="2"/>
      <c r="AA315" s="2"/>
      <c r="AB315" s="2"/>
      <c r="AC315" s="2"/>
      <c r="AD315" s="4"/>
      <c r="AE315" s="2"/>
      <c r="AF315" s="2"/>
      <c r="AG315" s="2"/>
      <c r="AH315" s="2"/>
      <c r="AI315" s="2"/>
      <c r="AJ315" s="160"/>
      <c r="AK315" s="161"/>
      <c r="AL315" s="160"/>
      <c r="AM315" s="160"/>
      <c r="AN315" s="160"/>
      <c r="AO315" s="160"/>
      <c r="AP315" s="160"/>
      <c r="AQ315" s="160"/>
      <c r="AR315" s="160"/>
      <c r="AS315" s="160"/>
      <c r="AT315" s="160"/>
      <c r="AU315" s="160"/>
      <c r="AV315" s="160"/>
      <c r="AW315" s="160"/>
    </row>
    <row r="316" spans="2:49" s="255" customFormat="1" ht="15" hidden="1" customHeight="1">
      <c r="B316" s="2"/>
      <c r="C316" s="2"/>
      <c r="D316" s="2"/>
      <c r="E316" s="2"/>
      <c r="F316" s="2"/>
      <c r="G316" s="2"/>
      <c r="H316" s="2"/>
      <c r="I316" s="2"/>
      <c r="J316" s="3"/>
      <c r="K316" s="2"/>
      <c r="L316" s="2"/>
      <c r="M316" s="2"/>
      <c r="O316" s="2"/>
      <c r="P316" s="2"/>
      <c r="Q316" s="2"/>
      <c r="R316" s="2"/>
      <c r="S316" s="2"/>
      <c r="T316" s="2"/>
      <c r="U316" s="2"/>
      <c r="V316" s="2"/>
      <c r="W316" s="2"/>
      <c r="X316" s="2"/>
      <c r="Y316" s="2"/>
      <c r="Z316" s="2"/>
      <c r="AA316" s="2"/>
      <c r="AB316" s="2"/>
      <c r="AC316" s="2"/>
      <c r="AD316" s="4"/>
      <c r="AE316" s="2"/>
      <c r="AF316" s="2"/>
      <c r="AG316" s="2"/>
      <c r="AH316" s="2"/>
      <c r="AI316" s="2"/>
      <c r="AJ316" s="160"/>
      <c r="AK316" s="161"/>
      <c r="AL316" s="160"/>
      <c r="AM316" s="160"/>
      <c r="AN316" s="160"/>
      <c r="AO316" s="160"/>
      <c r="AP316" s="160"/>
      <c r="AQ316" s="160"/>
      <c r="AR316" s="160"/>
      <c r="AS316" s="160"/>
      <c r="AT316" s="160"/>
      <c r="AU316" s="160"/>
      <c r="AV316" s="160"/>
      <c r="AW316" s="160"/>
    </row>
    <row r="317" spans="2:49" s="255" customFormat="1" ht="15" hidden="1" customHeight="1">
      <c r="B317" s="2"/>
      <c r="C317" s="2"/>
      <c r="D317" s="2"/>
      <c r="E317" s="2"/>
      <c r="F317" s="2"/>
      <c r="G317" s="2"/>
      <c r="H317" s="2"/>
      <c r="I317" s="2"/>
      <c r="J317" s="3"/>
      <c r="K317" s="2"/>
      <c r="L317" s="2"/>
      <c r="M317" s="2"/>
      <c r="O317" s="2"/>
      <c r="P317" s="2"/>
      <c r="Q317" s="2"/>
      <c r="R317" s="2"/>
      <c r="S317" s="2"/>
      <c r="T317" s="2"/>
      <c r="U317" s="2"/>
      <c r="V317" s="2"/>
      <c r="W317" s="2"/>
      <c r="X317" s="2"/>
      <c r="Y317" s="2"/>
      <c r="Z317" s="2"/>
      <c r="AA317" s="2"/>
      <c r="AB317" s="2"/>
      <c r="AC317" s="2"/>
      <c r="AD317" s="4"/>
      <c r="AE317" s="2"/>
      <c r="AF317" s="2"/>
      <c r="AG317" s="2"/>
      <c r="AH317" s="2"/>
      <c r="AI317" s="2"/>
      <c r="AJ317" s="160"/>
      <c r="AK317" s="161"/>
      <c r="AL317" s="160"/>
      <c r="AM317" s="160"/>
      <c r="AN317" s="160"/>
      <c r="AO317" s="160"/>
      <c r="AP317" s="160"/>
      <c r="AQ317" s="160"/>
      <c r="AR317" s="160"/>
      <c r="AS317" s="160"/>
      <c r="AT317" s="160"/>
      <c r="AU317" s="160"/>
      <c r="AV317" s="160"/>
      <c r="AW317" s="160"/>
    </row>
    <row r="318" spans="2:49" s="255" customFormat="1" ht="15" hidden="1" customHeight="1">
      <c r="B318" s="2"/>
      <c r="C318" s="2"/>
      <c r="D318" s="2"/>
      <c r="E318" s="2"/>
      <c r="F318" s="2"/>
      <c r="G318" s="2"/>
      <c r="H318" s="2"/>
      <c r="I318" s="2"/>
      <c r="J318" s="3"/>
      <c r="K318" s="2"/>
      <c r="L318" s="2"/>
      <c r="M318" s="2"/>
      <c r="O318" s="2"/>
      <c r="P318" s="2"/>
      <c r="Q318" s="2"/>
      <c r="R318" s="2"/>
      <c r="S318" s="2"/>
      <c r="T318" s="2"/>
      <c r="U318" s="2"/>
      <c r="V318" s="2"/>
      <c r="W318" s="2"/>
      <c r="X318" s="2"/>
      <c r="Y318" s="2"/>
      <c r="Z318" s="2"/>
      <c r="AA318" s="2"/>
      <c r="AB318" s="2"/>
      <c r="AC318" s="2"/>
      <c r="AD318" s="4"/>
      <c r="AE318" s="2"/>
      <c r="AF318" s="2"/>
      <c r="AG318" s="2"/>
      <c r="AH318" s="2"/>
      <c r="AI318" s="2"/>
      <c r="AJ318" s="160"/>
      <c r="AK318" s="161"/>
      <c r="AL318" s="160"/>
      <c r="AM318" s="160"/>
      <c r="AN318" s="160"/>
      <c r="AO318" s="160"/>
      <c r="AP318" s="160"/>
      <c r="AQ318" s="160"/>
      <c r="AR318" s="160"/>
      <c r="AS318" s="160"/>
      <c r="AT318" s="160"/>
      <c r="AU318" s="160"/>
      <c r="AV318" s="160"/>
      <c r="AW318" s="160"/>
    </row>
    <row r="319" spans="2:49" s="255" customFormat="1" ht="15" hidden="1" customHeight="1">
      <c r="B319" s="2"/>
      <c r="C319" s="2"/>
      <c r="D319" s="2"/>
      <c r="E319" s="2"/>
      <c r="F319" s="2"/>
      <c r="G319" s="2"/>
      <c r="H319" s="2"/>
      <c r="I319" s="2"/>
      <c r="J319" s="3"/>
      <c r="K319" s="2"/>
      <c r="L319" s="2"/>
      <c r="M319" s="2"/>
      <c r="O319" s="2"/>
      <c r="P319" s="2"/>
      <c r="Q319" s="2"/>
      <c r="R319" s="2"/>
      <c r="S319" s="2"/>
      <c r="T319" s="2"/>
      <c r="U319" s="2"/>
      <c r="V319" s="2"/>
      <c r="W319" s="2"/>
      <c r="X319" s="2"/>
      <c r="Y319" s="2"/>
      <c r="Z319" s="2"/>
      <c r="AA319" s="2"/>
      <c r="AB319" s="2"/>
      <c r="AC319" s="2"/>
      <c r="AD319" s="4"/>
      <c r="AE319" s="2"/>
      <c r="AF319" s="2"/>
      <c r="AG319" s="2"/>
      <c r="AH319" s="2"/>
      <c r="AI319" s="2"/>
      <c r="AJ319" s="160"/>
      <c r="AK319" s="161"/>
      <c r="AL319" s="160"/>
      <c r="AM319" s="160"/>
      <c r="AN319" s="160"/>
      <c r="AO319" s="160"/>
      <c r="AP319" s="160"/>
      <c r="AQ319" s="160"/>
      <c r="AR319" s="160"/>
      <c r="AS319" s="160"/>
      <c r="AT319" s="160"/>
      <c r="AU319" s="160"/>
      <c r="AV319" s="160"/>
      <c r="AW319" s="160"/>
    </row>
    <row r="320" spans="2:49" s="255" customFormat="1" ht="15" hidden="1" customHeight="1">
      <c r="B320" s="2"/>
      <c r="C320" s="2"/>
      <c r="D320" s="2"/>
      <c r="E320" s="2"/>
      <c r="F320" s="2"/>
      <c r="G320" s="2"/>
      <c r="H320" s="2"/>
      <c r="I320" s="2"/>
      <c r="J320" s="3"/>
      <c r="K320" s="2"/>
      <c r="L320" s="2"/>
      <c r="M320" s="2"/>
      <c r="O320" s="2"/>
      <c r="P320" s="2"/>
      <c r="Q320" s="2"/>
      <c r="R320" s="2"/>
      <c r="S320" s="2"/>
      <c r="T320" s="2"/>
      <c r="U320" s="2"/>
      <c r="V320" s="2"/>
      <c r="W320" s="2"/>
      <c r="X320" s="2"/>
      <c r="Y320" s="2"/>
      <c r="Z320" s="2"/>
      <c r="AA320" s="2"/>
      <c r="AB320" s="2"/>
      <c r="AC320" s="2"/>
      <c r="AD320" s="4"/>
      <c r="AE320" s="2"/>
      <c r="AF320" s="2"/>
      <c r="AG320" s="2"/>
      <c r="AH320" s="2"/>
      <c r="AI320" s="2"/>
      <c r="AJ320" s="160"/>
      <c r="AK320" s="161"/>
      <c r="AL320" s="160"/>
      <c r="AM320" s="160"/>
      <c r="AN320" s="160"/>
      <c r="AO320" s="160"/>
      <c r="AP320" s="160"/>
      <c r="AQ320" s="160"/>
      <c r="AR320" s="160"/>
      <c r="AS320" s="160"/>
      <c r="AT320" s="160"/>
      <c r="AU320" s="160"/>
      <c r="AV320" s="160"/>
      <c r="AW320" s="160"/>
    </row>
    <row r="321" spans="2:49" s="255" customFormat="1" ht="15" hidden="1" customHeight="1">
      <c r="B321" s="2"/>
      <c r="C321" s="2"/>
      <c r="D321" s="2"/>
      <c r="E321" s="2"/>
      <c r="F321" s="2"/>
      <c r="G321" s="2"/>
      <c r="H321" s="2"/>
      <c r="I321" s="2"/>
      <c r="J321" s="3"/>
      <c r="K321" s="2"/>
      <c r="L321" s="2"/>
      <c r="M321" s="2"/>
      <c r="O321" s="2"/>
      <c r="P321" s="2"/>
      <c r="Q321" s="2"/>
      <c r="R321" s="2"/>
      <c r="S321" s="2"/>
      <c r="T321" s="2"/>
      <c r="U321" s="2"/>
      <c r="V321" s="2"/>
      <c r="W321" s="2"/>
      <c r="X321" s="2"/>
      <c r="Y321" s="2"/>
      <c r="Z321" s="2"/>
      <c r="AA321" s="2"/>
      <c r="AB321" s="2"/>
      <c r="AC321" s="2"/>
      <c r="AD321" s="4"/>
      <c r="AE321" s="2"/>
      <c r="AF321" s="2"/>
      <c r="AG321" s="2"/>
      <c r="AH321" s="2"/>
      <c r="AI321" s="2"/>
      <c r="AJ321" s="160"/>
      <c r="AK321" s="161"/>
      <c r="AL321" s="160"/>
      <c r="AM321" s="160"/>
      <c r="AN321" s="160"/>
      <c r="AO321" s="160"/>
      <c r="AP321" s="160"/>
      <c r="AQ321" s="160"/>
      <c r="AR321" s="160"/>
      <c r="AS321" s="160"/>
      <c r="AT321" s="160"/>
      <c r="AU321" s="160"/>
      <c r="AV321" s="160"/>
      <c r="AW321" s="160"/>
    </row>
    <row r="322" spans="2:49" s="255" customFormat="1" ht="15" hidden="1" customHeight="1">
      <c r="B322" s="2"/>
      <c r="C322" s="2"/>
      <c r="D322" s="2"/>
      <c r="E322" s="2"/>
      <c r="F322" s="2"/>
      <c r="G322" s="2"/>
      <c r="H322" s="2"/>
      <c r="I322" s="2"/>
      <c r="J322" s="3"/>
      <c r="K322" s="2"/>
      <c r="L322" s="2"/>
      <c r="M322" s="2"/>
      <c r="O322" s="2"/>
      <c r="P322" s="2"/>
      <c r="Q322" s="2"/>
      <c r="R322" s="2"/>
      <c r="S322" s="2"/>
      <c r="T322" s="2"/>
      <c r="U322" s="2"/>
      <c r="V322" s="2"/>
      <c r="W322" s="2"/>
      <c r="X322" s="2"/>
      <c r="Y322" s="2"/>
      <c r="Z322" s="2"/>
      <c r="AA322" s="2"/>
      <c r="AB322" s="2"/>
      <c r="AC322" s="2"/>
      <c r="AD322" s="4"/>
      <c r="AE322" s="2"/>
      <c r="AF322" s="2"/>
      <c r="AG322" s="2"/>
      <c r="AH322" s="2"/>
      <c r="AI322" s="2"/>
      <c r="AJ322" s="160"/>
      <c r="AK322" s="161"/>
      <c r="AL322" s="160"/>
      <c r="AM322" s="160"/>
      <c r="AN322" s="160"/>
      <c r="AO322" s="160"/>
      <c r="AP322" s="160"/>
      <c r="AQ322" s="160"/>
      <c r="AR322" s="160"/>
      <c r="AS322" s="160"/>
      <c r="AT322" s="160"/>
      <c r="AU322" s="160"/>
      <c r="AV322" s="160"/>
      <c r="AW322" s="160"/>
    </row>
    <row r="323" spans="2:49" s="255" customFormat="1" ht="15" hidden="1" customHeight="1">
      <c r="B323" s="2"/>
      <c r="C323" s="2"/>
      <c r="D323" s="2"/>
      <c r="E323" s="2"/>
      <c r="F323" s="2"/>
      <c r="G323" s="2"/>
      <c r="H323" s="2"/>
      <c r="I323" s="2"/>
      <c r="J323" s="3"/>
      <c r="K323" s="2"/>
      <c r="L323" s="2"/>
      <c r="M323" s="2"/>
      <c r="O323" s="2"/>
      <c r="P323" s="2"/>
      <c r="Q323" s="2"/>
      <c r="R323" s="2"/>
      <c r="S323" s="2"/>
      <c r="T323" s="2"/>
      <c r="U323" s="2"/>
      <c r="V323" s="2"/>
      <c r="W323" s="2"/>
      <c r="X323" s="2"/>
      <c r="Y323" s="2"/>
      <c r="Z323" s="2"/>
      <c r="AA323" s="2"/>
      <c r="AB323" s="2"/>
      <c r="AC323" s="2"/>
      <c r="AD323" s="4"/>
      <c r="AE323" s="2"/>
      <c r="AF323" s="2"/>
      <c r="AG323" s="2"/>
      <c r="AH323" s="2"/>
      <c r="AI323" s="2"/>
      <c r="AJ323" s="160"/>
      <c r="AK323" s="161"/>
      <c r="AL323" s="160"/>
      <c r="AM323" s="160"/>
      <c r="AN323" s="160"/>
      <c r="AO323" s="160"/>
      <c r="AP323" s="160"/>
      <c r="AQ323" s="160"/>
      <c r="AR323" s="160"/>
      <c r="AS323" s="160"/>
      <c r="AT323" s="160"/>
      <c r="AU323" s="160"/>
      <c r="AV323" s="160"/>
      <c r="AW323" s="160"/>
    </row>
    <row r="324" spans="2:49" s="255" customFormat="1" ht="15" hidden="1" customHeight="1">
      <c r="B324" s="2"/>
      <c r="C324" s="2"/>
      <c r="D324" s="2"/>
      <c r="E324" s="2"/>
      <c r="F324" s="2"/>
      <c r="G324" s="2"/>
      <c r="H324" s="2"/>
      <c r="I324" s="2"/>
      <c r="J324" s="3"/>
      <c r="K324" s="2"/>
      <c r="L324" s="2"/>
      <c r="M324" s="2"/>
      <c r="O324" s="2"/>
      <c r="P324" s="2"/>
      <c r="Q324" s="2"/>
      <c r="R324" s="2"/>
      <c r="S324" s="2"/>
      <c r="T324" s="2"/>
      <c r="U324" s="2"/>
      <c r="V324" s="2"/>
      <c r="W324" s="2"/>
      <c r="X324" s="2"/>
      <c r="Y324" s="2"/>
      <c r="Z324" s="2"/>
      <c r="AA324" s="2"/>
      <c r="AB324" s="2"/>
      <c r="AC324" s="2"/>
      <c r="AD324" s="4"/>
      <c r="AE324" s="2"/>
      <c r="AF324" s="2"/>
      <c r="AG324" s="2"/>
      <c r="AH324" s="2"/>
      <c r="AI324" s="2"/>
      <c r="AJ324" s="160"/>
      <c r="AK324" s="161"/>
      <c r="AL324" s="160"/>
      <c r="AM324" s="160"/>
      <c r="AN324" s="160"/>
      <c r="AO324" s="160"/>
      <c r="AP324" s="160"/>
      <c r="AQ324" s="160"/>
      <c r="AR324" s="160"/>
      <c r="AS324" s="160"/>
      <c r="AT324" s="160"/>
      <c r="AU324" s="160"/>
      <c r="AV324" s="160"/>
      <c r="AW324" s="160"/>
    </row>
    <row r="325" spans="2:49" s="255" customFormat="1" ht="15" hidden="1" customHeight="1">
      <c r="B325" s="2"/>
      <c r="C325" s="2"/>
      <c r="D325" s="2"/>
      <c r="E325" s="2"/>
      <c r="F325" s="2"/>
      <c r="G325" s="2"/>
      <c r="H325" s="2"/>
      <c r="I325" s="2"/>
      <c r="J325" s="3"/>
      <c r="K325" s="2"/>
      <c r="L325" s="2"/>
      <c r="M325" s="2"/>
      <c r="O325" s="2"/>
      <c r="P325" s="2"/>
      <c r="Q325" s="2"/>
      <c r="R325" s="2"/>
      <c r="S325" s="2"/>
      <c r="T325" s="2"/>
      <c r="U325" s="2"/>
      <c r="V325" s="2"/>
      <c r="W325" s="2"/>
      <c r="X325" s="2"/>
      <c r="Y325" s="2"/>
      <c r="Z325" s="2"/>
      <c r="AA325" s="2"/>
      <c r="AB325" s="2"/>
      <c r="AC325" s="2"/>
      <c r="AD325" s="4"/>
      <c r="AE325" s="2"/>
      <c r="AF325" s="2"/>
      <c r="AG325" s="2"/>
      <c r="AH325" s="2"/>
      <c r="AI325" s="2"/>
      <c r="AJ325" s="160"/>
      <c r="AK325" s="161"/>
      <c r="AL325" s="160"/>
      <c r="AM325" s="160"/>
      <c r="AN325" s="160"/>
      <c r="AO325" s="160"/>
      <c r="AP325" s="160"/>
      <c r="AQ325" s="160"/>
      <c r="AR325" s="160"/>
      <c r="AS325" s="160"/>
      <c r="AT325" s="160"/>
      <c r="AU325" s="160"/>
      <c r="AV325" s="160"/>
      <c r="AW325" s="160"/>
    </row>
    <row r="326" spans="2:49" s="255" customFormat="1" ht="15" hidden="1" customHeight="1">
      <c r="B326" s="2"/>
      <c r="C326" s="2"/>
      <c r="D326" s="2"/>
      <c r="E326" s="2"/>
      <c r="F326" s="2"/>
      <c r="G326" s="2"/>
      <c r="H326" s="2"/>
      <c r="I326" s="2"/>
      <c r="J326" s="3"/>
      <c r="K326" s="2"/>
      <c r="L326" s="2"/>
      <c r="M326" s="2"/>
      <c r="O326" s="2"/>
      <c r="P326" s="2"/>
      <c r="Q326" s="2"/>
      <c r="R326" s="2"/>
      <c r="S326" s="2"/>
      <c r="T326" s="2"/>
      <c r="U326" s="2"/>
      <c r="V326" s="2"/>
      <c r="W326" s="2"/>
      <c r="X326" s="2"/>
      <c r="Y326" s="2"/>
      <c r="Z326" s="2"/>
      <c r="AA326" s="2"/>
      <c r="AB326" s="2"/>
      <c r="AC326" s="2"/>
      <c r="AD326" s="4"/>
      <c r="AE326" s="2"/>
      <c r="AF326" s="2"/>
      <c r="AG326" s="2"/>
      <c r="AH326" s="2"/>
      <c r="AI326" s="2"/>
      <c r="AJ326" s="160"/>
      <c r="AK326" s="161"/>
      <c r="AL326" s="160"/>
      <c r="AM326" s="160"/>
      <c r="AN326" s="160"/>
      <c r="AO326" s="160"/>
      <c r="AP326" s="160"/>
      <c r="AQ326" s="160"/>
      <c r="AR326" s="160"/>
      <c r="AS326" s="160"/>
      <c r="AT326" s="160"/>
      <c r="AU326" s="160"/>
      <c r="AV326" s="160"/>
      <c r="AW326" s="160"/>
    </row>
    <row r="327" spans="2:49" s="255" customFormat="1" ht="15" hidden="1" customHeight="1">
      <c r="B327" s="2"/>
      <c r="C327" s="2"/>
      <c r="D327" s="2"/>
      <c r="E327" s="2"/>
      <c r="F327" s="2"/>
      <c r="G327" s="2"/>
      <c r="H327" s="2"/>
      <c r="I327" s="2"/>
      <c r="J327" s="3"/>
      <c r="K327" s="2"/>
      <c r="L327" s="2"/>
      <c r="M327" s="2"/>
      <c r="O327" s="2"/>
      <c r="P327" s="2"/>
      <c r="Q327" s="2"/>
      <c r="R327" s="2"/>
      <c r="S327" s="2"/>
      <c r="T327" s="2"/>
      <c r="U327" s="2"/>
      <c r="V327" s="2"/>
      <c r="W327" s="2"/>
      <c r="X327" s="2"/>
      <c r="Y327" s="2"/>
      <c r="Z327" s="2"/>
      <c r="AA327" s="2"/>
      <c r="AB327" s="2"/>
      <c r="AC327" s="2"/>
      <c r="AD327" s="4"/>
      <c r="AE327" s="2"/>
      <c r="AF327" s="2"/>
      <c r="AG327" s="2"/>
      <c r="AH327" s="2"/>
      <c r="AI327" s="2"/>
      <c r="AJ327" s="160"/>
      <c r="AK327" s="161"/>
      <c r="AL327" s="160"/>
      <c r="AM327" s="160"/>
      <c r="AN327" s="160"/>
      <c r="AO327" s="160"/>
      <c r="AP327" s="160"/>
      <c r="AQ327" s="160"/>
      <c r="AR327" s="160"/>
      <c r="AS327" s="160"/>
      <c r="AT327" s="160"/>
      <c r="AU327" s="160"/>
      <c r="AV327" s="160"/>
      <c r="AW327" s="160"/>
    </row>
    <row r="328" spans="2:49" s="255" customFormat="1" ht="15" hidden="1" customHeight="1">
      <c r="B328" s="2"/>
      <c r="C328" s="2"/>
      <c r="D328" s="2"/>
      <c r="E328" s="2"/>
      <c r="F328" s="2"/>
      <c r="G328" s="2"/>
      <c r="H328" s="2"/>
      <c r="I328" s="2"/>
      <c r="J328" s="3"/>
      <c r="K328" s="2"/>
      <c r="L328" s="2"/>
      <c r="M328" s="2"/>
      <c r="O328" s="2"/>
      <c r="P328" s="2"/>
      <c r="Q328" s="2"/>
      <c r="R328" s="2"/>
      <c r="S328" s="2"/>
      <c r="T328" s="2"/>
      <c r="U328" s="2"/>
      <c r="V328" s="2"/>
      <c r="W328" s="2"/>
      <c r="X328" s="2"/>
      <c r="Y328" s="2"/>
      <c r="Z328" s="2"/>
      <c r="AA328" s="2"/>
      <c r="AB328" s="2"/>
      <c r="AC328" s="2"/>
      <c r="AD328" s="4"/>
      <c r="AE328" s="2"/>
      <c r="AF328" s="2"/>
      <c r="AG328" s="2"/>
      <c r="AH328" s="2"/>
      <c r="AI328" s="2"/>
      <c r="AJ328" s="160"/>
      <c r="AK328" s="161"/>
      <c r="AL328" s="160"/>
      <c r="AM328" s="160"/>
      <c r="AN328" s="160"/>
      <c r="AO328" s="160"/>
      <c r="AP328" s="160"/>
      <c r="AQ328" s="160"/>
      <c r="AR328" s="160"/>
      <c r="AS328" s="160"/>
      <c r="AT328" s="160"/>
      <c r="AU328" s="160"/>
      <c r="AV328" s="160"/>
      <c r="AW328" s="160"/>
    </row>
    <row r="329" spans="2:49" s="255" customFormat="1" ht="15" hidden="1" customHeight="1">
      <c r="B329" s="2"/>
      <c r="C329" s="2"/>
      <c r="D329" s="2"/>
      <c r="E329" s="2"/>
      <c r="F329" s="2"/>
      <c r="G329" s="2"/>
      <c r="H329" s="2"/>
      <c r="I329" s="2"/>
      <c r="J329" s="3"/>
      <c r="K329" s="2"/>
      <c r="L329" s="2"/>
      <c r="M329" s="2"/>
      <c r="O329" s="2"/>
      <c r="P329" s="2"/>
      <c r="Q329" s="2"/>
      <c r="R329" s="2"/>
      <c r="S329" s="2"/>
      <c r="T329" s="2"/>
      <c r="U329" s="2"/>
      <c r="V329" s="2"/>
      <c r="W329" s="2"/>
      <c r="X329" s="2"/>
      <c r="Y329" s="2"/>
      <c r="Z329" s="2"/>
      <c r="AA329" s="2"/>
      <c r="AB329" s="2"/>
      <c r="AC329" s="2"/>
      <c r="AD329" s="4"/>
      <c r="AE329" s="2"/>
      <c r="AF329" s="2"/>
      <c r="AG329" s="2"/>
      <c r="AH329" s="2"/>
      <c r="AI329" s="2"/>
      <c r="AJ329" s="160"/>
      <c r="AK329" s="161"/>
      <c r="AL329" s="160"/>
      <c r="AM329" s="160"/>
      <c r="AN329" s="160"/>
      <c r="AO329" s="160"/>
      <c r="AP329" s="160"/>
      <c r="AQ329" s="160"/>
      <c r="AR329" s="160"/>
      <c r="AS329" s="160"/>
      <c r="AT329" s="160"/>
      <c r="AU329" s="160"/>
      <c r="AV329" s="160"/>
      <c r="AW329" s="160"/>
    </row>
    <row r="330" spans="2:49" s="255" customFormat="1" ht="15" hidden="1" customHeight="1">
      <c r="B330" s="2"/>
      <c r="C330" s="2"/>
      <c r="D330" s="2"/>
      <c r="E330" s="2"/>
      <c r="F330" s="2"/>
      <c r="G330" s="2"/>
      <c r="H330" s="2"/>
      <c r="I330" s="2"/>
      <c r="J330" s="3"/>
      <c r="K330" s="2"/>
      <c r="L330" s="2"/>
      <c r="M330" s="2"/>
      <c r="O330" s="2"/>
      <c r="P330" s="2"/>
      <c r="Q330" s="2"/>
      <c r="R330" s="2"/>
      <c r="S330" s="2"/>
      <c r="T330" s="2"/>
      <c r="U330" s="2"/>
      <c r="V330" s="2"/>
      <c r="W330" s="2"/>
      <c r="X330" s="2"/>
      <c r="Y330" s="2"/>
      <c r="Z330" s="2"/>
      <c r="AA330" s="2"/>
      <c r="AB330" s="2"/>
      <c r="AC330" s="2"/>
      <c r="AD330" s="4"/>
      <c r="AE330" s="2"/>
      <c r="AF330" s="2"/>
      <c r="AG330" s="2"/>
      <c r="AH330" s="2"/>
      <c r="AI330" s="2"/>
      <c r="AJ330" s="160"/>
      <c r="AK330" s="161"/>
      <c r="AL330" s="160"/>
      <c r="AM330" s="160"/>
      <c r="AN330" s="160"/>
      <c r="AO330" s="160"/>
      <c r="AP330" s="160"/>
      <c r="AQ330" s="160"/>
      <c r="AR330" s="160"/>
      <c r="AS330" s="160"/>
      <c r="AT330" s="160"/>
      <c r="AU330" s="160"/>
      <c r="AV330" s="160"/>
      <c r="AW330" s="160"/>
    </row>
    <row r="331" spans="2:49" s="255" customFormat="1" ht="15" hidden="1" customHeight="1">
      <c r="B331" s="2"/>
      <c r="C331" s="2"/>
      <c r="D331" s="2"/>
      <c r="E331" s="2"/>
      <c r="F331" s="2"/>
      <c r="G331" s="2"/>
      <c r="H331" s="2"/>
      <c r="I331" s="2"/>
      <c r="J331" s="3"/>
      <c r="K331" s="2"/>
      <c r="L331" s="2"/>
      <c r="M331" s="2"/>
      <c r="O331" s="2"/>
      <c r="P331" s="2"/>
      <c r="Q331" s="2"/>
      <c r="R331" s="2"/>
      <c r="S331" s="2"/>
      <c r="T331" s="2"/>
      <c r="U331" s="2"/>
      <c r="V331" s="2"/>
      <c r="W331" s="2"/>
      <c r="X331" s="2"/>
      <c r="Y331" s="2"/>
      <c r="Z331" s="2"/>
      <c r="AA331" s="2"/>
      <c r="AB331" s="2"/>
      <c r="AC331" s="2"/>
      <c r="AD331" s="4"/>
      <c r="AE331" s="2"/>
      <c r="AF331" s="2"/>
      <c r="AG331" s="2"/>
      <c r="AH331" s="2"/>
      <c r="AI331" s="2"/>
      <c r="AJ331" s="160"/>
      <c r="AK331" s="161"/>
      <c r="AL331" s="160"/>
      <c r="AM331" s="160"/>
      <c r="AN331" s="160"/>
      <c r="AO331" s="160"/>
      <c r="AP331" s="160"/>
      <c r="AQ331" s="160"/>
      <c r="AR331" s="160"/>
      <c r="AS331" s="160"/>
      <c r="AT331" s="160"/>
      <c r="AU331" s="160"/>
      <c r="AV331" s="160"/>
      <c r="AW331" s="160"/>
    </row>
    <row r="332" spans="2:49" s="255" customFormat="1" ht="15" hidden="1" customHeight="1">
      <c r="B332" s="2"/>
      <c r="C332" s="2"/>
      <c r="D332" s="2"/>
      <c r="E332" s="2"/>
      <c r="F332" s="2"/>
      <c r="G332" s="2"/>
      <c r="H332" s="2"/>
      <c r="I332" s="2"/>
      <c r="J332" s="3"/>
      <c r="K332" s="2"/>
      <c r="L332" s="2"/>
      <c r="M332" s="2"/>
      <c r="O332" s="2"/>
      <c r="P332" s="2"/>
      <c r="Q332" s="2"/>
      <c r="R332" s="2"/>
      <c r="S332" s="2"/>
      <c r="T332" s="2"/>
      <c r="U332" s="2"/>
      <c r="V332" s="2"/>
      <c r="W332" s="2"/>
      <c r="X332" s="2"/>
      <c r="Y332" s="2"/>
      <c r="Z332" s="2"/>
      <c r="AA332" s="2"/>
      <c r="AB332" s="2"/>
      <c r="AC332" s="2"/>
      <c r="AD332" s="4"/>
      <c r="AE332" s="2"/>
      <c r="AF332" s="2"/>
      <c r="AG332" s="2"/>
      <c r="AH332" s="2"/>
      <c r="AI332" s="2"/>
      <c r="AJ332" s="160"/>
      <c r="AK332" s="161"/>
      <c r="AL332" s="160"/>
      <c r="AM332" s="160"/>
      <c r="AN332" s="160"/>
      <c r="AO332" s="160"/>
      <c r="AP332" s="160"/>
      <c r="AQ332" s="160"/>
      <c r="AR332" s="160"/>
      <c r="AS332" s="160"/>
      <c r="AT332" s="160"/>
      <c r="AU332" s="160"/>
      <c r="AV332" s="160"/>
      <c r="AW332" s="160"/>
    </row>
    <row r="333" spans="2:49" s="255" customFormat="1" ht="15" hidden="1" customHeight="1">
      <c r="B333" s="2"/>
      <c r="C333" s="2"/>
      <c r="D333" s="2"/>
      <c r="E333" s="2"/>
      <c r="F333" s="2"/>
      <c r="G333" s="2"/>
      <c r="H333" s="2"/>
      <c r="I333" s="2"/>
      <c r="J333" s="3"/>
      <c r="K333" s="2"/>
      <c r="L333" s="2"/>
      <c r="M333" s="2"/>
      <c r="O333" s="2"/>
      <c r="P333" s="2"/>
      <c r="Q333" s="2"/>
      <c r="R333" s="2"/>
      <c r="S333" s="2"/>
      <c r="T333" s="2"/>
      <c r="U333" s="2"/>
      <c r="V333" s="2"/>
      <c r="W333" s="2"/>
      <c r="X333" s="2"/>
      <c r="Y333" s="2"/>
      <c r="Z333" s="2"/>
      <c r="AA333" s="2"/>
      <c r="AB333" s="2"/>
      <c r="AC333" s="2"/>
      <c r="AD333" s="4"/>
      <c r="AE333" s="2"/>
      <c r="AF333" s="2"/>
      <c r="AG333" s="2"/>
      <c r="AH333" s="2"/>
      <c r="AI333" s="2"/>
      <c r="AJ333" s="160"/>
      <c r="AK333" s="161"/>
      <c r="AL333" s="160"/>
      <c r="AM333" s="160"/>
      <c r="AN333" s="160"/>
      <c r="AO333" s="160"/>
      <c r="AP333" s="160"/>
      <c r="AQ333" s="160"/>
      <c r="AR333" s="160"/>
      <c r="AS333" s="160"/>
      <c r="AT333" s="160"/>
      <c r="AU333" s="160"/>
      <c r="AV333" s="160"/>
      <c r="AW333" s="160"/>
    </row>
    <row r="334" spans="2:49" s="255" customFormat="1" ht="15" hidden="1" customHeight="1">
      <c r="B334" s="2"/>
      <c r="C334" s="2"/>
      <c r="D334" s="2"/>
      <c r="E334" s="2"/>
      <c r="F334" s="2"/>
      <c r="G334" s="2"/>
      <c r="H334" s="2"/>
      <c r="I334" s="2"/>
      <c r="J334" s="3"/>
      <c r="K334" s="2"/>
      <c r="L334" s="2"/>
      <c r="M334" s="2"/>
      <c r="O334" s="2"/>
      <c r="P334" s="2"/>
      <c r="Q334" s="2"/>
      <c r="R334" s="2"/>
      <c r="S334" s="2"/>
      <c r="T334" s="2"/>
      <c r="U334" s="2"/>
      <c r="V334" s="2"/>
      <c r="W334" s="2"/>
      <c r="X334" s="2"/>
      <c r="Y334" s="2"/>
      <c r="Z334" s="2"/>
      <c r="AA334" s="2"/>
      <c r="AB334" s="2"/>
      <c r="AC334" s="2"/>
      <c r="AD334" s="4"/>
      <c r="AE334" s="2"/>
      <c r="AF334" s="2"/>
      <c r="AG334" s="2"/>
      <c r="AH334" s="2"/>
      <c r="AI334" s="2"/>
      <c r="AJ334" s="160"/>
      <c r="AK334" s="161"/>
      <c r="AL334" s="160"/>
      <c r="AM334" s="160"/>
      <c r="AN334" s="160"/>
      <c r="AO334" s="160"/>
      <c r="AP334" s="160"/>
      <c r="AQ334" s="160"/>
      <c r="AR334" s="160"/>
      <c r="AS334" s="160"/>
      <c r="AT334" s="160"/>
      <c r="AU334" s="160"/>
      <c r="AV334" s="160"/>
      <c r="AW334" s="160"/>
    </row>
    <row r="335" spans="2:49" s="255" customFormat="1" ht="15" hidden="1" customHeight="1">
      <c r="B335" s="2"/>
      <c r="C335" s="2"/>
      <c r="D335" s="2"/>
      <c r="E335" s="2"/>
      <c r="F335" s="2"/>
      <c r="G335" s="2"/>
      <c r="H335" s="2"/>
      <c r="I335" s="2"/>
      <c r="J335" s="3"/>
      <c r="K335" s="2"/>
      <c r="L335" s="2"/>
      <c r="M335" s="2"/>
      <c r="O335" s="2"/>
      <c r="P335" s="2"/>
      <c r="Q335" s="2"/>
      <c r="R335" s="2"/>
      <c r="S335" s="2"/>
      <c r="T335" s="2"/>
      <c r="U335" s="2"/>
      <c r="V335" s="2"/>
      <c r="W335" s="2"/>
      <c r="X335" s="2"/>
      <c r="Y335" s="2"/>
      <c r="Z335" s="2"/>
      <c r="AA335" s="2"/>
      <c r="AB335" s="2"/>
      <c r="AC335" s="2"/>
      <c r="AD335" s="4"/>
      <c r="AE335" s="2"/>
      <c r="AF335" s="2"/>
      <c r="AG335" s="2"/>
      <c r="AH335" s="2"/>
      <c r="AI335" s="2"/>
      <c r="AJ335" s="160"/>
      <c r="AK335" s="161"/>
      <c r="AL335" s="160"/>
      <c r="AM335" s="160"/>
      <c r="AN335" s="160"/>
      <c r="AO335" s="160"/>
      <c r="AP335" s="160"/>
      <c r="AQ335" s="160"/>
      <c r="AR335" s="160"/>
      <c r="AS335" s="160"/>
      <c r="AT335" s="160"/>
      <c r="AU335" s="160"/>
      <c r="AV335" s="160"/>
      <c r="AW335" s="160"/>
    </row>
    <row r="336" spans="2:49" s="255" customFormat="1" ht="15" hidden="1" customHeight="1">
      <c r="B336" s="2"/>
      <c r="C336" s="2"/>
      <c r="D336" s="2"/>
      <c r="E336" s="2"/>
      <c r="F336" s="2"/>
      <c r="G336" s="2"/>
      <c r="H336" s="2"/>
      <c r="I336" s="2"/>
      <c r="J336" s="3"/>
      <c r="K336" s="2"/>
      <c r="L336" s="2"/>
      <c r="M336" s="2"/>
      <c r="O336" s="2"/>
      <c r="P336" s="2"/>
      <c r="Q336" s="2"/>
      <c r="R336" s="2"/>
      <c r="S336" s="2"/>
      <c r="T336" s="2"/>
      <c r="U336" s="2"/>
      <c r="V336" s="2"/>
      <c r="W336" s="2"/>
      <c r="X336" s="2"/>
      <c r="Y336" s="2"/>
      <c r="Z336" s="2"/>
      <c r="AA336" s="2"/>
      <c r="AB336" s="2"/>
      <c r="AC336" s="2"/>
      <c r="AD336" s="4"/>
      <c r="AE336" s="2"/>
      <c r="AF336" s="2"/>
      <c r="AG336" s="2"/>
      <c r="AH336" s="2"/>
      <c r="AI336" s="2"/>
      <c r="AJ336" s="160"/>
      <c r="AK336" s="161"/>
      <c r="AL336" s="160"/>
      <c r="AM336" s="160"/>
      <c r="AN336" s="160"/>
      <c r="AO336" s="160"/>
      <c r="AP336" s="160"/>
      <c r="AQ336" s="160"/>
      <c r="AR336" s="160"/>
      <c r="AS336" s="160"/>
      <c r="AT336" s="160"/>
      <c r="AU336" s="160"/>
      <c r="AV336" s="160"/>
      <c r="AW336" s="160"/>
    </row>
    <row r="337" spans="2:49" s="255" customFormat="1" ht="15" hidden="1" customHeight="1">
      <c r="B337" s="2"/>
      <c r="C337" s="2"/>
      <c r="D337" s="2"/>
      <c r="E337" s="2"/>
      <c r="F337" s="2"/>
      <c r="G337" s="2"/>
      <c r="H337" s="2"/>
      <c r="I337" s="2"/>
      <c r="J337" s="3"/>
      <c r="K337" s="2"/>
      <c r="L337" s="2"/>
      <c r="M337" s="2"/>
      <c r="O337" s="2"/>
      <c r="P337" s="2"/>
      <c r="Q337" s="2"/>
      <c r="R337" s="2"/>
      <c r="S337" s="2"/>
      <c r="T337" s="2"/>
      <c r="U337" s="2"/>
      <c r="V337" s="2"/>
      <c r="W337" s="2"/>
      <c r="X337" s="2"/>
      <c r="Y337" s="2"/>
      <c r="Z337" s="2"/>
      <c r="AA337" s="2"/>
      <c r="AB337" s="2"/>
      <c r="AC337" s="2"/>
      <c r="AD337" s="4"/>
      <c r="AE337" s="2"/>
      <c r="AF337" s="2"/>
      <c r="AG337" s="2"/>
      <c r="AH337" s="2"/>
      <c r="AI337" s="2"/>
      <c r="AJ337" s="160"/>
      <c r="AK337" s="161"/>
      <c r="AL337" s="160"/>
      <c r="AM337" s="160"/>
      <c r="AN337" s="160"/>
      <c r="AO337" s="160"/>
      <c r="AP337" s="160"/>
      <c r="AQ337" s="160"/>
      <c r="AR337" s="160"/>
      <c r="AS337" s="160"/>
      <c r="AT337" s="160"/>
      <c r="AU337" s="160"/>
      <c r="AV337" s="160"/>
      <c r="AW337" s="160"/>
    </row>
    <row r="338" spans="2:49" s="255" customFormat="1" ht="15" hidden="1" customHeight="1">
      <c r="B338" s="2"/>
      <c r="C338" s="2"/>
      <c r="D338" s="2"/>
      <c r="E338" s="2"/>
      <c r="F338" s="2"/>
      <c r="G338" s="2"/>
      <c r="H338" s="2"/>
      <c r="I338" s="2"/>
      <c r="J338" s="3"/>
      <c r="K338" s="2"/>
      <c r="L338" s="2"/>
      <c r="M338" s="2"/>
      <c r="O338" s="2"/>
      <c r="P338" s="2"/>
      <c r="Q338" s="2"/>
      <c r="R338" s="2"/>
      <c r="S338" s="2"/>
      <c r="T338" s="2"/>
      <c r="U338" s="2"/>
      <c r="V338" s="2"/>
      <c r="W338" s="2"/>
      <c r="X338" s="2"/>
      <c r="Y338" s="2"/>
      <c r="Z338" s="2"/>
      <c r="AA338" s="2"/>
      <c r="AB338" s="2"/>
      <c r="AC338" s="2"/>
      <c r="AD338" s="4"/>
      <c r="AE338" s="2"/>
      <c r="AF338" s="2"/>
      <c r="AG338" s="2"/>
      <c r="AH338" s="2"/>
      <c r="AI338" s="2"/>
      <c r="AJ338" s="160"/>
      <c r="AK338" s="161"/>
      <c r="AL338" s="160"/>
      <c r="AM338" s="160"/>
      <c r="AN338" s="160"/>
      <c r="AO338" s="160"/>
      <c r="AP338" s="160"/>
      <c r="AQ338" s="160"/>
      <c r="AR338" s="160"/>
      <c r="AS338" s="160"/>
      <c r="AT338" s="160"/>
      <c r="AU338" s="160"/>
      <c r="AV338" s="160"/>
      <c r="AW338" s="160"/>
    </row>
    <row r="339" spans="2:49" s="255" customFormat="1" ht="15" hidden="1" customHeight="1">
      <c r="B339" s="2"/>
      <c r="C339" s="2"/>
      <c r="D339" s="2"/>
      <c r="E339" s="2"/>
      <c r="F339" s="2"/>
      <c r="G339" s="2"/>
      <c r="H339" s="2"/>
      <c r="I339" s="2"/>
      <c r="J339" s="3"/>
      <c r="K339" s="2"/>
      <c r="L339" s="2"/>
      <c r="M339" s="2"/>
      <c r="O339" s="2"/>
      <c r="P339" s="2"/>
      <c r="Q339" s="2"/>
      <c r="R339" s="2"/>
      <c r="S339" s="2"/>
      <c r="T339" s="2"/>
      <c r="U339" s="2"/>
      <c r="V339" s="2"/>
      <c r="W339" s="2"/>
      <c r="X339" s="2"/>
      <c r="Y339" s="2"/>
      <c r="Z339" s="2"/>
      <c r="AA339" s="2"/>
      <c r="AB339" s="2"/>
      <c r="AC339" s="2"/>
      <c r="AD339" s="4"/>
      <c r="AE339" s="2"/>
      <c r="AF339" s="2"/>
      <c r="AG339" s="2"/>
      <c r="AH339" s="2"/>
      <c r="AI339" s="2"/>
      <c r="AJ339" s="160"/>
      <c r="AK339" s="161"/>
      <c r="AL339" s="160"/>
      <c r="AM339" s="160"/>
      <c r="AN339" s="160"/>
      <c r="AO339" s="160"/>
      <c r="AP339" s="160"/>
      <c r="AQ339" s="160"/>
      <c r="AR339" s="160"/>
      <c r="AS339" s="160"/>
      <c r="AT339" s="160"/>
      <c r="AU339" s="160"/>
      <c r="AV339" s="160"/>
      <c r="AW339" s="160"/>
    </row>
    <row r="340" spans="2:49" s="255" customFormat="1" ht="15" hidden="1" customHeight="1">
      <c r="B340" s="2"/>
      <c r="C340" s="2"/>
      <c r="D340" s="2"/>
      <c r="E340" s="2"/>
      <c r="F340" s="2"/>
      <c r="G340" s="2"/>
      <c r="H340" s="2"/>
      <c r="I340" s="2"/>
      <c r="J340" s="3"/>
      <c r="K340" s="2"/>
      <c r="L340" s="2"/>
      <c r="M340" s="2"/>
      <c r="O340" s="2"/>
      <c r="P340" s="2"/>
      <c r="Q340" s="2"/>
      <c r="R340" s="2"/>
      <c r="S340" s="2"/>
      <c r="T340" s="2"/>
      <c r="U340" s="2"/>
      <c r="V340" s="2"/>
      <c r="W340" s="2"/>
      <c r="X340" s="2"/>
      <c r="Y340" s="2"/>
      <c r="Z340" s="2"/>
      <c r="AA340" s="2"/>
      <c r="AB340" s="2"/>
      <c r="AC340" s="2"/>
      <c r="AD340" s="4"/>
      <c r="AE340" s="2"/>
      <c r="AF340" s="2"/>
      <c r="AG340" s="2"/>
      <c r="AH340" s="2"/>
      <c r="AI340" s="2"/>
      <c r="AJ340" s="160"/>
      <c r="AK340" s="161"/>
      <c r="AL340" s="160"/>
      <c r="AM340" s="160"/>
      <c r="AN340" s="160"/>
      <c r="AO340" s="160"/>
      <c r="AP340" s="160"/>
      <c r="AQ340" s="160"/>
      <c r="AR340" s="160"/>
      <c r="AS340" s="160"/>
      <c r="AT340" s="160"/>
      <c r="AU340" s="160"/>
      <c r="AV340" s="160"/>
      <c r="AW340" s="160"/>
    </row>
    <row r="341" spans="2:49" s="255" customFormat="1" ht="15" hidden="1" customHeight="1">
      <c r="B341" s="2"/>
      <c r="C341" s="2"/>
      <c r="D341" s="2"/>
      <c r="E341" s="2"/>
      <c r="F341" s="2"/>
      <c r="G341" s="2"/>
      <c r="H341" s="2"/>
      <c r="I341" s="2"/>
      <c r="J341" s="3"/>
      <c r="K341" s="2"/>
      <c r="L341" s="2"/>
      <c r="M341" s="2"/>
      <c r="O341" s="2"/>
      <c r="P341" s="2"/>
      <c r="Q341" s="2"/>
      <c r="R341" s="2"/>
      <c r="S341" s="2"/>
      <c r="T341" s="2"/>
      <c r="U341" s="2"/>
      <c r="V341" s="2"/>
      <c r="W341" s="2"/>
      <c r="X341" s="2"/>
      <c r="Y341" s="2"/>
      <c r="Z341" s="2"/>
      <c r="AA341" s="2"/>
      <c r="AB341" s="2"/>
      <c r="AC341" s="2"/>
      <c r="AD341" s="4"/>
      <c r="AE341" s="2"/>
      <c r="AF341" s="2"/>
      <c r="AG341" s="2"/>
      <c r="AH341" s="2"/>
      <c r="AI341" s="2"/>
      <c r="AJ341" s="160"/>
      <c r="AK341" s="161"/>
      <c r="AL341" s="160"/>
      <c r="AM341" s="160"/>
      <c r="AN341" s="160"/>
      <c r="AO341" s="160"/>
      <c r="AP341" s="160"/>
      <c r="AQ341" s="160"/>
      <c r="AR341" s="160"/>
      <c r="AS341" s="160"/>
      <c r="AT341" s="160"/>
      <c r="AU341" s="160"/>
      <c r="AV341" s="160"/>
      <c r="AW341" s="160"/>
    </row>
    <row r="342" spans="2:49" s="255" customFormat="1" ht="15" hidden="1" customHeight="1">
      <c r="B342" s="2"/>
      <c r="C342" s="2"/>
      <c r="D342" s="2"/>
      <c r="E342" s="2"/>
      <c r="F342" s="2"/>
      <c r="G342" s="2"/>
      <c r="H342" s="2"/>
      <c r="I342" s="2"/>
      <c r="J342" s="3"/>
      <c r="K342" s="2"/>
      <c r="L342" s="2"/>
      <c r="M342" s="2"/>
      <c r="O342" s="2"/>
      <c r="P342" s="2"/>
      <c r="Q342" s="2"/>
      <c r="R342" s="2"/>
      <c r="S342" s="2"/>
      <c r="T342" s="2"/>
      <c r="U342" s="2"/>
      <c r="V342" s="2"/>
      <c r="W342" s="2"/>
      <c r="X342" s="2"/>
      <c r="Y342" s="2"/>
      <c r="Z342" s="2"/>
      <c r="AA342" s="2"/>
      <c r="AB342" s="2"/>
      <c r="AC342" s="2"/>
      <c r="AD342" s="4"/>
      <c r="AE342" s="2"/>
      <c r="AF342" s="2"/>
      <c r="AG342" s="2"/>
      <c r="AH342" s="2"/>
      <c r="AI342" s="2"/>
      <c r="AJ342" s="160"/>
      <c r="AK342" s="161"/>
      <c r="AL342" s="160"/>
      <c r="AM342" s="160"/>
      <c r="AN342" s="160"/>
      <c r="AO342" s="160"/>
      <c r="AP342" s="160"/>
      <c r="AQ342" s="160"/>
      <c r="AR342" s="160"/>
      <c r="AS342" s="160"/>
      <c r="AT342" s="160"/>
      <c r="AU342" s="160"/>
      <c r="AV342" s="160"/>
      <c r="AW342" s="160"/>
    </row>
    <row r="343" spans="2:49" s="255" customFormat="1" ht="15" hidden="1" customHeight="1">
      <c r="B343" s="2"/>
      <c r="C343" s="2"/>
      <c r="D343" s="2"/>
      <c r="E343" s="2"/>
      <c r="F343" s="2"/>
      <c r="G343" s="2"/>
      <c r="H343" s="2"/>
      <c r="I343" s="2"/>
      <c r="J343" s="3"/>
      <c r="K343" s="2"/>
      <c r="L343" s="2"/>
      <c r="M343" s="2"/>
      <c r="O343" s="2"/>
      <c r="P343" s="2"/>
      <c r="Q343" s="2"/>
      <c r="R343" s="2"/>
      <c r="S343" s="2"/>
      <c r="T343" s="2"/>
      <c r="U343" s="2"/>
      <c r="V343" s="2"/>
      <c r="W343" s="2"/>
      <c r="X343" s="2"/>
      <c r="Y343" s="2"/>
      <c r="Z343" s="2"/>
      <c r="AA343" s="2"/>
      <c r="AB343" s="2"/>
      <c r="AC343" s="2"/>
      <c r="AD343" s="4"/>
      <c r="AE343" s="2"/>
      <c r="AF343" s="2"/>
      <c r="AG343" s="2"/>
      <c r="AH343" s="2"/>
      <c r="AI343" s="2"/>
      <c r="AJ343" s="160"/>
      <c r="AK343" s="161"/>
      <c r="AL343" s="160"/>
      <c r="AM343" s="160"/>
      <c r="AN343" s="160"/>
      <c r="AO343" s="160"/>
      <c r="AP343" s="160"/>
      <c r="AQ343" s="160"/>
      <c r="AR343" s="160"/>
      <c r="AS343" s="160"/>
      <c r="AT343" s="160"/>
      <c r="AU343" s="160"/>
      <c r="AV343" s="160"/>
      <c r="AW343" s="160"/>
    </row>
    <row r="344" spans="2:49" s="255" customFormat="1" ht="15" hidden="1" customHeight="1">
      <c r="B344" s="2"/>
      <c r="C344" s="2"/>
      <c r="D344" s="2"/>
      <c r="E344" s="2"/>
      <c r="F344" s="2"/>
      <c r="G344" s="2"/>
      <c r="H344" s="2"/>
      <c r="I344" s="2"/>
      <c r="J344" s="3"/>
      <c r="K344" s="2"/>
      <c r="L344" s="2"/>
      <c r="M344" s="2"/>
      <c r="O344" s="2"/>
      <c r="P344" s="2"/>
      <c r="Q344" s="2"/>
      <c r="R344" s="2"/>
      <c r="S344" s="2"/>
      <c r="T344" s="2"/>
      <c r="U344" s="2"/>
      <c r="V344" s="2"/>
      <c r="W344" s="2"/>
      <c r="X344" s="2"/>
      <c r="Y344" s="2"/>
      <c r="Z344" s="2"/>
      <c r="AA344" s="2"/>
      <c r="AB344" s="2"/>
      <c r="AC344" s="2"/>
      <c r="AD344" s="4"/>
      <c r="AE344" s="2"/>
      <c r="AF344" s="2"/>
      <c r="AG344" s="2"/>
      <c r="AH344" s="2"/>
      <c r="AI344" s="2"/>
      <c r="AJ344" s="160"/>
      <c r="AK344" s="161"/>
      <c r="AL344" s="160"/>
      <c r="AM344" s="160"/>
      <c r="AN344" s="160"/>
      <c r="AO344" s="160"/>
      <c r="AP344" s="160"/>
      <c r="AQ344" s="160"/>
      <c r="AR344" s="160"/>
      <c r="AS344" s="160"/>
      <c r="AT344" s="160"/>
      <c r="AU344" s="160"/>
      <c r="AV344" s="160"/>
      <c r="AW344" s="160"/>
    </row>
    <row r="345" spans="2:49" s="255" customFormat="1" ht="15" hidden="1" customHeight="1">
      <c r="B345" s="2"/>
      <c r="C345" s="2"/>
      <c r="D345" s="2"/>
      <c r="E345" s="2"/>
      <c r="F345" s="2"/>
      <c r="G345" s="2"/>
      <c r="H345" s="2"/>
      <c r="I345" s="2"/>
      <c r="J345" s="3"/>
      <c r="K345" s="2"/>
      <c r="L345" s="2"/>
      <c r="M345" s="2"/>
      <c r="O345" s="2"/>
      <c r="P345" s="2"/>
      <c r="Q345" s="2"/>
      <c r="R345" s="2"/>
      <c r="S345" s="2"/>
      <c r="T345" s="2"/>
      <c r="U345" s="2"/>
      <c r="V345" s="2"/>
      <c r="W345" s="2"/>
      <c r="X345" s="2"/>
      <c r="Y345" s="2"/>
      <c r="Z345" s="2"/>
      <c r="AA345" s="2"/>
      <c r="AB345" s="2"/>
      <c r="AC345" s="2"/>
      <c r="AD345" s="4"/>
      <c r="AE345" s="2"/>
      <c r="AF345" s="2"/>
      <c r="AG345" s="2"/>
      <c r="AH345" s="2"/>
      <c r="AI345" s="2"/>
      <c r="AJ345" s="160"/>
      <c r="AK345" s="161"/>
      <c r="AL345" s="160"/>
      <c r="AM345" s="160"/>
      <c r="AN345" s="160"/>
      <c r="AO345" s="160"/>
      <c r="AP345" s="160"/>
      <c r="AQ345" s="160"/>
      <c r="AR345" s="160"/>
      <c r="AS345" s="160"/>
      <c r="AT345" s="160"/>
      <c r="AU345" s="160"/>
      <c r="AV345" s="160"/>
      <c r="AW345" s="160"/>
    </row>
    <row r="346" spans="2:49" s="255" customFormat="1" ht="15" hidden="1" customHeight="1">
      <c r="B346" s="2"/>
      <c r="C346" s="2"/>
      <c r="D346" s="2"/>
      <c r="E346" s="2"/>
      <c r="F346" s="2"/>
      <c r="G346" s="2"/>
      <c r="H346" s="2"/>
      <c r="I346" s="2"/>
      <c r="J346" s="3"/>
      <c r="K346" s="2"/>
      <c r="L346" s="2"/>
      <c r="M346" s="2"/>
      <c r="O346" s="2"/>
      <c r="P346" s="2"/>
      <c r="Q346" s="2"/>
      <c r="R346" s="2"/>
      <c r="S346" s="2"/>
      <c r="T346" s="2"/>
      <c r="U346" s="2"/>
      <c r="V346" s="2"/>
      <c r="W346" s="2"/>
      <c r="X346" s="2"/>
      <c r="Y346" s="2"/>
      <c r="Z346" s="2"/>
      <c r="AA346" s="2"/>
      <c r="AB346" s="2"/>
      <c r="AC346" s="2"/>
      <c r="AD346" s="4"/>
      <c r="AE346" s="2"/>
      <c r="AF346" s="2"/>
      <c r="AG346" s="2"/>
      <c r="AH346" s="2"/>
      <c r="AI346" s="2"/>
      <c r="AJ346" s="160"/>
      <c r="AK346" s="161"/>
      <c r="AL346" s="160"/>
      <c r="AM346" s="160"/>
      <c r="AN346" s="160"/>
      <c r="AO346" s="160"/>
      <c r="AP346" s="160"/>
      <c r="AQ346" s="160"/>
      <c r="AR346" s="160"/>
      <c r="AS346" s="160"/>
      <c r="AT346" s="160"/>
      <c r="AU346" s="160"/>
      <c r="AV346" s="160"/>
      <c r="AW346" s="160"/>
    </row>
    <row r="347" spans="2:49" s="255" customFormat="1" ht="15" hidden="1" customHeight="1">
      <c r="B347" s="2"/>
      <c r="C347" s="2"/>
      <c r="D347" s="2"/>
      <c r="E347" s="2"/>
      <c r="F347" s="2"/>
      <c r="G347" s="2"/>
      <c r="H347" s="2"/>
      <c r="I347" s="2"/>
      <c r="J347" s="3"/>
      <c r="K347" s="2"/>
      <c r="L347" s="2"/>
      <c r="M347" s="2"/>
      <c r="O347" s="2"/>
      <c r="P347" s="2"/>
      <c r="Q347" s="2"/>
      <c r="R347" s="2"/>
      <c r="S347" s="2"/>
      <c r="T347" s="2"/>
      <c r="U347" s="2"/>
      <c r="V347" s="2"/>
      <c r="W347" s="2"/>
      <c r="X347" s="2"/>
      <c r="Y347" s="2"/>
      <c r="Z347" s="2"/>
      <c r="AA347" s="2"/>
      <c r="AB347" s="2"/>
      <c r="AC347" s="2"/>
      <c r="AD347" s="4"/>
      <c r="AE347" s="2"/>
      <c r="AF347" s="2"/>
      <c r="AG347" s="2"/>
      <c r="AH347" s="2"/>
      <c r="AI347" s="2"/>
      <c r="AJ347" s="160"/>
      <c r="AK347" s="161"/>
      <c r="AL347" s="160"/>
      <c r="AM347" s="160"/>
      <c r="AN347" s="160"/>
      <c r="AO347" s="160"/>
      <c r="AP347" s="160"/>
      <c r="AQ347" s="160"/>
      <c r="AR347" s="160"/>
      <c r="AS347" s="160"/>
      <c r="AT347" s="160"/>
      <c r="AU347" s="160"/>
      <c r="AV347" s="160"/>
      <c r="AW347" s="160"/>
    </row>
    <row r="348" spans="2:49" s="255" customFormat="1" ht="15" hidden="1" customHeight="1">
      <c r="B348" s="2"/>
      <c r="C348" s="2"/>
      <c r="D348" s="2"/>
      <c r="E348" s="2"/>
      <c r="F348" s="2"/>
      <c r="G348" s="2"/>
      <c r="H348" s="2"/>
      <c r="I348" s="2"/>
      <c r="J348" s="3"/>
      <c r="K348" s="2"/>
      <c r="L348" s="2"/>
      <c r="M348" s="2"/>
      <c r="O348" s="2"/>
      <c r="P348" s="2"/>
      <c r="Q348" s="2"/>
      <c r="R348" s="2"/>
      <c r="S348" s="2"/>
      <c r="T348" s="2"/>
      <c r="U348" s="2"/>
      <c r="V348" s="2"/>
      <c r="W348" s="2"/>
      <c r="X348" s="2"/>
      <c r="Y348" s="2"/>
      <c r="Z348" s="2"/>
      <c r="AA348" s="2"/>
      <c r="AB348" s="2"/>
      <c r="AC348" s="2"/>
      <c r="AD348" s="4"/>
      <c r="AE348" s="2"/>
      <c r="AF348" s="2"/>
      <c r="AG348" s="2"/>
      <c r="AH348" s="2"/>
      <c r="AI348" s="2"/>
      <c r="AJ348" s="160"/>
      <c r="AK348" s="161"/>
      <c r="AL348" s="160"/>
      <c r="AM348" s="160"/>
      <c r="AN348" s="160"/>
      <c r="AO348" s="160"/>
      <c r="AP348" s="160"/>
      <c r="AQ348" s="160"/>
      <c r="AR348" s="160"/>
      <c r="AS348" s="160"/>
      <c r="AT348" s="160"/>
      <c r="AU348" s="160"/>
      <c r="AV348" s="160"/>
      <c r="AW348" s="160"/>
    </row>
    <row r="349" spans="2:49" s="255" customFormat="1" ht="15" hidden="1" customHeight="1">
      <c r="B349" s="2"/>
      <c r="C349" s="2"/>
      <c r="D349" s="2"/>
      <c r="E349" s="2"/>
      <c r="F349" s="2"/>
      <c r="G349" s="2"/>
      <c r="H349" s="2"/>
      <c r="I349" s="2"/>
      <c r="J349" s="3"/>
      <c r="K349" s="2"/>
      <c r="L349" s="2"/>
      <c r="M349" s="2"/>
      <c r="O349" s="2"/>
      <c r="P349" s="2"/>
      <c r="Q349" s="2"/>
      <c r="R349" s="2"/>
      <c r="S349" s="2"/>
      <c r="T349" s="2"/>
      <c r="U349" s="2"/>
      <c r="V349" s="2"/>
      <c r="W349" s="2"/>
      <c r="X349" s="2"/>
      <c r="Y349" s="2"/>
      <c r="Z349" s="2"/>
      <c r="AA349" s="2"/>
      <c r="AB349" s="2"/>
      <c r="AC349" s="2"/>
      <c r="AD349" s="4"/>
      <c r="AE349" s="2"/>
      <c r="AF349" s="2"/>
      <c r="AG349" s="2"/>
      <c r="AH349" s="2"/>
      <c r="AI349" s="2"/>
      <c r="AJ349" s="160"/>
      <c r="AK349" s="161"/>
      <c r="AL349" s="160"/>
      <c r="AM349" s="160"/>
      <c r="AN349" s="160"/>
      <c r="AO349" s="160"/>
      <c r="AP349" s="160"/>
      <c r="AQ349" s="160"/>
      <c r="AR349" s="160"/>
      <c r="AS349" s="160"/>
      <c r="AT349" s="160"/>
      <c r="AU349" s="160"/>
      <c r="AV349" s="160"/>
      <c r="AW349" s="160"/>
    </row>
    <row r="350" spans="2:49" s="255" customFormat="1" ht="15" hidden="1" customHeight="1">
      <c r="B350" s="2"/>
      <c r="C350" s="2"/>
      <c r="D350" s="2"/>
      <c r="E350" s="2"/>
      <c r="F350" s="2"/>
      <c r="G350" s="2"/>
      <c r="H350" s="2"/>
      <c r="I350" s="2"/>
      <c r="J350" s="3"/>
      <c r="K350" s="2"/>
      <c r="L350" s="2"/>
      <c r="M350" s="2"/>
      <c r="O350" s="2"/>
      <c r="P350" s="2"/>
      <c r="Q350" s="2"/>
      <c r="R350" s="2"/>
      <c r="S350" s="2"/>
      <c r="T350" s="2"/>
      <c r="U350" s="2"/>
      <c r="V350" s="2"/>
      <c r="W350" s="2"/>
      <c r="X350" s="2"/>
      <c r="Y350" s="2"/>
      <c r="Z350" s="2"/>
      <c r="AA350" s="2"/>
      <c r="AB350" s="2"/>
      <c r="AC350" s="2"/>
      <c r="AD350" s="4"/>
      <c r="AE350" s="2"/>
      <c r="AF350" s="2"/>
      <c r="AG350" s="2"/>
      <c r="AH350" s="2"/>
      <c r="AI350" s="2"/>
      <c r="AJ350" s="160"/>
      <c r="AK350" s="161"/>
      <c r="AL350" s="160"/>
      <c r="AM350" s="160"/>
      <c r="AN350" s="160"/>
      <c r="AO350" s="160"/>
      <c r="AP350" s="160"/>
      <c r="AQ350" s="160"/>
      <c r="AR350" s="160"/>
      <c r="AS350" s="160"/>
      <c r="AT350" s="160"/>
      <c r="AU350" s="160"/>
      <c r="AV350" s="160"/>
      <c r="AW350" s="160"/>
    </row>
    <row r="351" spans="2:49" s="255" customFormat="1" ht="15" hidden="1" customHeight="1">
      <c r="B351" s="2"/>
      <c r="C351" s="2"/>
      <c r="D351" s="2"/>
      <c r="E351" s="2"/>
      <c r="F351" s="2"/>
      <c r="G351" s="2"/>
      <c r="H351" s="2"/>
      <c r="I351" s="2"/>
      <c r="J351" s="3"/>
      <c r="K351" s="2"/>
      <c r="L351" s="2"/>
      <c r="M351" s="2"/>
      <c r="O351" s="2"/>
      <c r="P351" s="2"/>
      <c r="Q351" s="2"/>
      <c r="R351" s="2"/>
      <c r="S351" s="2"/>
      <c r="T351" s="2"/>
      <c r="U351" s="2"/>
      <c r="V351" s="2"/>
      <c r="W351" s="2"/>
      <c r="X351" s="2"/>
      <c r="Y351" s="2"/>
      <c r="Z351" s="2"/>
      <c r="AA351" s="2"/>
      <c r="AB351" s="2"/>
      <c r="AC351" s="2"/>
      <c r="AD351" s="4"/>
      <c r="AE351" s="2"/>
      <c r="AF351" s="2"/>
      <c r="AG351" s="2"/>
      <c r="AH351" s="2"/>
      <c r="AI351" s="2"/>
      <c r="AJ351" s="160"/>
      <c r="AK351" s="161"/>
      <c r="AL351" s="160"/>
      <c r="AM351" s="160"/>
      <c r="AN351" s="160"/>
      <c r="AO351" s="160"/>
      <c r="AP351" s="160"/>
      <c r="AQ351" s="160"/>
      <c r="AR351" s="160"/>
      <c r="AS351" s="160"/>
      <c r="AT351" s="160"/>
      <c r="AU351" s="160"/>
      <c r="AV351" s="160"/>
      <c r="AW351" s="160"/>
    </row>
    <row r="352" spans="2:49" s="255" customFormat="1" ht="15" hidden="1" customHeight="1">
      <c r="B352" s="2"/>
      <c r="C352" s="2"/>
      <c r="D352" s="2"/>
      <c r="E352" s="2"/>
      <c r="F352" s="2"/>
      <c r="G352" s="2"/>
      <c r="H352" s="2"/>
      <c r="I352" s="2"/>
      <c r="J352" s="3"/>
      <c r="K352" s="2"/>
      <c r="L352" s="2"/>
      <c r="M352" s="2"/>
      <c r="O352" s="2"/>
      <c r="P352" s="2"/>
      <c r="Q352" s="2"/>
      <c r="R352" s="2"/>
      <c r="S352" s="2"/>
      <c r="T352" s="2"/>
      <c r="U352" s="2"/>
      <c r="V352" s="2"/>
      <c r="W352" s="2"/>
      <c r="X352" s="2"/>
      <c r="Y352" s="2"/>
      <c r="Z352" s="2"/>
      <c r="AA352" s="2"/>
      <c r="AB352" s="2"/>
      <c r="AC352" s="2"/>
      <c r="AD352" s="4"/>
      <c r="AE352" s="2"/>
      <c r="AF352" s="2"/>
      <c r="AG352" s="2"/>
      <c r="AH352" s="2"/>
      <c r="AI352" s="2"/>
      <c r="AJ352" s="160"/>
      <c r="AK352" s="161"/>
      <c r="AL352" s="160"/>
      <c r="AM352" s="160"/>
      <c r="AN352" s="160"/>
      <c r="AO352" s="160"/>
      <c r="AP352" s="160"/>
      <c r="AQ352" s="160"/>
      <c r="AR352" s="160"/>
      <c r="AS352" s="160"/>
      <c r="AT352" s="160"/>
      <c r="AU352" s="160"/>
      <c r="AV352" s="160"/>
      <c r="AW352" s="160"/>
    </row>
    <row r="353" spans="2:49" s="255" customFormat="1" ht="15" hidden="1" customHeight="1">
      <c r="B353" s="2"/>
      <c r="C353" s="2"/>
      <c r="D353" s="2"/>
      <c r="E353" s="2"/>
      <c r="F353" s="2"/>
      <c r="G353" s="2"/>
      <c r="H353" s="2"/>
      <c r="I353" s="2"/>
      <c r="J353" s="3"/>
      <c r="K353" s="2"/>
      <c r="L353" s="2"/>
      <c r="M353" s="2"/>
      <c r="O353" s="2"/>
      <c r="P353" s="2"/>
      <c r="Q353" s="2"/>
      <c r="R353" s="2"/>
      <c r="S353" s="2"/>
      <c r="T353" s="2"/>
      <c r="U353" s="2"/>
      <c r="V353" s="2"/>
      <c r="W353" s="2"/>
      <c r="X353" s="2"/>
      <c r="Y353" s="2"/>
      <c r="Z353" s="2"/>
      <c r="AA353" s="2"/>
      <c r="AB353" s="2"/>
      <c r="AC353" s="2"/>
      <c r="AD353" s="4"/>
      <c r="AE353" s="2"/>
      <c r="AF353" s="2"/>
      <c r="AG353" s="2"/>
      <c r="AH353" s="2"/>
      <c r="AI353" s="2"/>
      <c r="AJ353" s="160"/>
      <c r="AK353" s="161"/>
      <c r="AL353" s="160"/>
      <c r="AM353" s="160"/>
      <c r="AN353" s="160"/>
      <c r="AO353" s="160"/>
      <c r="AP353" s="160"/>
      <c r="AQ353" s="160"/>
      <c r="AR353" s="160"/>
      <c r="AS353" s="160"/>
      <c r="AT353" s="160"/>
      <c r="AU353" s="160"/>
      <c r="AV353" s="160"/>
      <c r="AW353" s="160"/>
    </row>
    <row r="354" spans="2:49" s="255" customFormat="1" ht="15" hidden="1" customHeight="1">
      <c r="B354" s="2"/>
      <c r="C354" s="2"/>
      <c r="D354" s="2"/>
      <c r="E354" s="2"/>
      <c r="F354" s="2"/>
      <c r="G354" s="2"/>
      <c r="H354" s="2"/>
      <c r="I354" s="2"/>
      <c r="J354" s="3"/>
      <c r="K354" s="2"/>
      <c r="L354" s="2"/>
      <c r="M354" s="2"/>
      <c r="O354" s="2"/>
      <c r="P354" s="2"/>
      <c r="Q354" s="2"/>
      <c r="R354" s="2"/>
      <c r="S354" s="2"/>
      <c r="T354" s="2"/>
      <c r="U354" s="2"/>
      <c r="V354" s="2"/>
      <c r="W354" s="2"/>
      <c r="X354" s="2"/>
      <c r="Y354" s="2"/>
      <c r="Z354" s="2"/>
      <c r="AA354" s="2"/>
      <c r="AB354" s="2"/>
      <c r="AC354" s="2"/>
      <c r="AD354" s="4"/>
      <c r="AE354" s="2"/>
      <c r="AF354" s="2"/>
      <c r="AG354" s="2"/>
      <c r="AH354" s="2"/>
      <c r="AI354" s="2"/>
      <c r="AJ354" s="160"/>
      <c r="AK354" s="161"/>
      <c r="AL354" s="160"/>
      <c r="AM354" s="160"/>
      <c r="AN354" s="160"/>
      <c r="AO354" s="160"/>
      <c r="AP354" s="160"/>
      <c r="AQ354" s="160"/>
      <c r="AR354" s="160"/>
      <c r="AS354" s="160"/>
      <c r="AT354" s="160"/>
      <c r="AU354" s="160"/>
      <c r="AV354" s="160"/>
      <c r="AW354" s="160"/>
    </row>
    <row r="355" spans="2:49" s="255" customFormat="1" ht="15" hidden="1" customHeight="1">
      <c r="B355" s="2"/>
      <c r="C355" s="2"/>
      <c r="D355" s="2"/>
      <c r="E355" s="2"/>
      <c r="F355" s="2"/>
      <c r="G355" s="2"/>
      <c r="H355" s="2"/>
      <c r="I355" s="2"/>
      <c r="J355" s="3"/>
      <c r="K355" s="2"/>
      <c r="L355" s="2"/>
      <c r="M355" s="2"/>
      <c r="O355" s="2"/>
      <c r="P355" s="2"/>
      <c r="Q355" s="2"/>
      <c r="R355" s="2"/>
      <c r="S355" s="2"/>
      <c r="T355" s="2"/>
      <c r="U355" s="2"/>
      <c r="V355" s="2"/>
      <c r="W355" s="2"/>
      <c r="X355" s="2"/>
      <c r="Y355" s="2"/>
      <c r="Z355" s="2"/>
      <c r="AA355" s="2"/>
      <c r="AB355" s="2"/>
      <c r="AC355" s="2"/>
      <c r="AD355" s="4"/>
      <c r="AE355" s="2"/>
      <c r="AF355" s="2"/>
      <c r="AG355" s="2"/>
      <c r="AH355" s="2"/>
      <c r="AI355" s="2"/>
      <c r="AJ355" s="160"/>
      <c r="AK355" s="161"/>
      <c r="AL355" s="160"/>
      <c r="AM355" s="160"/>
      <c r="AN355" s="160"/>
      <c r="AO355" s="160"/>
      <c r="AP355" s="160"/>
      <c r="AQ355" s="160"/>
      <c r="AR355" s="160"/>
      <c r="AS355" s="160"/>
      <c r="AT355" s="160"/>
      <c r="AU355" s="160"/>
      <c r="AV355" s="160"/>
      <c r="AW355" s="160"/>
    </row>
    <row r="356" spans="2:49" s="255" customFormat="1" ht="15" hidden="1" customHeight="1">
      <c r="B356" s="2"/>
      <c r="C356" s="2"/>
      <c r="D356" s="2"/>
      <c r="E356" s="2"/>
      <c r="F356" s="2"/>
      <c r="G356" s="2"/>
      <c r="H356" s="2"/>
      <c r="I356" s="2"/>
      <c r="J356" s="3"/>
      <c r="K356" s="2"/>
      <c r="L356" s="2"/>
      <c r="M356" s="2"/>
      <c r="O356" s="2"/>
      <c r="P356" s="2"/>
      <c r="Q356" s="2"/>
      <c r="R356" s="2"/>
      <c r="S356" s="2"/>
      <c r="T356" s="2"/>
      <c r="U356" s="2"/>
      <c r="V356" s="2"/>
      <c r="W356" s="2"/>
      <c r="X356" s="2"/>
      <c r="Y356" s="2"/>
      <c r="Z356" s="2"/>
      <c r="AA356" s="2"/>
      <c r="AB356" s="2"/>
      <c r="AC356" s="2"/>
      <c r="AD356" s="4"/>
      <c r="AE356" s="2"/>
      <c r="AF356" s="2"/>
      <c r="AG356" s="2"/>
      <c r="AH356" s="2"/>
      <c r="AI356" s="2"/>
      <c r="AJ356" s="160"/>
      <c r="AK356" s="161"/>
      <c r="AL356" s="160"/>
      <c r="AM356" s="160"/>
      <c r="AN356" s="160"/>
      <c r="AO356" s="160"/>
      <c r="AP356" s="160"/>
      <c r="AQ356" s="160"/>
      <c r="AR356" s="160"/>
      <c r="AS356" s="160"/>
      <c r="AT356" s="160"/>
      <c r="AU356" s="160"/>
      <c r="AV356" s="160"/>
      <c r="AW356" s="160"/>
    </row>
    <row r="357" spans="2:49" s="255" customFormat="1" ht="15" hidden="1" customHeight="1">
      <c r="B357" s="2"/>
      <c r="C357" s="2"/>
      <c r="D357" s="2"/>
      <c r="E357" s="2"/>
      <c r="F357" s="2"/>
      <c r="G357" s="2"/>
      <c r="H357" s="2"/>
      <c r="I357" s="2"/>
      <c r="J357" s="3"/>
      <c r="K357" s="2"/>
      <c r="L357" s="2"/>
      <c r="M357" s="2"/>
      <c r="O357" s="2"/>
      <c r="P357" s="2"/>
      <c r="Q357" s="2"/>
      <c r="R357" s="2"/>
      <c r="S357" s="2"/>
      <c r="T357" s="2"/>
      <c r="U357" s="2"/>
      <c r="V357" s="2"/>
      <c r="W357" s="2"/>
      <c r="X357" s="2"/>
      <c r="Y357" s="2"/>
      <c r="Z357" s="2"/>
      <c r="AA357" s="2"/>
      <c r="AB357" s="2"/>
      <c r="AC357" s="2"/>
      <c r="AD357" s="4"/>
      <c r="AE357" s="2"/>
      <c r="AF357" s="2"/>
      <c r="AG357" s="2"/>
      <c r="AH357" s="2"/>
      <c r="AI357" s="2"/>
      <c r="AJ357" s="160"/>
      <c r="AK357" s="161"/>
      <c r="AL357" s="160"/>
      <c r="AM357" s="160"/>
      <c r="AN357" s="160"/>
      <c r="AO357" s="160"/>
      <c r="AP357" s="160"/>
      <c r="AQ357" s="160"/>
      <c r="AR357" s="160"/>
      <c r="AS357" s="160"/>
      <c r="AT357" s="160"/>
      <c r="AU357" s="160"/>
      <c r="AV357" s="160"/>
      <c r="AW357" s="160"/>
    </row>
    <row r="358" spans="2:49" s="255" customFormat="1" ht="15" hidden="1" customHeight="1">
      <c r="B358" s="2"/>
      <c r="C358" s="2"/>
      <c r="D358" s="2"/>
      <c r="E358" s="2"/>
      <c r="F358" s="2"/>
      <c r="G358" s="2"/>
      <c r="H358" s="2"/>
      <c r="I358" s="2"/>
      <c r="J358" s="3"/>
      <c r="K358" s="2"/>
      <c r="L358" s="2"/>
      <c r="M358" s="2"/>
      <c r="O358" s="2"/>
      <c r="P358" s="2"/>
      <c r="Q358" s="2"/>
      <c r="R358" s="2"/>
      <c r="S358" s="2"/>
      <c r="T358" s="2"/>
      <c r="U358" s="2"/>
      <c r="V358" s="2"/>
      <c r="W358" s="2"/>
      <c r="X358" s="2"/>
      <c r="Y358" s="2"/>
      <c r="Z358" s="2"/>
      <c r="AA358" s="2"/>
      <c r="AB358" s="2"/>
      <c r="AC358" s="2"/>
      <c r="AD358" s="4"/>
      <c r="AE358" s="2"/>
      <c r="AF358" s="2"/>
      <c r="AG358" s="2"/>
      <c r="AH358" s="2"/>
      <c r="AI358" s="2"/>
      <c r="AJ358" s="160"/>
      <c r="AK358" s="161"/>
      <c r="AL358" s="160"/>
      <c r="AM358" s="160"/>
      <c r="AN358" s="160"/>
      <c r="AO358" s="160"/>
      <c r="AP358" s="160"/>
      <c r="AQ358" s="160"/>
      <c r="AR358" s="160"/>
      <c r="AS358" s="160"/>
      <c r="AT358" s="160"/>
      <c r="AU358" s="160"/>
      <c r="AV358" s="160"/>
      <c r="AW358" s="160"/>
    </row>
    <row r="359" spans="2:49" s="255" customFormat="1" ht="15" hidden="1" customHeight="1">
      <c r="B359" s="2"/>
      <c r="C359" s="2"/>
      <c r="D359" s="2"/>
      <c r="E359" s="2"/>
      <c r="F359" s="2"/>
      <c r="G359" s="2"/>
      <c r="H359" s="2"/>
      <c r="I359" s="2"/>
      <c r="J359" s="3"/>
      <c r="K359" s="2"/>
      <c r="L359" s="2"/>
      <c r="M359" s="2"/>
      <c r="O359" s="2"/>
      <c r="P359" s="2"/>
      <c r="Q359" s="2"/>
      <c r="R359" s="2"/>
      <c r="S359" s="2"/>
      <c r="T359" s="2"/>
      <c r="U359" s="2"/>
      <c r="V359" s="2"/>
      <c r="W359" s="2"/>
      <c r="X359" s="2"/>
      <c r="Y359" s="2"/>
      <c r="Z359" s="2"/>
      <c r="AA359" s="2"/>
      <c r="AB359" s="2"/>
      <c r="AC359" s="2"/>
      <c r="AD359" s="4"/>
      <c r="AE359" s="2"/>
      <c r="AF359" s="2"/>
      <c r="AG359" s="2"/>
      <c r="AH359" s="2"/>
      <c r="AI359" s="2"/>
      <c r="AJ359" s="160"/>
      <c r="AK359" s="161"/>
      <c r="AL359" s="160"/>
      <c r="AM359" s="160"/>
      <c r="AN359" s="160"/>
      <c r="AO359" s="160"/>
      <c r="AP359" s="160"/>
      <c r="AQ359" s="160"/>
      <c r="AR359" s="160"/>
      <c r="AS359" s="160"/>
      <c r="AT359" s="160"/>
      <c r="AU359" s="160"/>
      <c r="AV359" s="160"/>
      <c r="AW359" s="160"/>
    </row>
    <row r="360" spans="2:49" s="255" customFormat="1" ht="15" hidden="1" customHeight="1">
      <c r="B360" s="2"/>
      <c r="C360" s="2"/>
      <c r="D360" s="2"/>
      <c r="E360" s="2"/>
      <c r="F360" s="2"/>
      <c r="G360" s="2"/>
      <c r="H360" s="2"/>
      <c r="I360" s="2"/>
      <c r="J360" s="3"/>
      <c r="K360" s="2"/>
      <c r="L360" s="2"/>
      <c r="M360" s="2"/>
      <c r="O360" s="2"/>
      <c r="P360" s="2"/>
      <c r="Q360" s="2"/>
      <c r="R360" s="2"/>
      <c r="S360" s="2"/>
      <c r="T360" s="2"/>
      <c r="U360" s="2"/>
      <c r="V360" s="2"/>
      <c r="W360" s="2"/>
      <c r="X360" s="2"/>
      <c r="Y360" s="2"/>
      <c r="Z360" s="2"/>
      <c r="AA360" s="2"/>
      <c r="AB360" s="2"/>
      <c r="AC360" s="2"/>
      <c r="AD360" s="4"/>
      <c r="AE360" s="2"/>
      <c r="AF360" s="2"/>
      <c r="AG360" s="2"/>
      <c r="AH360" s="2"/>
      <c r="AI360" s="2"/>
      <c r="AJ360" s="160"/>
      <c r="AK360" s="161"/>
      <c r="AL360" s="160"/>
      <c r="AM360" s="160"/>
      <c r="AN360" s="160"/>
      <c r="AO360" s="160"/>
      <c r="AP360" s="160"/>
      <c r="AQ360" s="160"/>
      <c r="AR360" s="160"/>
      <c r="AS360" s="160"/>
      <c r="AT360" s="160"/>
      <c r="AU360" s="160"/>
      <c r="AV360" s="160"/>
      <c r="AW360" s="160"/>
    </row>
    <row r="361" spans="2:49" s="255" customFormat="1" ht="15" hidden="1" customHeight="1">
      <c r="B361" s="2"/>
      <c r="C361" s="2"/>
      <c r="D361" s="2"/>
      <c r="E361" s="2"/>
      <c r="F361" s="2"/>
      <c r="G361" s="2"/>
      <c r="H361" s="2"/>
      <c r="I361" s="2"/>
      <c r="J361" s="3"/>
      <c r="K361" s="2"/>
      <c r="L361" s="2"/>
      <c r="M361" s="2"/>
      <c r="O361" s="2"/>
      <c r="P361" s="2"/>
      <c r="Q361" s="2"/>
      <c r="R361" s="2"/>
      <c r="S361" s="2"/>
      <c r="T361" s="2"/>
      <c r="U361" s="2"/>
      <c r="V361" s="2"/>
      <c r="W361" s="2"/>
      <c r="X361" s="2"/>
      <c r="Y361" s="2"/>
      <c r="Z361" s="2"/>
      <c r="AA361" s="2"/>
      <c r="AB361" s="2"/>
      <c r="AC361" s="2"/>
      <c r="AD361" s="4"/>
      <c r="AE361" s="2"/>
      <c r="AF361" s="2"/>
      <c r="AG361" s="2"/>
      <c r="AH361" s="2"/>
      <c r="AI361" s="2"/>
      <c r="AJ361" s="160"/>
      <c r="AK361" s="161"/>
      <c r="AL361" s="160"/>
      <c r="AM361" s="160"/>
      <c r="AN361" s="160"/>
      <c r="AO361" s="160"/>
      <c r="AP361" s="160"/>
      <c r="AQ361" s="160"/>
      <c r="AR361" s="160"/>
      <c r="AS361" s="160"/>
      <c r="AT361" s="160"/>
      <c r="AU361" s="160"/>
      <c r="AV361" s="160"/>
      <c r="AW361" s="160"/>
    </row>
    <row r="362" spans="2:49" s="255" customFormat="1" ht="15" hidden="1" customHeight="1">
      <c r="B362" s="2"/>
      <c r="C362" s="2"/>
      <c r="D362" s="2"/>
      <c r="E362" s="2"/>
      <c r="F362" s="2"/>
      <c r="G362" s="2"/>
      <c r="H362" s="2"/>
      <c r="I362" s="2"/>
      <c r="J362" s="3"/>
      <c r="K362" s="2"/>
      <c r="L362" s="2"/>
      <c r="M362" s="2"/>
      <c r="O362" s="2"/>
      <c r="P362" s="2"/>
      <c r="Q362" s="2"/>
      <c r="R362" s="2"/>
      <c r="S362" s="2"/>
      <c r="T362" s="2"/>
      <c r="U362" s="2"/>
      <c r="V362" s="2"/>
      <c r="W362" s="2"/>
      <c r="X362" s="2"/>
      <c r="Y362" s="2"/>
      <c r="Z362" s="2"/>
      <c r="AA362" s="2"/>
      <c r="AB362" s="2"/>
      <c r="AC362" s="2"/>
      <c r="AD362" s="4"/>
      <c r="AE362" s="2"/>
      <c r="AF362" s="2"/>
      <c r="AG362" s="2"/>
      <c r="AH362" s="2"/>
      <c r="AI362" s="2"/>
      <c r="AJ362" s="160"/>
      <c r="AK362" s="161"/>
      <c r="AL362" s="160"/>
      <c r="AM362" s="160"/>
      <c r="AN362" s="160"/>
      <c r="AO362" s="160"/>
      <c r="AP362" s="160"/>
      <c r="AQ362" s="160"/>
      <c r="AR362" s="160"/>
      <c r="AS362" s="160"/>
      <c r="AT362" s="160"/>
      <c r="AU362" s="160"/>
      <c r="AV362" s="160"/>
      <c r="AW362" s="160"/>
    </row>
    <row r="363" spans="2:49" s="255" customFormat="1" ht="15" hidden="1" customHeight="1">
      <c r="B363" s="2"/>
      <c r="C363" s="2"/>
      <c r="D363" s="2"/>
      <c r="E363" s="2"/>
      <c r="F363" s="2"/>
      <c r="G363" s="2"/>
      <c r="H363" s="2"/>
      <c r="I363" s="2"/>
      <c r="J363" s="3"/>
      <c r="K363" s="2"/>
      <c r="L363" s="2"/>
      <c r="M363" s="2"/>
      <c r="O363" s="2"/>
      <c r="P363" s="2"/>
      <c r="Q363" s="2"/>
      <c r="R363" s="2"/>
      <c r="S363" s="2"/>
      <c r="T363" s="2"/>
      <c r="U363" s="2"/>
      <c r="V363" s="2"/>
      <c r="W363" s="2"/>
      <c r="X363" s="2"/>
      <c r="Y363" s="2"/>
      <c r="Z363" s="2"/>
      <c r="AA363" s="2"/>
      <c r="AB363" s="2"/>
      <c r="AC363" s="2"/>
      <c r="AD363" s="4"/>
      <c r="AE363" s="2"/>
      <c r="AF363" s="2"/>
      <c r="AG363" s="2"/>
      <c r="AH363" s="2"/>
      <c r="AI363" s="2"/>
      <c r="AJ363" s="160"/>
      <c r="AK363" s="161"/>
      <c r="AL363" s="160"/>
      <c r="AM363" s="160"/>
      <c r="AN363" s="160"/>
      <c r="AO363" s="160"/>
      <c r="AP363" s="160"/>
      <c r="AQ363" s="160"/>
      <c r="AR363" s="160"/>
      <c r="AS363" s="160"/>
      <c r="AT363" s="160"/>
      <c r="AU363" s="160"/>
      <c r="AV363" s="160"/>
      <c r="AW363" s="160"/>
    </row>
    <row r="364" spans="2:49" s="255" customFormat="1" ht="15" hidden="1" customHeight="1">
      <c r="B364" s="2"/>
      <c r="C364" s="2"/>
      <c r="D364" s="2"/>
      <c r="E364" s="2"/>
      <c r="F364" s="2"/>
      <c r="G364" s="2"/>
      <c r="H364" s="2"/>
      <c r="I364" s="2"/>
      <c r="J364" s="3"/>
      <c r="K364" s="2"/>
      <c r="L364" s="2"/>
      <c r="M364" s="2"/>
      <c r="O364" s="2"/>
      <c r="P364" s="2"/>
      <c r="Q364" s="2"/>
      <c r="R364" s="2"/>
      <c r="S364" s="2"/>
      <c r="T364" s="2"/>
      <c r="U364" s="2"/>
      <c r="V364" s="2"/>
      <c r="W364" s="2"/>
      <c r="X364" s="2"/>
      <c r="Y364" s="2"/>
      <c r="Z364" s="2"/>
      <c r="AA364" s="2"/>
      <c r="AB364" s="2"/>
      <c r="AC364" s="2"/>
      <c r="AD364" s="4"/>
      <c r="AE364" s="2"/>
      <c r="AF364" s="2"/>
      <c r="AG364" s="2"/>
      <c r="AH364" s="2"/>
      <c r="AI364" s="2"/>
      <c r="AJ364" s="160"/>
      <c r="AK364" s="161"/>
      <c r="AL364" s="160"/>
      <c r="AM364" s="160"/>
      <c r="AN364" s="160"/>
      <c r="AO364" s="160"/>
      <c r="AP364" s="160"/>
      <c r="AQ364" s="160"/>
      <c r="AR364" s="160"/>
      <c r="AS364" s="160"/>
      <c r="AT364" s="160"/>
      <c r="AU364" s="160"/>
      <c r="AV364" s="160"/>
      <c r="AW364" s="160"/>
    </row>
    <row r="365" spans="2:49" s="255" customFormat="1" ht="15" hidden="1" customHeight="1">
      <c r="B365" s="2"/>
      <c r="C365" s="2"/>
      <c r="D365" s="2"/>
      <c r="E365" s="2"/>
      <c r="F365" s="2"/>
      <c r="G365" s="2"/>
      <c r="H365" s="2"/>
      <c r="I365" s="2"/>
      <c r="J365" s="3"/>
      <c r="K365" s="2"/>
      <c r="L365" s="2"/>
      <c r="M365" s="2"/>
      <c r="O365" s="2"/>
      <c r="P365" s="2"/>
      <c r="Q365" s="2"/>
      <c r="R365" s="2"/>
      <c r="S365" s="2"/>
      <c r="T365" s="2"/>
      <c r="U365" s="2"/>
      <c r="V365" s="2"/>
      <c r="W365" s="2"/>
      <c r="X365" s="2"/>
      <c r="Y365" s="2"/>
      <c r="Z365" s="2"/>
      <c r="AA365" s="2"/>
      <c r="AB365" s="2"/>
      <c r="AC365" s="2"/>
      <c r="AD365" s="4"/>
      <c r="AE365" s="2"/>
      <c r="AF365" s="2"/>
      <c r="AG365" s="2"/>
      <c r="AH365" s="2"/>
      <c r="AI365" s="2"/>
      <c r="AJ365" s="160"/>
      <c r="AK365" s="161"/>
      <c r="AL365" s="160"/>
      <c r="AM365" s="160"/>
      <c r="AN365" s="160"/>
      <c r="AO365" s="160"/>
      <c r="AP365" s="160"/>
      <c r="AQ365" s="160"/>
      <c r="AR365" s="160"/>
      <c r="AS365" s="160"/>
      <c r="AT365" s="160"/>
      <c r="AU365" s="160"/>
      <c r="AV365" s="160"/>
      <c r="AW365" s="160"/>
    </row>
    <row r="366" spans="2:49" s="255" customFormat="1" ht="15" hidden="1" customHeight="1">
      <c r="B366" s="2"/>
      <c r="C366" s="2"/>
      <c r="D366" s="2"/>
      <c r="E366" s="2"/>
      <c r="F366" s="2"/>
      <c r="G366" s="2"/>
      <c r="H366" s="2"/>
      <c r="I366" s="2"/>
      <c r="J366" s="3"/>
      <c r="K366" s="2"/>
      <c r="L366" s="2"/>
      <c r="M366" s="2"/>
      <c r="O366" s="2"/>
      <c r="P366" s="2"/>
      <c r="Q366" s="2"/>
      <c r="R366" s="2"/>
      <c r="S366" s="2"/>
      <c r="T366" s="2"/>
      <c r="U366" s="2"/>
      <c r="V366" s="2"/>
      <c r="W366" s="2"/>
      <c r="X366" s="2"/>
      <c r="Y366" s="2"/>
      <c r="Z366" s="2"/>
      <c r="AA366" s="2"/>
      <c r="AB366" s="2"/>
      <c r="AC366" s="2"/>
      <c r="AD366" s="4"/>
      <c r="AE366" s="2"/>
      <c r="AF366" s="2"/>
      <c r="AG366" s="2"/>
      <c r="AH366" s="2"/>
      <c r="AI366" s="2"/>
      <c r="AJ366" s="160"/>
      <c r="AK366" s="161"/>
      <c r="AL366" s="160"/>
      <c r="AM366" s="160"/>
      <c r="AN366" s="160"/>
      <c r="AO366" s="160"/>
      <c r="AP366" s="160"/>
      <c r="AQ366" s="160"/>
      <c r="AR366" s="160"/>
      <c r="AS366" s="160"/>
      <c r="AT366" s="160"/>
      <c r="AU366" s="160"/>
      <c r="AV366" s="160"/>
      <c r="AW366" s="160"/>
    </row>
    <row r="367" spans="2:49" s="255" customFormat="1" ht="15" hidden="1" customHeight="1">
      <c r="B367" s="2"/>
      <c r="C367" s="2"/>
      <c r="D367" s="2"/>
      <c r="E367" s="2"/>
      <c r="F367" s="2"/>
      <c r="G367" s="2"/>
      <c r="H367" s="2"/>
      <c r="I367" s="2"/>
      <c r="J367" s="3"/>
      <c r="K367" s="2"/>
      <c r="L367" s="2"/>
      <c r="M367" s="2"/>
      <c r="O367" s="2"/>
      <c r="P367" s="2"/>
      <c r="Q367" s="2"/>
      <c r="R367" s="2"/>
      <c r="S367" s="2"/>
      <c r="T367" s="2"/>
      <c r="U367" s="2"/>
      <c r="V367" s="2"/>
      <c r="W367" s="2"/>
      <c r="X367" s="2"/>
      <c r="Y367" s="2"/>
      <c r="Z367" s="2"/>
      <c r="AA367" s="2"/>
      <c r="AB367" s="2"/>
      <c r="AC367" s="2"/>
      <c r="AD367" s="4"/>
      <c r="AE367" s="2"/>
      <c r="AF367" s="2"/>
      <c r="AG367" s="2"/>
      <c r="AH367" s="2"/>
      <c r="AI367" s="2"/>
      <c r="AJ367" s="160"/>
      <c r="AK367" s="161"/>
      <c r="AL367" s="160"/>
      <c r="AM367" s="160"/>
      <c r="AN367" s="160"/>
      <c r="AO367" s="160"/>
      <c r="AP367" s="160"/>
      <c r="AQ367" s="160"/>
      <c r="AR367" s="160"/>
      <c r="AS367" s="160"/>
      <c r="AT367" s="160"/>
      <c r="AU367" s="160"/>
      <c r="AV367" s="160"/>
      <c r="AW367" s="160"/>
    </row>
    <row r="368" spans="2:49" s="255" customFormat="1" ht="15" hidden="1" customHeight="1">
      <c r="B368" s="2"/>
      <c r="C368" s="2"/>
      <c r="D368" s="2"/>
      <c r="E368" s="2"/>
      <c r="F368" s="2"/>
      <c r="G368" s="2"/>
      <c r="H368" s="2"/>
      <c r="I368" s="2"/>
      <c r="J368" s="3"/>
      <c r="K368" s="2"/>
      <c r="L368" s="2"/>
      <c r="M368" s="2"/>
      <c r="O368" s="2"/>
      <c r="P368" s="2"/>
      <c r="Q368" s="2"/>
      <c r="R368" s="2"/>
      <c r="S368" s="2"/>
      <c r="T368" s="2"/>
      <c r="U368" s="2"/>
      <c r="V368" s="2"/>
      <c r="W368" s="2"/>
      <c r="X368" s="2"/>
      <c r="Y368" s="2"/>
      <c r="Z368" s="2"/>
      <c r="AA368" s="2"/>
      <c r="AB368" s="2"/>
      <c r="AC368" s="2"/>
      <c r="AD368" s="4"/>
      <c r="AE368" s="2"/>
      <c r="AF368" s="2"/>
      <c r="AG368" s="2"/>
      <c r="AH368" s="2"/>
      <c r="AI368" s="2"/>
      <c r="AJ368" s="160"/>
      <c r="AK368" s="161"/>
      <c r="AL368" s="160"/>
      <c r="AM368" s="160"/>
      <c r="AN368" s="160"/>
      <c r="AO368" s="160"/>
      <c r="AP368" s="160"/>
      <c r="AQ368" s="160"/>
      <c r="AR368" s="160"/>
      <c r="AS368" s="160"/>
      <c r="AT368" s="160"/>
      <c r="AU368" s="160"/>
      <c r="AV368" s="160"/>
      <c r="AW368" s="160"/>
    </row>
    <row r="369" spans="2:49" s="255" customFormat="1" ht="15" hidden="1" customHeight="1">
      <c r="B369" s="2"/>
      <c r="C369" s="2"/>
      <c r="D369" s="2"/>
      <c r="E369" s="2"/>
      <c r="F369" s="2"/>
      <c r="G369" s="2"/>
      <c r="H369" s="2"/>
      <c r="I369" s="2"/>
      <c r="J369" s="3"/>
      <c r="K369" s="2"/>
      <c r="L369" s="2"/>
      <c r="M369" s="2"/>
      <c r="O369" s="2"/>
      <c r="P369" s="2"/>
      <c r="Q369" s="2"/>
      <c r="R369" s="2"/>
      <c r="S369" s="2"/>
      <c r="T369" s="2"/>
      <c r="U369" s="2"/>
      <c r="V369" s="2"/>
      <c r="W369" s="2"/>
      <c r="X369" s="2"/>
      <c r="Y369" s="2"/>
      <c r="Z369" s="2"/>
      <c r="AA369" s="2"/>
      <c r="AB369" s="2"/>
      <c r="AC369" s="2"/>
      <c r="AD369" s="4"/>
      <c r="AE369" s="2"/>
      <c r="AF369" s="2"/>
      <c r="AG369" s="2"/>
      <c r="AH369" s="2"/>
      <c r="AI369" s="2"/>
      <c r="AJ369" s="160"/>
      <c r="AK369" s="161"/>
      <c r="AL369" s="160"/>
      <c r="AM369" s="160"/>
      <c r="AN369" s="160"/>
      <c r="AO369" s="160"/>
      <c r="AP369" s="160"/>
      <c r="AQ369" s="160"/>
      <c r="AR369" s="160"/>
      <c r="AS369" s="160"/>
      <c r="AT369" s="160"/>
      <c r="AU369" s="160"/>
      <c r="AV369" s="160"/>
      <c r="AW369" s="160"/>
    </row>
    <row r="370" spans="2:49" s="255" customFormat="1" ht="15" hidden="1" customHeight="1">
      <c r="B370" s="2"/>
      <c r="C370" s="2"/>
      <c r="D370" s="2"/>
      <c r="E370" s="2"/>
      <c r="F370" s="2"/>
      <c r="G370" s="2"/>
      <c r="H370" s="2"/>
      <c r="I370" s="2"/>
      <c r="J370" s="3"/>
      <c r="K370" s="2"/>
      <c r="L370" s="2"/>
      <c r="M370" s="2"/>
      <c r="O370" s="2"/>
      <c r="P370" s="2"/>
      <c r="Q370" s="2"/>
      <c r="R370" s="2"/>
      <c r="S370" s="2"/>
      <c r="T370" s="2"/>
      <c r="U370" s="2"/>
      <c r="V370" s="2"/>
      <c r="W370" s="2"/>
      <c r="X370" s="2"/>
      <c r="Y370" s="2"/>
      <c r="Z370" s="2"/>
      <c r="AA370" s="2"/>
      <c r="AB370" s="2"/>
      <c r="AC370" s="2"/>
      <c r="AD370" s="4"/>
      <c r="AE370" s="2"/>
      <c r="AF370" s="2"/>
      <c r="AG370" s="2"/>
      <c r="AH370" s="2"/>
      <c r="AI370" s="2"/>
      <c r="AJ370" s="160"/>
      <c r="AK370" s="161"/>
      <c r="AL370" s="160"/>
      <c r="AM370" s="160"/>
      <c r="AN370" s="160"/>
      <c r="AO370" s="160"/>
      <c r="AP370" s="160"/>
      <c r="AQ370" s="160"/>
      <c r="AR370" s="160"/>
      <c r="AS370" s="160"/>
      <c r="AT370" s="160"/>
      <c r="AU370" s="160"/>
      <c r="AV370" s="160"/>
      <c r="AW370" s="160"/>
    </row>
    <row r="371" spans="2:49" s="255" customFormat="1" ht="15" hidden="1" customHeight="1">
      <c r="B371" s="2"/>
      <c r="C371" s="2"/>
      <c r="D371" s="2"/>
      <c r="E371" s="2"/>
      <c r="F371" s="2"/>
      <c r="G371" s="2"/>
      <c r="H371" s="2"/>
      <c r="I371" s="2"/>
      <c r="J371" s="3"/>
      <c r="K371" s="2"/>
      <c r="L371" s="2"/>
      <c r="M371" s="2"/>
      <c r="O371" s="2"/>
      <c r="P371" s="2"/>
      <c r="Q371" s="2"/>
      <c r="R371" s="2"/>
      <c r="S371" s="2"/>
      <c r="T371" s="2"/>
      <c r="U371" s="2"/>
      <c r="V371" s="2"/>
      <c r="W371" s="2"/>
      <c r="X371" s="2"/>
      <c r="Y371" s="2"/>
      <c r="Z371" s="2"/>
      <c r="AA371" s="2"/>
      <c r="AB371" s="2"/>
      <c r="AC371" s="2"/>
      <c r="AD371" s="4"/>
      <c r="AE371" s="2"/>
      <c r="AF371" s="2"/>
      <c r="AG371" s="2"/>
      <c r="AH371" s="2"/>
      <c r="AI371" s="2"/>
      <c r="AJ371" s="160"/>
      <c r="AK371" s="161"/>
      <c r="AL371" s="160"/>
      <c r="AM371" s="160"/>
      <c r="AN371" s="160"/>
      <c r="AO371" s="160"/>
      <c r="AP371" s="160"/>
      <c r="AQ371" s="160"/>
      <c r="AR371" s="160"/>
      <c r="AS371" s="160"/>
      <c r="AT371" s="160"/>
      <c r="AU371" s="160"/>
      <c r="AV371" s="160"/>
      <c r="AW371" s="160"/>
    </row>
    <row r="372" spans="2:49" s="255" customFormat="1" ht="15" hidden="1" customHeight="1">
      <c r="B372" s="2"/>
      <c r="C372" s="2"/>
      <c r="D372" s="2"/>
      <c r="E372" s="2"/>
      <c r="F372" s="2"/>
      <c r="G372" s="2"/>
      <c r="H372" s="2"/>
      <c r="I372" s="2"/>
      <c r="J372" s="3"/>
      <c r="K372" s="2"/>
      <c r="L372" s="2"/>
      <c r="M372" s="2"/>
      <c r="O372" s="2"/>
      <c r="P372" s="2"/>
      <c r="Q372" s="2"/>
      <c r="R372" s="2"/>
      <c r="S372" s="2"/>
      <c r="T372" s="2"/>
      <c r="U372" s="2"/>
      <c r="V372" s="2"/>
      <c r="W372" s="2"/>
      <c r="X372" s="2"/>
      <c r="Y372" s="2"/>
      <c r="Z372" s="2"/>
      <c r="AA372" s="2"/>
      <c r="AB372" s="2"/>
      <c r="AC372" s="2"/>
      <c r="AD372" s="4"/>
      <c r="AE372" s="2"/>
      <c r="AF372" s="2"/>
      <c r="AG372" s="2"/>
      <c r="AH372" s="2"/>
      <c r="AI372" s="2"/>
      <c r="AJ372" s="160"/>
      <c r="AK372" s="161"/>
      <c r="AL372" s="160"/>
      <c r="AM372" s="160"/>
      <c r="AN372" s="160"/>
      <c r="AO372" s="160"/>
      <c r="AP372" s="160"/>
      <c r="AQ372" s="160"/>
      <c r="AR372" s="160"/>
      <c r="AS372" s="160"/>
      <c r="AT372" s="160"/>
      <c r="AU372" s="160"/>
      <c r="AV372" s="160"/>
      <c r="AW372" s="160"/>
    </row>
    <row r="373" spans="2:49" s="255" customFormat="1" ht="15" hidden="1" customHeight="1">
      <c r="B373" s="2"/>
      <c r="C373" s="2"/>
      <c r="D373" s="2"/>
      <c r="E373" s="2"/>
      <c r="F373" s="2"/>
      <c r="G373" s="2"/>
      <c r="H373" s="2"/>
      <c r="I373" s="2"/>
      <c r="J373" s="3"/>
      <c r="K373" s="2"/>
      <c r="L373" s="2"/>
      <c r="M373" s="2"/>
      <c r="O373" s="2"/>
      <c r="P373" s="2"/>
      <c r="Q373" s="2"/>
      <c r="R373" s="2"/>
      <c r="S373" s="2"/>
      <c r="T373" s="2"/>
      <c r="U373" s="2"/>
      <c r="V373" s="2"/>
      <c r="W373" s="2"/>
      <c r="X373" s="2"/>
      <c r="Y373" s="2"/>
      <c r="Z373" s="2"/>
      <c r="AA373" s="2"/>
      <c r="AB373" s="2"/>
      <c r="AC373" s="2"/>
      <c r="AD373" s="4"/>
      <c r="AE373" s="2"/>
      <c r="AF373" s="2"/>
      <c r="AG373" s="2"/>
      <c r="AH373" s="2"/>
      <c r="AI373" s="2"/>
      <c r="AJ373" s="160"/>
      <c r="AK373" s="161"/>
      <c r="AL373" s="160"/>
      <c r="AM373" s="160"/>
      <c r="AN373" s="160"/>
      <c r="AO373" s="160"/>
      <c r="AP373" s="160"/>
      <c r="AQ373" s="160"/>
      <c r="AR373" s="160"/>
      <c r="AS373" s="160"/>
      <c r="AT373" s="160"/>
      <c r="AU373" s="160"/>
      <c r="AV373" s="160"/>
      <c r="AW373" s="160"/>
    </row>
    <row r="374" spans="2:49" s="255" customFormat="1" ht="15" hidden="1" customHeight="1">
      <c r="B374" s="2"/>
      <c r="C374" s="2"/>
      <c r="D374" s="2"/>
      <c r="E374" s="2"/>
      <c r="F374" s="2"/>
      <c r="G374" s="2"/>
      <c r="H374" s="2"/>
      <c r="I374" s="2"/>
      <c r="J374" s="3"/>
      <c r="K374" s="2"/>
      <c r="L374" s="2"/>
      <c r="M374" s="2"/>
      <c r="O374" s="2"/>
      <c r="P374" s="2"/>
      <c r="Q374" s="2"/>
      <c r="R374" s="2"/>
      <c r="S374" s="2"/>
      <c r="T374" s="2"/>
      <c r="U374" s="2"/>
      <c r="V374" s="2"/>
      <c r="W374" s="2"/>
      <c r="X374" s="2"/>
      <c r="Y374" s="2"/>
      <c r="Z374" s="2"/>
      <c r="AA374" s="2"/>
      <c r="AB374" s="2"/>
      <c r="AC374" s="2"/>
      <c r="AD374" s="4"/>
      <c r="AE374" s="2"/>
      <c r="AF374" s="2"/>
      <c r="AG374" s="2"/>
      <c r="AH374" s="2"/>
      <c r="AI374" s="2"/>
      <c r="AJ374" s="160"/>
      <c r="AK374" s="161"/>
      <c r="AL374" s="160"/>
      <c r="AM374" s="160"/>
      <c r="AN374" s="160"/>
      <c r="AO374" s="160"/>
      <c r="AP374" s="160"/>
      <c r="AQ374" s="160"/>
      <c r="AR374" s="160"/>
      <c r="AS374" s="160"/>
      <c r="AT374" s="160"/>
      <c r="AU374" s="160"/>
      <c r="AV374" s="160"/>
      <c r="AW374" s="160"/>
    </row>
    <row r="375" spans="2:49" s="255" customFormat="1" ht="15" hidden="1" customHeight="1">
      <c r="B375" s="2"/>
      <c r="C375" s="2"/>
      <c r="D375" s="2"/>
      <c r="E375" s="2"/>
      <c r="F375" s="2"/>
      <c r="G375" s="2"/>
      <c r="H375" s="2"/>
      <c r="I375" s="2"/>
      <c r="J375" s="3"/>
      <c r="K375" s="2"/>
      <c r="L375" s="2"/>
      <c r="M375" s="2"/>
      <c r="O375" s="2"/>
      <c r="P375" s="2"/>
      <c r="Q375" s="2"/>
      <c r="R375" s="2"/>
      <c r="S375" s="2"/>
      <c r="T375" s="2"/>
      <c r="U375" s="2"/>
      <c r="V375" s="2"/>
      <c r="W375" s="2"/>
      <c r="X375" s="2"/>
      <c r="Y375" s="2"/>
      <c r="Z375" s="2"/>
      <c r="AA375" s="2"/>
      <c r="AB375" s="2"/>
      <c r="AC375" s="2"/>
      <c r="AD375" s="4"/>
      <c r="AE375" s="2"/>
      <c r="AF375" s="2"/>
      <c r="AG375" s="2"/>
      <c r="AH375" s="2"/>
      <c r="AI375" s="2"/>
      <c r="AJ375" s="160"/>
      <c r="AK375" s="161"/>
      <c r="AL375" s="160"/>
      <c r="AM375" s="160"/>
      <c r="AN375" s="160"/>
      <c r="AO375" s="160"/>
      <c r="AP375" s="160"/>
      <c r="AQ375" s="160"/>
      <c r="AR375" s="160"/>
      <c r="AS375" s="160"/>
      <c r="AT375" s="160"/>
      <c r="AU375" s="160"/>
      <c r="AV375" s="160"/>
      <c r="AW375" s="160"/>
    </row>
    <row r="376" spans="2:49" s="255" customFormat="1" ht="15" hidden="1" customHeight="1">
      <c r="B376" s="2"/>
      <c r="C376" s="2"/>
      <c r="D376" s="2"/>
      <c r="E376" s="2"/>
      <c r="F376" s="2"/>
      <c r="G376" s="2"/>
      <c r="H376" s="2"/>
      <c r="I376" s="2"/>
      <c r="J376" s="3"/>
      <c r="K376" s="2"/>
      <c r="L376" s="2"/>
      <c r="M376" s="2"/>
      <c r="O376" s="2"/>
      <c r="P376" s="2"/>
      <c r="Q376" s="2"/>
      <c r="R376" s="2"/>
      <c r="S376" s="2"/>
      <c r="T376" s="2"/>
      <c r="U376" s="2"/>
      <c r="V376" s="2"/>
      <c r="W376" s="2"/>
      <c r="X376" s="2"/>
      <c r="Y376" s="2"/>
      <c r="Z376" s="2"/>
      <c r="AA376" s="2"/>
      <c r="AB376" s="2"/>
      <c r="AC376" s="2"/>
      <c r="AD376" s="4"/>
      <c r="AE376" s="2"/>
      <c r="AF376" s="2"/>
      <c r="AG376" s="2"/>
      <c r="AH376" s="2"/>
      <c r="AI376" s="2"/>
      <c r="AJ376" s="160"/>
      <c r="AK376" s="161"/>
      <c r="AL376" s="160"/>
      <c r="AM376" s="160"/>
      <c r="AN376" s="160"/>
      <c r="AO376" s="160"/>
      <c r="AP376" s="160"/>
      <c r="AQ376" s="160"/>
      <c r="AR376" s="160"/>
      <c r="AS376" s="160"/>
      <c r="AT376" s="160"/>
      <c r="AU376" s="160"/>
      <c r="AV376" s="160"/>
      <c r="AW376" s="160"/>
    </row>
    <row r="377" spans="2:49" s="255" customFormat="1" ht="15" hidden="1" customHeight="1">
      <c r="B377" s="2"/>
      <c r="C377" s="2"/>
      <c r="D377" s="2"/>
      <c r="E377" s="2"/>
      <c r="F377" s="2"/>
      <c r="G377" s="2"/>
      <c r="H377" s="2"/>
      <c r="I377" s="2"/>
      <c r="J377" s="3"/>
      <c r="K377" s="2"/>
      <c r="L377" s="2"/>
      <c r="M377" s="2"/>
      <c r="O377" s="2"/>
      <c r="P377" s="2"/>
      <c r="Q377" s="2"/>
      <c r="R377" s="2"/>
      <c r="S377" s="2"/>
      <c r="T377" s="2"/>
      <c r="U377" s="2"/>
      <c r="V377" s="2"/>
      <c r="W377" s="2"/>
      <c r="X377" s="2"/>
      <c r="Y377" s="2"/>
      <c r="Z377" s="2"/>
      <c r="AA377" s="2"/>
      <c r="AB377" s="2"/>
      <c r="AC377" s="2"/>
      <c r="AD377" s="4"/>
      <c r="AE377" s="2"/>
      <c r="AF377" s="2"/>
      <c r="AG377" s="2"/>
      <c r="AH377" s="2"/>
      <c r="AI377" s="2"/>
      <c r="AJ377" s="160"/>
      <c r="AK377" s="161"/>
      <c r="AL377" s="160"/>
      <c r="AM377" s="160"/>
      <c r="AN377" s="160"/>
      <c r="AO377" s="160"/>
      <c r="AP377" s="160"/>
      <c r="AQ377" s="160"/>
      <c r="AR377" s="160"/>
      <c r="AS377" s="160"/>
      <c r="AT377" s="160"/>
      <c r="AU377" s="160"/>
      <c r="AV377" s="160"/>
      <c r="AW377" s="160"/>
    </row>
    <row r="378" spans="2:49" s="255" customFormat="1" ht="15" hidden="1" customHeight="1">
      <c r="B378" s="2"/>
      <c r="C378" s="2"/>
      <c r="D378" s="2"/>
      <c r="E378" s="2"/>
      <c r="F378" s="2"/>
      <c r="G378" s="2"/>
      <c r="H378" s="2"/>
      <c r="I378" s="2"/>
      <c r="J378" s="3"/>
      <c r="K378" s="2"/>
      <c r="L378" s="2"/>
      <c r="M378" s="2"/>
      <c r="O378" s="2"/>
      <c r="P378" s="2"/>
      <c r="Q378" s="2"/>
      <c r="R378" s="2"/>
      <c r="S378" s="2"/>
      <c r="T378" s="2"/>
      <c r="U378" s="2"/>
      <c r="V378" s="2"/>
      <c r="W378" s="2"/>
      <c r="X378" s="2"/>
      <c r="Y378" s="2"/>
      <c r="Z378" s="2"/>
      <c r="AA378" s="2"/>
      <c r="AB378" s="2"/>
      <c r="AC378" s="2"/>
      <c r="AD378" s="4"/>
      <c r="AE378" s="2"/>
      <c r="AF378" s="2"/>
      <c r="AG378" s="2"/>
      <c r="AH378" s="2"/>
      <c r="AI378" s="2"/>
      <c r="AJ378" s="160"/>
      <c r="AK378" s="161"/>
      <c r="AL378" s="160"/>
      <c r="AM378" s="160"/>
      <c r="AN378" s="160"/>
      <c r="AO378" s="160"/>
      <c r="AP378" s="160"/>
      <c r="AQ378" s="160"/>
      <c r="AR378" s="160"/>
      <c r="AS378" s="160"/>
      <c r="AT378" s="160"/>
      <c r="AU378" s="160"/>
      <c r="AV378" s="160"/>
      <c r="AW378" s="160"/>
    </row>
    <row r="379" spans="2:49" s="255" customFormat="1" ht="15" hidden="1" customHeight="1">
      <c r="B379" s="2"/>
      <c r="C379" s="2"/>
      <c r="D379" s="2"/>
      <c r="E379" s="2"/>
      <c r="F379" s="2"/>
      <c r="G379" s="2"/>
      <c r="H379" s="2"/>
      <c r="I379" s="2"/>
      <c r="J379" s="3"/>
      <c r="K379" s="2"/>
      <c r="L379" s="2"/>
      <c r="M379" s="2"/>
      <c r="O379" s="2"/>
      <c r="P379" s="2"/>
      <c r="Q379" s="2"/>
      <c r="R379" s="2"/>
      <c r="S379" s="2"/>
      <c r="T379" s="2"/>
      <c r="U379" s="2"/>
      <c r="V379" s="2"/>
      <c r="W379" s="2"/>
      <c r="X379" s="2"/>
      <c r="Y379" s="2"/>
      <c r="Z379" s="2"/>
      <c r="AA379" s="2"/>
      <c r="AB379" s="2"/>
      <c r="AC379" s="2"/>
      <c r="AD379" s="4"/>
      <c r="AE379" s="2"/>
      <c r="AF379" s="2"/>
      <c r="AG379" s="2"/>
      <c r="AH379" s="2"/>
      <c r="AI379" s="2"/>
      <c r="AJ379" s="160"/>
      <c r="AK379" s="161"/>
      <c r="AL379" s="160"/>
      <c r="AM379" s="160"/>
      <c r="AN379" s="160"/>
      <c r="AO379" s="160"/>
      <c r="AP379" s="160"/>
      <c r="AQ379" s="160"/>
      <c r="AR379" s="160"/>
      <c r="AS379" s="160"/>
      <c r="AT379" s="160"/>
      <c r="AU379" s="160"/>
      <c r="AV379" s="160"/>
      <c r="AW379" s="160"/>
    </row>
    <row r="380" spans="2:49" s="255" customFormat="1" ht="15" hidden="1" customHeight="1">
      <c r="B380" s="2"/>
      <c r="C380" s="2"/>
      <c r="D380" s="2"/>
      <c r="E380" s="2"/>
      <c r="F380" s="2"/>
      <c r="G380" s="2"/>
      <c r="H380" s="2"/>
      <c r="I380" s="2"/>
      <c r="J380" s="3"/>
      <c r="K380" s="2"/>
      <c r="L380" s="2"/>
      <c r="M380" s="2"/>
      <c r="O380" s="2"/>
      <c r="P380" s="2"/>
      <c r="Q380" s="2"/>
      <c r="R380" s="2"/>
      <c r="S380" s="2"/>
      <c r="T380" s="2"/>
      <c r="U380" s="2"/>
      <c r="V380" s="2"/>
      <c r="W380" s="2"/>
      <c r="X380" s="2"/>
      <c r="Y380" s="2"/>
      <c r="Z380" s="2"/>
      <c r="AA380" s="2"/>
      <c r="AB380" s="2"/>
      <c r="AC380" s="2"/>
      <c r="AD380" s="4"/>
      <c r="AE380" s="2"/>
      <c r="AF380" s="2"/>
      <c r="AG380" s="2"/>
      <c r="AH380" s="2"/>
      <c r="AI380" s="2"/>
      <c r="AJ380" s="160"/>
      <c r="AK380" s="161"/>
      <c r="AL380" s="160"/>
      <c r="AM380" s="160"/>
      <c r="AN380" s="160"/>
      <c r="AO380" s="160"/>
      <c r="AP380" s="160"/>
      <c r="AQ380" s="160"/>
      <c r="AR380" s="160"/>
      <c r="AS380" s="160"/>
      <c r="AT380" s="160"/>
      <c r="AU380" s="160"/>
      <c r="AV380" s="160"/>
      <c r="AW380" s="160"/>
    </row>
    <row r="381" spans="2:49" s="255" customFormat="1" ht="15" hidden="1" customHeight="1">
      <c r="B381" s="2"/>
      <c r="C381" s="2"/>
      <c r="D381" s="2"/>
      <c r="E381" s="2"/>
      <c r="F381" s="2"/>
      <c r="G381" s="2"/>
      <c r="H381" s="2"/>
      <c r="I381" s="2"/>
      <c r="J381" s="3"/>
      <c r="K381" s="2"/>
      <c r="L381" s="2"/>
      <c r="M381" s="2"/>
      <c r="O381" s="2"/>
      <c r="P381" s="2"/>
      <c r="Q381" s="2"/>
      <c r="R381" s="2"/>
      <c r="S381" s="2"/>
      <c r="T381" s="2"/>
      <c r="U381" s="2"/>
      <c r="V381" s="2"/>
      <c r="W381" s="2"/>
      <c r="X381" s="2"/>
      <c r="Y381" s="2"/>
      <c r="Z381" s="2"/>
      <c r="AA381" s="2"/>
      <c r="AB381" s="2"/>
      <c r="AC381" s="2"/>
      <c r="AD381" s="4"/>
      <c r="AE381" s="2"/>
      <c r="AF381" s="2"/>
      <c r="AG381" s="2"/>
      <c r="AH381" s="2"/>
      <c r="AI381" s="2"/>
      <c r="AJ381" s="160"/>
      <c r="AK381" s="161"/>
      <c r="AL381" s="160"/>
      <c r="AM381" s="160"/>
      <c r="AN381" s="160"/>
      <c r="AO381" s="160"/>
      <c r="AP381" s="160"/>
      <c r="AQ381" s="160"/>
      <c r="AR381" s="160"/>
      <c r="AS381" s="160"/>
      <c r="AT381" s="160"/>
      <c r="AU381" s="160"/>
      <c r="AV381" s="160"/>
      <c r="AW381" s="160"/>
    </row>
    <row r="382" spans="2:49" s="255" customFormat="1" ht="15" hidden="1" customHeight="1">
      <c r="B382" s="2"/>
      <c r="C382" s="2"/>
      <c r="D382" s="2"/>
      <c r="E382" s="2"/>
      <c r="F382" s="2"/>
      <c r="G382" s="2"/>
      <c r="H382" s="2"/>
      <c r="I382" s="2"/>
      <c r="J382" s="3"/>
      <c r="K382" s="2"/>
      <c r="L382" s="2"/>
      <c r="M382" s="2"/>
      <c r="O382" s="2"/>
      <c r="P382" s="2"/>
      <c r="Q382" s="2"/>
      <c r="R382" s="2"/>
      <c r="S382" s="2"/>
      <c r="T382" s="2"/>
      <c r="U382" s="2"/>
      <c r="V382" s="2"/>
      <c r="W382" s="2"/>
      <c r="X382" s="2"/>
      <c r="Y382" s="2"/>
      <c r="Z382" s="2"/>
      <c r="AA382" s="2"/>
      <c r="AB382" s="2"/>
      <c r="AC382" s="2"/>
      <c r="AD382" s="4"/>
      <c r="AE382" s="2"/>
      <c r="AF382" s="2"/>
      <c r="AG382" s="2"/>
      <c r="AH382" s="2"/>
      <c r="AI382" s="2"/>
      <c r="AJ382" s="160"/>
      <c r="AK382" s="161"/>
      <c r="AL382" s="160"/>
      <c r="AM382" s="160"/>
      <c r="AN382" s="160"/>
      <c r="AO382" s="160"/>
      <c r="AP382" s="160"/>
      <c r="AQ382" s="160"/>
      <c r="AR382" s="160"/>
      <c r="AS382" s="160"/>
      <c r="AT382" s="160"/>
      <c r="AU382" s="160"/>
      <c r="AV382" s="160"/>
      <c r="AW382" s="160"/>
    </row>
    <row r="383" spans="2:49" s="255" customFormat="1" ht="15" hidden="1" customHeight="1">
      <c r="B383" s="2"/>
      <c r="C383" s="2"/>
      <c r="D383" s="2"/>
      <c r="E383" s="2"/>
      <c r="F383" s="2"/>
      <c r="G383" s="2"/>
      <c r="H383" s="2"/>
      <c r="I383" s="2"/>
      <c r="J383" s="3"/>
      <c r="K383" s="2"/>
      <c r="L383" s="2"/>
      <c r="M383" s="2"/>
      <c r="O383" s="2"/>
      <c r="P383" s="2"/>
      <c r="Q383" s="2"/>
      <c r="R383" s="2"/>
      <c r="S383" s="2"/>
      <c r="T383" s="2"/>
      <c r="U383" s="2"/>
      <c r="V383" s="2"/>
      <c r="W383" s="2"/>
      <c r="X383" s="2"/>
      <c r="Y383" s="2"/>
      <c r="Z383" s="2"/>
      <c r="AA383" s="2"/>
      <c r="AB383" s="2"/>
      <c r="AC383" s="2"/>
      <c r="AD383" s="4"/>
      <c r="AE383" s="2"/>
      <c r="AF383" s="2"/>
      <c r="AG383" s="2"/>
      <c r="AH383" s="2"/>
      <c r="AI383" s="2"/>
      <c r="AJ383" s="160"/>
      <c r="AK383" s="161"/>
      <c r="AL383" s="160"/>
      <c r="AM383" s="160"/>
      <c r="AN383" s="160"/>
      <c r="AO383" s="160"/>
      <c r="AP383" s="160"/>
      <c r="AQ383" s="160"/>
      <c r="AR383" s="160"/>
      <c r="AS383" s="160"/>
      <c r="AT383" s="160"/>
      <c r="AU383" s="160"/>
      <c r="AV383" s="160"/>
      <c r="AW383" s="160"/>
    </row>
    <row r="384" spans="2:49" s="255" customFormat="1" ht="15" hidden="1" customHeight="1">
      <c r="B384" s="2"/>
      <c r="C384" s="2"/>
      <c r="D384" s="2"/>
      <c r="E384" s="2"/>
      <c r="F384" s="2"/>
      <c r="G384" s="2"/>
      <c r="H384" s="2"/>
      <c r="I384" s="2"/>
      <c r="J384" s="3"/>
      <c r="K384" s="2"/>
      <c r="L384" s="2"/>
      <c r="M384" s="2"/>
      <c r="O384" s="2"/>
      <c r="P384" s="2"/>
      <c r="Q384" s="2"/>
      <c r="R384" s="2"/>
      <c r="S384" s="2"/>
      <c r="T384" s="2"/>
      <c r="U384" s="2"/>
      <c r="V384" s="2"/>
      <c r="W384" s="2"/>
      <c r="X384" s="2"/>
      <c r="Y384" s="2"/>
      <c r="Z384" s="2"/>
      <c r="AA384" s="2"/>
      <c r="AB384" s="2"/>
      <c r="AC384" s="2"/>
      <c r="AD384" s="4"/>
      <c r="AE384" s="2"/>
      <c r="AF384" s="2"/>
      <c r="AG384" s="2"/>
      <c r="AH384" s="2"/>
      <c r="AI384" s="2"/>
      <c r="AJ384" s="160"/>
      <c r="AK384" s="161"/>
      <c r="AL384" s="160"/>
      <c r="AM384" s="160"/>
      <c r="AN384" s="160"/>
      <c r="AO384" s="160"/>
      <c r="AP384" s="160"/>
      <c r="AQ384" s="160"/>
      <c r="AR384" s="160"/>
      <c r="AS384" s="160"/>
      <c r="AT384" s="160"/>
      <c r="AU384" s="160"/>
      <c r="AV384" s="160"/>
      <c r="AW384" s="160"/>
    </row>
    <row r="385" spans="2:59" s="255" customFormat="1" ht="15" hidden="1" customHeight="1">
      <c r="B385" s="2"/>
      <c r="C385" s="2"/>
      <c r="D385" s="2"/>
      <c r="E385" s="2"/>
      <c r="F385" s="2"/>
      <c r="G385" s="2"/>
      <c r="H385" s="2"/>
      <c r="I385" s="2"/>
      <c r="J385" s="3"/>
      <c r="K385" s="2"/>
      <c r="L385" s="2"/>
      <c r="M385" s="2"/>
      <c r="O385" s="2"/>
      <c r="P385" s="2"/>
      <c r="Q385" s="2"/>
      <c r="R385" s="2"/>
      <c r="S385" s="2"/>
      <c r="T385" s="2"/>
      <c r="U385" s="2"/>
      <c r="V385" s="2"/>
      <c r="W385" s="2"/>
      <c r="X385" s="2"/>
      <c r="Y385" s="2"/>
      <c r="Z385" s="2"/>
      <c r="AA385" s="2"/>
      <c r="AB385" s="2"/>
      <c r="AC385" s="2"/>
      <c r="AD385" s="4"/>
      <c r="AE385" s="2"/>
      <c r="AF385" s="2"/>
      <c r="AG385" s="2"/>
      <c r="AH385" s="2"/>
      <c r="AI385" s="2"/>
      <c r="AJ385" s="160"/>
      <c r="AK385" s="161"/>
      <c r="AL385" s="160"/>
      <c r="AM385" s="160"/>
      <c r="AN385" s="160"/>
      <c r="AO385" s="160"/>
      <c r="AP385" s="160"/>
      <c r="AQ385" s="160"/>
      <c r="AR385" s="160"/>
      <c r="AS385" s="160"/>
      <c r="AT385" s="160"/>
      <c r="AU385" s="160"/>
      <c r="AV385" s="160"/>
      <c r="AW385" s="160"/>
    </row>
    <row r="386" spans="2:59" s="255" customFormat="1" ht="15" hidden="1" customHeight="1">
      <c r="B386" s="2"/>
      <c r="C386" s="2"/>
      <c r="D386" s="2"/>
      <c r="E386" s="2"/>
      <c r="F386" s="2"/>
      <c r="G386" s="2"/>
      <c r="H386" s="2"/>
      <c r="I386" s="2"/>
      <c r="J386" s="3"/>
      <c r="K386" s="2"/>
      <c r="L386" s="2"/>
      <c r="M386" s="2"/>
      <c r="O386" s="2"/>
      <c r="P386" s="2"/>
      <c r="Q386" s="2"/>
      <c r="R386" s="2"/>
      <c r="S386" s="2"/>
      <c r="T386" s="2"/>
      <c r="U386" s="2"/>
      <c r="V386" s="2"/>
      <c r="W386" s="2"/>
      <c r="X386" s="2"/>
      <c r="Y386" s="2"/>
      <c r="Z386" s="2"/>
      <c r="AA386" s="2"/>
      <c r="AB386" s="2"/>
      <c r="AC386" s="2"/>
      <c r="AD386" s="4"/>
      <c r="AE386" s="2"/>
      <c r="AF386" s="2"/>
      <c r="AG386" s="2"/>
      <c r="AH386" s="2"/>
      <c r="AI386" s="2"/>
      <c r="AJ386" s="160"/>
      <c r="AK386" s="161"/>
      <c r="AL386" s="160"/>
      <c r="AM386" s="160"/>
      <c r="AN386" s="160"/>
      <c r="AO386" s="160"/>
      <c r="AP386" s="160"/>
      <c r="AQ386" s="160"/>
      <c r="AR386" s="160"/>
      <c r="AS386" s="160"/>
      <c r="AT386" s="160"/>
      <c r="AU386" s="160"/>
      <c r="AV386" s="160"/>
      <c r="AW386" s="160"/>
    </row>
    <row r="387" spans="2:59" s="255" customFormat="1" ht="15" hidden="1" customHeight="1">
      <c r="B387" s="2"/>
      <c r="C387" s="2"/>
      <c r="D387" s="2"/>
      <c r="E387" s="2"/>
      <c r="F387" s="2"/>
      <c r="G387" s="2"/>
      <c r="H387" s="2"/>
      <c r="I387" s="2"/>
      <c r="J387" s="3"/>
      <c r="K387" s="2"/>
      <c r="L387" s="2"/>
      <c r="M387" s="2"/>
      <c r="O387" s="2"/>
      <c r="P387" s="2"/>
      <c r="Q387" s="2"/>
      <c r="R387" s="2"/>
      <c r="S387" s="2"/>
      <c r="T387" s="2"/>
      <c r="U387" s="2"/>
      <c r="V387" s="2"/>
      <c r="W387" s="2"/>
      <c r="X387" s="2"/>
      <c r="Y387" s="2"/>
      <c r="Z387" s="2"/>
      <c r="AA387" s="2"/>
      <c r="AB387" s="2"/>
      <c r="AC387" s="2"/>
      <c r="AD387" s="4"/>
      <c r="AE387" s="2"/>
      <c r="AF387" s="2"/>
      <c r="AG387" s="2"/>
      <c r="AH387" s="2"/>
      <c r="AI387" s="2"/>
      <c r="AJ387" s="160"/>
      <c r="AK387" s="161"/>
      <c r="AL387" s="160"/>
      <c r="AM387" s="160"/>
      <c r="AN387" s="160"/>
      <c r="AO387" s="160"/>
      <c r="AP387" s="160"/>
      <c r="AQ387" s="160"/>
      <c r="AR387" s="160"/>
      <c r="AS387" s="160"/>
      <c r="AT387" s="160"/>
      <c r="AU387" s="160"/>
      <c r="AV387" s="160"/>
      <c r="AW387" s="160"/>
    </row>
    <row r="388" spans="2:59" s="255" customFormat="1" ht="15" hidden="1" customHeight="1">
      <c r="B388" s="2"/>
      <c r="C388" s="2"/>
      <c r="D388" s="2"/>
      <c r="E388" s="2"/>
      <c r="F388" s="2"/>
      <c r="G388" s="2"/>
      <c r="H388" s="2"/>
      <c r="I388" s="2"/>
      <c r="J388" s="3"/>
      <c r="K388" s="2"/>
      <c r="L388" s="2"/>
      <c r="M388" s="2"/>
      <c r="O388" s="2"/>
      <c r="P388" s="2"/>
      <c r="Q388" s="2"/>
      <c r="R388" s="2"/>
      <c r="S388" s="2"/>
      <c r="T388" s="2"/>
      <c r="U388" s="2"/>
      <c r="V388" s="2"/>
      <c r="W388" s="2"/>
      <c r="X388" s="2"/>
      <c r="Y388" s="2"/>
      <c r="Z388" s="2"/>
      <c r="AA388" s="2"/>
      <c r="AB388" s="2"/>
      <c r="AC388" s="2"/>
      <c r="AD388" s="4"/>
      <c r="AE388" s="2"/>
      <c r="AF388" s="2"/>
      <c r="AG388" s="2"/>
      <c r="AH388" s="2"/>
      <c r="AI388" s="2"/>
      <c r="AJ388" s="160"/>
      <c r="AK388" s="161"/>
      <c r="AL388" s="160"/>
      <c r="AM388" s="160"/>
      <c r="AN388" s="160"/>
      <c r="AO388" s="160"/>
      <c r="AP388" s="160"/>
      <c r="AQ388" s="160"/>
      <c r="AR388" s="160"/>
      <c r="AS388" s="160"/>
      <c r="AT388" s="160"/>
      <c r="AU388" s="160"/>
      <c r="AV388" s="160"/>
      <c r="AW388" s="160"/>
    </row>
    <row r="389" spans="2:59" ht="15" hidden="1" customHeight="1"/>
    <row r="390" spans="2:59" ht="15" hidden="1" customHeight="1"/>
    <row r="391" spans="2:59" ht="15" hidden="1" customHeight="1"/>
    <row r="392" spans="2:59" ht="15" hidden="1" customHeight="1"/>
    <row r="393" spans="2:59" ht="15" hidden="1" customHeight="1"/>
    <row r="394" spans="2:59" ht="15" hidden="1" customHeight="1"/>
    <row r="395" spans="2:59" ht="15" hidden="1" customHeight="1"/>
    <row r="396" spans="2:59" s="255" customFormat="1" ht="15" hidden="1" customHeight="1">
      <c r="B396" s="2"/>
      <c r="C396" s="2"/>
      <c r="D396" s="2"/>
      <c r="E396" s="2"/>
      <c r="F396" s="2"/>
      <c r="G396" s="2"/>
      <c r="H396" s="2"/>
      <c r="I396" s="2"/>
      <c r="J396" s="3"/>
      <c r="K396" s="2"/>
      <c r="L396" s="2"/>
      <c r="M396" s="2"/>
      <c r="O396" s="2"/>
      <c r="P396" s="2"/>
      <c r="Q396" s="2"/>
      <c r="R396" s="2"/>
      <c r="S396" s="2"/>
      <c r="T396" s="2"/>
      <c r="U396" s="2"/>
      <c r="V396" s="2"/>
      <c r="W396" s="2"/>
      <c r="X396" s="2"/>
      <c r="Y396" s="2"/>
      <c r="Z396" s="2"/>
      <c r="AA396" s="2"/>
      <c r="AB396" s="2"/>
      <c r="AC396" s="2"/>
      <c r="AD396" s="4"/>
      <c r="AE396" s="2"/>
      <c r="AF396" s="2"/>
      <c r="AG396" s="2"/>
      <c r="AH396" s="2"/>
      <c r="AI396" s="2"/>
      <c r="AJ396" s="160"/>
      <c r="AK396" s="161"/>
      <c r="AL396" s="160"/>
      <c r="AM396" s="160"/>
      <c r="AN396" s="160"/>
      <c r="AO396" s="160"/>
      <c r="AP396" s="160"/>
      <c r="AQ396" s="160"/>
      <c r="AR396" s="160"/>
      <c r="AS396" s="161"/>
      <c r="AT396" s="161"/>
      <c r="AU396" s="161"/>
      <c r="AV396" s="161"/>
      <c r="AW396" s="161"/>
      <c r="AX396" s="2"/>
      <c r="AY396" s="2"/>
      <c r="AZ396" s="2"/>
      <c r="BA396" s="2"/>
      <c r="BB396" s="2"/>
      <c r="BC396" s="2"/>
      <c r="BD396" s="2"/>
      <c r="BE396" s="2"/>
      <c r="BF396" s="2"/>
      <c r="BG396" s="2"/>
    </row>
    <row r="397" spans="2:59" s="255" customFormat="1" ht="15" hidden="1" customHeight="1">
      <c r="B397" s="2"/>
      <c r="C397" s="2"/>
      <c r="D397" s="2"/>
      <c r="E397" s="2"/>
      <c r="F397" s="2"/>
      <c r="G397" s="2"/>
      <c r="H397" s="2"/>
      <c r="I397" s="2"/>
      <c r="J397" s="3"/>
      <c r="K397" s="2"/>
      <c r="L397" s="2"/>
      <c r="M397" s="2"/>
      <c r="O397" s="2"/>
      <c r="P397" s="2"/>
      <c r="Q397" s="2"/>
      <c r="R397" s="2"/>
      <c r="S397" s="2"/>
      <c r="T397" s="2"/>
      <c r="U397" s="2"/>
      <c r="V397" s="2"/>
      <c r="W397" s="2"/>
      <c r="X397" s="2"/>
      <c r="Y397" s="2"/>
      <c r="Z397" s="2"/>
      <c r="AA397" s="2"/>
      <c r="AB397" s="2"/>
      <c r="AC397" s="2"/>
      <c r="AD397" s="4"/>
      <c r="AE397" s="2"/>
      <c r="AF397" s="2"/>
      <c r="AG397" s="2"/>
      <c r="AH397" s="2"/>
      <c r="AI397" s="2"/>
      <c r="AJ397" s="160"/>
      <c r="AK397" s="161"/>
      <c r="AL397" s="160"/>
      <c r="AM397" s="160"/>
      <c r="AN397" s="160"/>
      <c r="AO397" s="160"/>
      <c r="AP397" s="160"/>
      <c r="AQ397" s="160"/>
      <c r="AR397" s="160"/>
      <c r="AS397" s="161"/>
      <c r="AT397" s="161"/>
      <c r="AU397" s="161"/>
      <c r="AV397" s="161"/>
      <c r="AW397" s="161"/>
      <c r="AX397" s="2"/>
      <c r="AY397" s="2"/>
      <c r="AZ397" s="2"/>
      <c r="BA397" s="2"/>
      <c r="BB397" s="2"/>
      <c r="BC397" s="2"/>
      <c r="BD397" s="2"/>
      <c r="BE397" s="2"/>
      <c r="BF397" s="2"/>
      <c r="BG397" s="2"/>
    </row>
  </sheetData>
  <sheetProtection password="E863" sheet="1" objects="1" scenarios="1"/>
  <mergeCells count="166">
    <mergeCell ref="O281:R281"/>
    <mergeCell ref="O282:R282"/>
    <mergeCell ref="O21:AC21"/>
    <mergeCell ref="O23:AC23"/>
    <mergeCell ref="O31:AC31"/>
    <mergeCell ref="O29:AC29"/>
    <mergeCell ref="O27:AC27"/>
    <mergeCell ref="O25:AC25"/>
    <mergeCell ref="O47:AA47"/>
    <mergeCell ref="O51:AA51"/>
    <mergeCell ref="O53:AA53"/>
    <mergeCell ref="O33:AA33"/>
    <mergeCell ref="O39:AA39"/>
    <mergeCell ref="O41:AA41"/>
    <mergeCell ref="O43:AA43"/>
    <mergeCell ref="O45:AC45"/>
    <mergeCell ref="O49:AC49"/>
    <mergeCell ref="O37:AC37"/>
    <mergeCell ref="O35:AC35"/>
    <mergeCell ref="O67:AA67"/>
    <mergeCell ref="O69:AA69"/>
    <mergeCell ref="O71:AA71"/>
    <mergeCell ref="O73:AA73"/>
    <mergeCell ref="O77:AA77"/>
    <mergeCell ref="AE2:AG2"/>
    <mergeCell ref="AA15:AG15"/>
    <mergeCell ref="O19:AA19"/>
    <mergeCell ref="V9:Z9"/>
    <mergeCell ref="AB9:AG9"/>
    <mergeCell ref="R12:V12"/>
    <mergeCell ref="X12:AG12"/>
    <mergeCell ref="V3:AG3"/>
    <mergeCell ref="O2:P2"/>
    <mergeCell ref="O55:AA55"/>
    <mergeCell ref="O59:AA59"/>
    <mergeCell ref="O61:AA61"/>
    <mergeCell ref="O63:AA63"/>
    <mergeCell ref="O65:AA65"/>
    <mergeCell ref="O75:AC75"/>
    <mergeCell ref="O57:AC57"/>
    <mergeCell ref="O81:AC81"/>
    <mergeCell ref="O79:AC79"/>
    <mergeCell ref="A103:A122"/>
    <mergeCell ref="O107:AA107"/>
    <mergeCell ref="O111:AA111"/>
    <mergeCell ref="O113:AA113"/>
    <mergeCell ref="O115:AA115"/>
    <mergeCell ref="O117:AA117"/>
    <mergeCell ref="O119:AA119"/>
    <mergeCell ref="O105:AC105"/>
    <mergeCell ref="O103:AC104"/>
    <mergeCell ref="O109:AC109"/>
    <mergeCell ref="O91:AA91"/>
    <mergeCell ref="O93:AA93"/>
    <mergeCell ref="O95:AA95"/>
    <mergeCell ref="O97:AA97"/>
    <mergeCell ref="O99:AA99"/>
    <mergeCell ref="O101:T101"/>
    <mergeCell ref="V101:Y101"/>
    <mergeCell ref="O83:AA83"/>
    <mergeCell ref="O85:AA85"/>
    <mergeCell ref="O89:AC89"/>
    <mergeCell ref="O87:AC87"/>
    <mergeCell ref="O135:AA135"/>
    <mergeCell ref="O121:AA121"/>
    <mergeCell ref="O123:AA123"/>
    <mergeCell ref="O129:AA129"/>
    <mergeCell ref="O131:AA131"/>
    <mergeCell ref="O125:AC125"/>
    <mergeCell ref="O127:AC127"/>
    <mergeCell ref="O143:AC143"/>
    <mergeCell ref="O141:AC141"/>
    <mergeCell ref="O139:AC139"/>
    <mergeCell ref="O137:AC137"/>
    <mergeCell ref="O133:AC133"/>
    <mergeCell ref="O157:AA157"/>
    <mergeCell ref="O147:AA147"/>
    <mergeCell ref="O155:AA155"/>
    <mergeCell ref="O145:AC145"/>
    <mergeCell ref="O149:AC149"/>
    <mergeCell ref="O151:AC151"/>
    <mergeCell ref="O153:AC153"/>
    <mergeCell ref="O159:AC159"/>
    <mergeCell ref="O161:AC161"/>
    <mergeCell ref="O163:AC163"/>
    <mergeCell ref="O165:AC165"/>
    <mergeCell ref="O187:AA187"/>
    <mergeCell ref="O189:AA189"/>
    <mergeCell ref="O167:AA167"/>
    <mergeCell ref="O169:AA169"/>
    <mergeCell ref="O173:AA173"/>
    <mergeCell ref="O175:AA175"/>
    <mergeCell ref="O171:AC171"/>
    <mergeCell ref="O177:AC177"/>
    <mergeCell ref="O179:AC179"/>
    <mergeCell ref="O181:AC181"/>
    <mergeCell ref="O183:AC183"/>
    <mergeCell ref="O185:AC185"/>
    <mergeCell ref="O231:AC231"/>
    <mergeCell ref="O233:AC233"/>
    <mergeCell ref="O235:AC235"/>
    <mergeCell ref="O241:AC241"/>
    <mergeCell ref="O243:AC243"/>
    <mergeCell ref="O203:AA203"/>
    <mergeCell ref="O211:AA211"/>
    <mergeCell ref="O191:AA191"/>
    <mergeCell ref="O193:AA193"/>
    <mergeCell ref="O195:AA195"/>
    <mergeCell ref="O199:AA199"/>
    <mergeCell ref="O213:AC213"/>
    <mergeCell ref="O205:AC205"/>
    <mergeCell ref="O207:AC207"/>
    <mergeCell ref="O209:AC209"/>
    <mergeCell ref="O197:AC197"/>
    <mergeCell ref="O201:AC201"/>
    <mergeCell ref="O227:AA227"/>
    <mergeCell ref="O216:AA216"/>
    <mergeCell ref="O217:AA217"/>
    <mergeCell ref="O219:AA219"/>
    <mergeCell ref="O221:AA221"/>
    <mergeCell ref="O215:AC215"/>
    <mergeCell ref="O223:AC223"/>
    <mergeCell ref="O225:AC225"/>
    <mergeCell ref="O229:AC229"/>
    <mergeCell ref="O283:R283"/>
    <mergeCell ref="O6:AG6"/>
    <mergeCell ref="O9:T9"/>
    <mergeCell ref="O12:P12"/>
    <mergeCell ref="O15:X15"/>
    <mergeCell ref="O17:AA17"/>
    <mergeCell ref="O279:R279"/>
    <mergeCell ref="O280:R280"/>
    <mergeCell ref="T280:AE280"/>
    <mergeCell ref="T281:AE281"/>
    <mergeCell ref="O275:R275"/>
    <mergeCell ref="T275:AE275"/>
    <mergeCell ref="O276:R276"/>
    <mergeCell ref="O271:R271"/>
    <mergeCell ref="T273:AE273"/>
    <mergeCell ref="O274:R274"/>
    <mergeCell ref="O245:AA245"/>
    <mergeCell ref="O247:AC247"/>
    <mergeCell ref="O237:AC237"/>
    <mergeCell ref="O239:AC239"/>
    <mergeCell ref="T282:AE282"/>
    <mergeCell ref="O267:R267"/>
    <mergeCell ref="O249:AA249"/>
    <mergeCell ref="O251:AA251"/>
    <mergeCell ref="O253:AA253"/>
    <mergeCell ref="O255:AA255"/>
    <mergeCell ref="O257:AA257"/>
    <mergeCell ref="N260:AG260"/>
    <mergeCell ref="N261:AG261"/>
    <mergeCell ref="O265:R265"/>
    <mergeCell ref="O266:R266"/>
    <mergeCell ref="T271:AG271"/>
    <mergeCell ref="T276:AG276"/>
    <mergeCell ref="T278:AG278"/>
    <mergeCell ref="T279:AG279"/>
    <mergeCell ref="T266:AG266"/>
    <mergeCell ref="T274:AE274"/>
    <mergeCell ref="T265:AG265"/>
    <mergeCell ref="O273:R273"/>
    <mergeCell ref="O277:R277"/>
    <mergeCell ref="T267:AE267"/>
    <mergeCell ref="O278:R278"/>
  </mergeCells>
  <conditionalFormatting sqref="N260:AE260">
    <cfRule type="expression" dxfId="158" priority="161" stopIfTrue="1">
      <formula>$N$260&lt;&gt;""</formula>
    </cfRule>
  </conditionalFormatting>
  <conditionalFormatting sqref="N261:AE261">
    <cfRule type="expression" dxfId="157" priority="160" stopIfTrue="1">
      <formula>$N$261&lt;&gt;""</formula>
    </cfRule>
  </conditionalFormatting>
  <conditionalFormatting sqref="O25:AA27 O79:AA81 O85:AA91 O95:AA99 O125:AA129 O133:AA165 O169:AA173 O177:AA185 O189:AA194 O229:AA243 O247:AA257 O35:AA37 O30:AA31 O60:AA75 O42:AA45 O197:AA201 O205:AA225 O48:AA57">
    <cfRule type="expression" dxfId="156" priority="159">
      <formula>OR($AE25&lt;&gt;"",$AC25&lt;&gt;"",$AL25=3)</formula>
    </cfRule>
  </conditionalFormatting>
  <conditionalFormatting sqref="O27:AA27 O35:AA35 O37:AA37 O43:AA43 J257 O49:AA49 O51:AA51 O53:AA53 O55:AA55 O61:AA61 O63:AA63 O65:AA65 O67:AA67 O69:AA69 O71:AA71 O73:AA73 O87:AA87 O79:AA79 O81:AA81 O85:AA85 O89:AA89 O45:AA45 O91:AA91 O95:AA95 O97:AA97 O99:AA99 O209:AA209 O125:AA125 O129:AA129 O137:AA137 O135:AA135 O139:AA139 O141:AA141 O143:AA143 O145:AA145 O223:AA225 O147:AA147 O185:AA185 O149:AA149 O153:AA153 O155:AA155 O157:AA157 O159:AA159 O161:AA161 O163:AA163 O165:AA165 O169:AA169 O173:AA173 O133:AA133 O177:AA177 O179:AA179 O181:AA181 O183:AA183 O189:AA189 O191:AA191 O193:AA193 O171:AA171 O199:AA201 O243:AA243 O205:AA205 O207:AA207 O211:AA211 O25:AA25 O213:AA213 O217:AA217 O219:AA219 O247:AA247 O229:AA229 O231:AA231 O233:AA233 O235:AA235 O237:AA237 O239:AA239 O241:AA241 AB224:AC224 O249:AA249 O57:AA57 O31:AA31 O127:AA127 O75:AA75 O197:AA197 O215:AA215 J105 J107 J109 J111 J113 J115 J117 J119 J121 O19:AC19 J19 O33:AC33 J33 O77:AA77 J77 O83:AC83 J83 O93:AA93 J93 O123:AA123 J123 O167:AA167 J167 O175:AA175 J175 O195:AA195 J195 O203:AA203 J203 O227:AA227 J227 O245:AA245 J245 O251:AA251 J251 O253:AA253 J253 O255:AA255 J255 O257:AA257 O151:AA151 O221:AA221">
    <cfRule type="expression" dxfId="155" priority="158">
      <formula>OR($AL19=4,$AM19=4)</formula>
    </cfRule>
  </conditionalFormatting>
  <conditionalFormatting sqref="J252">
    <cfRule type="expression" dxfId="154" priority="156">
      <formula>OR($AL252=4,$AM252=4)</formula>
    </cfRule>
  </conditionalFormatting>
  <conditionalFormatting sqref="J253">
    <cfRule type="expression" dxfId="153" priority="155">
      <formula>OR($AL253=4,$AM253=4)</formula>
    </cfRule>
  </conditionalFormatting>
  <conditionalFormatting sqref="J50">
    <cfRule type="expression" dxfId="152" priority="154">
      <formula>OR($AL50=4,$AM50=4)</formula>
    </cfRule>
  </conditionalFormatting>
  <conditionalFormatting sqref="J62">
    <cfRule type="expression" dxfId="151" priority="153">
      <formula>OR($AL62=4,$AM62=4)</formula>
    </cfRule>
  </conditionalFormatting>
  <conditionalFormatting sqref="AC101">
    <cfRule type="expression" dxfId="150" priority="152">
      <formula>$AA$101&lt;&gt;"-"</formula>
    </cfRule>
  </conditionalFormatting>
  <conditionalFormatting sqref="AC63 AC53 AC257 AC173 AC249 AC251 AC255 AC43 AC217 AC219 AC221 AC211 AC189 AC193 AC191 AC77 AC59 AC157 AC155 AC147 AC129 AC93 AC95 AC97 AC71 AC85 AC55 AC61 AC65 AC67 AC69 AC135 AC99 AC73 AC51 AC169 AC253 AC245 AC227 AC203 AC195 AC175 AC167 AC123 AC131 AC187 AC91 AC39 AC41 AC47 AC199">
    <cfRule type="expression" dxfId="149" priority="149">
      <formula>$AN39=2</formula>
    </cfRule>
    <cfRule type="expression" dxfId="148" priority="150">
      <formula>AND($AN39=0,$AC39="")</formula>
    </cfRule>
    <cfRule type="expression" dxfId="147" priority="151">
      <formula>AND($AN39=3,$AC39="")</formula>
    </cfRule>
  </conditionalFormatting>
  <conditionalFormatting sqref="O101:T101 J101">
    <cfRule type="expression" dxfId="146" priority="148">
      <formula>OR(#REF!=4,$AL101=4)</formula>
    </cfRule>
  </conditionalFormatting>
  <conditionalFormatting sqref="AC101">
    <cfRule type="expression" dxfId="145" priority="147">
      <formula>AND($AA$101="-",$AC$101="")</formula>
    </cfRule>
  </conditionalFormatting>
  <conditionalFormatting sqref="O131:AA131 J131 O187:AA187 J187">
    <cfRule type="expression" dxfId="144" priority="146">
      <formula>OR($AL131=4,#REF!=4)</formula>
    </cfRule>
  </conditionalFormatting>
  <conditionalFormatting sqref="O38:AA39">
    <cfRule type="expression" dxfId="143" priority="145">
      <formula>OR($AE38&lt;&gt;"",$AC38&lt;&gt;"",$AL38=3)</formula>
    </cfRule>
  </conditionalFormatting>
  <conditionalFormatting sqref="O39:AA39">
    <cfRule type="expression" dxfId="142" priority="144">
      <formula>OR($AL39=4,$AM39=4)</formula>
    </cfRule>
  </conditionalFormatting>
  <conditionalFormatting sqref="O28:AA29">
    <cfRule type="expression" dxfId="141" priority="143">
      <formula>OR($AE28&lt;&gt;"",$AC28&lt;&gt;"",$AL28=3)</formula>
    </cfRule>
  </conditionalFormatting>
  <conditionalFormatting sqref="O58:AA59">
    <cfRule type="expression" dxfId="140" priority="142">
      <formula>OR($AE58&lt;&gt;"",$AC58&lt;&gt;"",$AL58=3)</formula>
    </cfRule>
  </conditionalFormatting>
  <conditionalFormatting sqref="O59:AA59">
    <cfRule type="expression" dxfId="139" priority="141">
      <formula>OR($AL59=4,$AM59=4)</formula>
    </cfRule>
  </conditionalFormatting>
  <conditionalFormatting sqref="O40:AA41">
    <cfRule type="expression" dxfId="138" priority="140">
      <formula>OR($AE40&lt;&gt;"",$AC40&lt;&gt;"",$AL40=3)</formula>
    </cfRule>
  </conditionalFormatting>
  <conditionalFormatting sqref="O41:AA41">
    <cfRule type="expression" dxfId="137" priority="139">
      <formula>OR($AL41=4,$AM41=4)</formula>
    </cfRule>
  </conditionalFormatting>
  <conditionalFormatting sqref="J31">
    <cfRule type="expression" dxfId="136" priority="138">
      <formula>OR($AL31=4,$AM31=4)</formula>
    </cfRule>
  </conditionalFormatting>
  <conditionalFormatting sqref="J159">
    <cfRule type="expression" dxfId="135" priority="137">
      <formula>OR($AL159=4,$AM159=4)</formula>
    </cfRule>
  </conditionalFormatting>
  <conditionalFormatting sqref="J165">
    <cfRule type="expression" dxfId="134" priority="136">
      <formula>OR($AL165=4,$AM165=4)</formula>
    </cfRule>
  </conditionalFormatting>
  <conditionalFormatting sqref="J161">
    <cfRule type="expression" dxfId="133" priority="135">
      <formula>OR($AL161=4,$AM161=4)</formula>
    </cfRule>
  </conditionalFormatting>
  <conditionalFormatting sqref="J169">
    <cfRule type="expression" dxfId="132" priority="134">
      <formula>OR($AL169=4,$AM169=4)</formula>
    </cfRule>
  </conditionalFormatting>
  <conditionalFormatting sqref="J171">
    <cfRule type="expression" dxfId="131" priority="133">
      <formula>OR($AL171=4,$AM171=4)</formula>
    </cfRule>
  </conditionalFormatting>
  <conditionalFormatting sqref="J173">
    <cfRule type="expression" dxfId="130" priority="132">
      <formula>OR($AL173=4,$AM173=4)</formula>
    </cfRule>
  </conditionalFormatting>
  <conditionalFormatting sqref="J177">
    <cfRule type="expression" dxfId="129" priority="131">
      <formula>OR($AL177=4,$AM177=4)</formula>
    </cfRule>
  </conditionalFormatting>
  <conditionalFormatting sqref="J179">
    <cfRule type="expression" dxfId="128" priority="130">
      <formula>OR($AL179=4,$AM179=4)</formula>
    </cfRule>
  </conditionalFormatting>
  <conditionalFormatting sqref="J181">
    <cfRule type="expression" dxfId="127" priority="129">
      <formula>OR($AL181=4,$AM181=4)</formula>
    </cfRule>
  </conditionalFormatting>
  <conditionalFormatting sqref="J183">
    <cfRule type="expression" dxfId="126" priority="128">
      <formula>OR($AL183=4,$AM183=4)</formula>
    </cfRule>
  </conditionalFormatting>
  <conditionalFormatting sqref="J185">
    <cfRule type="expression" dxfId="125" priority="127">
      <formula>OR($AL185=4,$AM185=4)</formula>
    </cfRule>
  </conditionalFormatting>
  <conditionalFormatting sqref="J189">
    <cfRule type="expression" dxfId="124" priority="126">
      <formula>OR($AL189=4,$AM189=4)</formula>
    </cfRule>
  </conditionalFormatting>
  <conditionalFormatting sqref="J191">
    <cfRule type="expression" dxfId="123" priority="125">
      <formula>OR($AL191=4,$AM191=4)</formula>
    </cfRule>
  </conditionalFormatting>
  <conditionalFormatting sqref="J193">
    <cfRule type="expression" dxfId="122" priority="124">
      <formula>OR($AL193=4,$AM193=4)</formula>
    </cfRule>
  </conditionalFormatting>
  <conditionalFormatting sqref="J197">
    <cfRule type="expression" dxfId="121" priority="123">
      <formula>OR($AL197=4,$AM197=4)</formula>
    </cfRule>
  </conditionalFormatting>
  <conditionalFormatting sqref="J199:J201">
    <cfRule type="expression" dxfId="120" priority="122">
      <formula>OR($AL199=4,$AM199=4)</formula>
    </cfRule>
  </conditionalFormatting>
  <conditionalFormatting sqref="J205">
    <cfRule type="expression" dxfId="119" priority="121">
      <formula>OR($AL205=4,$AM205=4)</formula>
    </cfRule>
  </conditionalFormatting>
  <conditionalFormatting sqref="J207">
    <cfRule type="expression" dxfId="118" priority="120">
      <formula>OR($AL207=4,$AM207=4)</formula>
    </cfRule>
  </conditionalFormatting>
  <conditionalFormatting sqref="J209">
    <cfRule type="expression" dxfId="117" priority="119">
      <formula>OR($AL209=4,$AM209=4)</formula>
    </cfRule>
  </conditionalFormatting>
  <conditionalFormatting sqref="J211">
    <cfRule type="expression" dxfId="116" priority="118">
      <formula>OR($AL211=4,$AM211=4)</formula>
    </cfRule>
  </conditionalFormatting>
  <conditionalFormatting sqref="J213">
    <cfRule type="expression" dxfId="115" priority="117">
      <formula>OR($AL213=4,$AM213=4)</formula>
    </cfRule>
  </conditionalFormatting>
  <conditionalFormatting sqref="J215">
    <cfRule type="expression" dxfId="114" priority="116">
      <formula>OR($AL215=4,$AM215=4)</formula>
    </cfRule>
  </conditionalFormatting>
  <conditionalFormatting sqref="J217">
    <cfRule type="expression" dxfId="113" priority="115">
      <formula>OR($AL217=4,$AM217=4)</formula>
    </cfRule>
  </conditionalFormatting>
  <conditionalFormatting sqref="J219">
    <cfRule type="expression" dxfId="112" priority="114">
      <formula>OR($AL219=4,$AM219=4)</formula>
    </cfRule>
  </conditionalFormatting>
  <conditionalFormatting sqref="J221">
    <cfRule type="expression" dxfId="111" priority="113">
      <formula>OR($AL221=4,$AM221=4)</formula>
    </cfRule>
  </conditionalFormatting>
  <conditionalFormatting sqref="J223:J225">
    <cfRule type="expression" dxfId="110" priority="112">
      <formula>OR($AL223=4,$AM223=4)</formula>
    </cfRule>
  </conditionalFormatting>
  <conditionalFormatting sqref="J229">
    <cfRule type="expression" dxfId="109" priority="111">
      <formula>OR($AL229=4,$AM229=4)</formula>
    </cfRule>
  </conditionalFormatting>
  <conditionalFormatting sqref="J231">
    <cfRule type="expression" dxfId="108" priority="110">
      <formula>OR($AL231=4,$AM231=4)</formula>
    </cfRule>
  </conditionalFormatting>
  <conditionalFormatting sqref="J233">
    <cfRule type="expression" dxfId="107" priority="109">
      <formula>OR($AL233=4,$AM233=4)</formula>
    </cfRule>
  </conditionalFormatting>
  <conditionalFormatting sqref="J235">
    <cfRule type="expression" dxfId="106" priority="108">
      <formula>OR($AL235=4,$AM235=4)</formula>
    </cfRule>
  </conditionalFormatting>
  <conditionalFormatting sqref="J237">
    <cfRule type="expression" dxfId="105" priority="107">
      <formula>OR($AL237=4,$AM237=4)</formula>
    </cfRule>
  </conditionalFormatting>
  <conditionalFormatting sqref="J239">
    <cfRule type="expression" dxfId="104" priority="106">
      <formula>OR($AL239=4,$AM239=4)</formula>
    </cfRule>
  </conditionalFormatting>
  <conditionalFormatting sqref="J241">
    <cfRule type="expression" dxfId="103" priority="105">
      <formula>OR($AL241=4,$AM241=4)</formula>
    </cfRule>
  </conditionalFormatting>
  <conditionalFormatting sqref="J243">
    <cfRule type="expression" dxfId="102" priority="104">
      <formula>OR($AL243=4,$AM243=4)</formula>
    </cfRule>
  </conditionalFormatting>
  <conditionalFormatting sqref="J247">
    <cfRule type="expression" dxfId="101" priority="103">
      <formula>OR($AL247=4,$AM247=4)</formula>
    </cfRule>
  </conditionalFormatting>
  <conditionalFormatting sqref="J249">
    <cfRule type="expression" dxfId="100" priority="102">
      <formula>OR($AL249=4,$AM249=4)</formula>
    </cfRule>
  </conditionalFormatting>
  <conditionalFormatting sqref="J27">
    <cfRule type="expression" dxfId="99" priority="101">
      <formula>OR($AL27=4,$AM27=4)</formula>
    </cfRule>
  </conditionalFormatting>
  <conditionalFormatting sqref="J29">
    <cfRule type="expression" dxfId="98" priority="100">
      <formula>OR($AL29=4,$AM29=4)</formula>
    </cfRule>
  </conditionalFormatting>
  <conditionalFormatting sqref="J35">
    <cfRule type="expression" dxfId="97" priority="99">
      <formula>OR($AL35=4,$AM35=4)</formula>
    </cfRule>
  </conditionalFormatting>
  <conditionalFormatting sqref="J37">
    <cfRule type="expression" dxfId="96" priority="98">
      <formula>OR($AL37=4,$AM37=4)</formula>
    </cfRule>
  </conditionalFormatting>
  <conditionalFormatting sqref="J39">
    <cfRule type="expression" dxfId="95" priority="97">
      <formula>OR($AL39=4,$AM39=4)</formula>
    </cfRule>
  </conditionalFormatting>
  <conditionalFormatting sqref="J41">
    <cfRule type="expression" dxfId="94" priority="96">
      <formula>OR($AL41=4,$AM41=4)</formula>
    </cfRule>
  </conditionalFormatting>
  <conditionalFormatting sqref="J43">
    <cfRule type="expression" dxfId="93" priority="95">
      <formula>OR($AL43=4,$AM43=4)</formula>
    </cfRule>
  </conditionalFormatting>
  <conditionalFormatting sqref="J45">
    <cfRule type="expression" dxfId="92" priority="94">
      <formula>OR($AL45=4,$AM45=4)</formula>
    </cfRule>
  </conditionalFormatting>
  <conditionalFormatting sqref="J51">
    <cfRule type="expression" dxfId="91" priority="92">
      <formula>OR($AL51=4,$AM51=4)</formula>
    </cfRule>
  </conditionalFormatting>
  <conditionalFormatting sqref="J53">
    <cfRule type="expression" dxfId="90" priority="91">
      <formula>OR($AL53=4,$AM53=4)</formula>
    </cfRule>
  </conditionalFormatting>
  <conditionalFormatting sqref="J55">
    <cfRule type="expression" dxfId="89" priority="90">
      <formula>OR($AL55=4,$AM55=4)</formula>
    </cfRule>
  </conditionalFormatting>
  <conditionalFormatting sqref="J63">
    <cfRule type="expression" dxfId="88" priority="89">
      <formula>OR($AL63=4,$AM63=4)</formula>
    </cfRule>
  </conditionalFormatting>
  <conditionalFormatting sqref="J65">
    <cfRule type="expression" dxfId="87" priority="88">
      <formula>OR($AL65=4,$AM65=4)</formula>
    </cfRule>
  </conditionalFormatting>
  <conditionalFormatting sqref="J67">
    <cfRule type="expression" dxfId="86" priority="87">
      <formula>OR($AL67=4,$AM67=4)</formula>
    </cfRule>
  </conditionalFormatting>
  <conditionalFormatting sqref="J69">
    <cfRule type="expression" dxfId="85" priority="86">
      <formula>OR($AL69=4,$AM69=4)</formula>
    </cfRule>
  </conditionalFormatting>
  <conditionalFormatting sqref="J71">
    <cfRule type="expression" dxfId="84" priority="85">
      <formula>OR($AL71=4,$AM71=4)</formula>
    </cfRule>
  </conditionalFormatting>
  <conditionalFormatting sqref="J73">
    <cfRule type="expression" dxfId="83" priority="84">
      <formula>OR($AL73=4,$AM73=4)</formula>
    </cfRule>
  </conditionalFormatting>
  <conditionalFormatting sqref="J75">
    <cfRule type="expression" dxfId="82" priority="83">
      <formula>OR($AL75=4,$AM75=4)</formula>
    </cfRule>
  </conditionalFormatting>
  <conditionalFormatting sqref="J79">
    <cfRule type="expression" dxfId="81" priority="82">
      <formula>OR($AL79=4,$AM79=4)</formula>
    </cfRule>
  </conditionalFormatting>
  <conditionalFormatting sqref="J81">
    <cfRule type="expression" dxfId="80" priority="81">
      <formula>OR($AL81=4,$AM81=4)</formula>
    </cfRule>
  </conditionalFormatting>
  <conditionalFormatting sqref="J85">
    <cfRule type="expression" dxfId="79" priority="80">
      <formula>OR($AL85=4,$AM85=4)</formula>
    </cfRule>
  </conditionalFormatting>
  <conditionalFormatting sqref="J87">
    <cfRule type="expression" dxfId="78" priority="79">
      <formula>OR($AL87=4,$AM87=4)</formula>
    </cfRule>
  </conditionalFormatting>
  <conditionalFormatting sqref="J89">
    <cfRule type="expression" dxfId="77" priority="78">
      <formula>OR($AL89=4,$AM89=4)</formula>
    </cfRule>
  </conditionalFormatting>
  <conditionalFormatting sqref="J91">
    <cfRule type="expression" dxfId="76" priority="77">
      <formula>OR($AL91=4,$AM91=4)</formula>
    </cfRule>
  </conditionalFormatting>
  <conditionalFormatting sqref="J95">
    <cfRule type="expression" dxfId="75" priority="76">
      <formula>OR($AL95=4,$AM95=4)</formula>
    </cfRule>
  </conditionalFormatting>
  <conditionalFormatting sqref="J97">
    <cfRule type="expression" dxfId="74" priority="75">
      <formula>OR($AL97=4,$AM97=4)</formula>
    </cfRule>
  </conditionalFormatting>
  <conditionalFormatting sqref="J99">
    <cfRule type="expression" dxfId="73" priority="74">
      <formula>OR($AL99=4,$AM99=4)</formula>
    </cfRule>
  </conditionalFormatting>
  <conditionalFormatting sqref="J137">
    <cfRule type="expression" dxfId="72" priority="73">
      <formula>OR($AL137=4,$AM137=4)</formula>
    </cfRule>
  </conditionalFormatting>
  <conditionalFormatting sqref="J139">
    <cfRule type="expression" dxfId="71" priority="72">
      <formula>OR($AL139=4,$AM139=4)</formula>
    </cfRule>
  </conditionalFormatting>
  <conditionalFormatting sqref="J125">
    <cfRule type="expression" dxfId="70" priority="71">
      <formula>OR($AL125=4,$AM125=4)</formula>
    </cfRule>
  </conditionalFormatting>
  <conditionalFormatting sqref="J127">
    <cfRule type="expression" dxfId="69" priority="70">
      <formula>OR($AL127=4,$AM127=4)</formula>
    </cfRule>
  </conditionalFormatting>
  <conditionalFormatting sqref="J129">
    <cfRule type="expression" dxfId="68" priority="69">
      <formula>OR($AL129=4,$AM129=4)</formula>
    </cfRule>
  </conditionalFormatting>
  <conditionalFormatting sqref="J133">
    <cfRule type="expression" dxfId="67" priority="68">
      <formula>OR($AL133=4,$AM133=4)</formula>
    </cfRule>
  </conditionalFormatting>
  <conditionalFormatting sqref="J135">
    <cfRule type="expression" dxfId="66" priority="67">
      <formula>OR($AL135=4,$AM135=4)</formula>
    </cfRule>
  </conditionalFormatting>
  <conditionalFormatting sqref="J141">
    <cfRule type="expression" dxfId="65" priority="66">
      <formula>OR($AL141=4,$AM141=4)</formula>
    </cfRule>
  </conditionalFormatting>
  <conditionalFormatting sqref="J143">
    <cfRule type="expression" dxfId="64" priority="65">
      <formula>OR($AL143=4,$AM143=4)</formula>
    </cfRule>
  </conditionalFormatting>
  <conditionalFormatting sqref="J145">
    <cfRule type="expression" dxfId="63" priority="64">
      <formula>OR($AL145=4,$AM145=4)</formula>
    </cfRule>
  </conditionalFormatting>
  <conditionalFormatting sqref="J147">
    <cfRule type="expression" dxfId="62" priority="63">
      <formula>OR($AL147=4,$AM147=4)</formula>
    </cfRule>
  </conditionalFormatting>
  <conditionalFormatting sqref="J149">
    <cfRule type="expression" dxfId="61" priority="62">
      <formula>OR($AL149=4,$AM149=4)</formula>
    </cfRule>
  </conditionalFormatting>
  <conditionalFormatting sqref="J151">
    <cfRule type="expression" dxfId="60" priority="61">
      <formula>OR($AL151=4,$AM151=4)</formula>
    </cfRule>
  </conditionalFormatting>
  <conditionalFormatting sqref="J153">
    <cfRule type="expression" dxfId="59" priority="60">
      <formula>OR($AL153=4,$AM153=4)</formula>
    </cfRule>
  </conditionalFormatting>
  <conditionalFormatting sqref="J155">
    <cfRule type="expression" dxfId="58" priority="59">
      <formula>OR($AL155=4,$AM155=4)</formula>
    </cfRule>
  </conditionalFormatting>
  <conditionalFormatting sqref="J157">
    <cfRule type="expression" dxfId="57" priority="58">
      <formula>OR($AL157=4,$AM157=4)</formula>
    </cfRule>
  </conditionalFormatting>
  <conditionalFormatting sqref="J163">
    <cfRule type="expression" dxfId="56" priority="57">
      <formula>OR($AL163=4,$AM163=4)</formula>
    </cfRule>
  </conditionalFormatting>
  <conditionalFormatting sqref="J57">
    <cfRule type="expression" dxfId="55" priority="56">
      <formula>OR($AL57=4,$AM57=4)</formula>
    </cfRule>
  </conditionalFormatting>
  <conditionalFormatting sqref="J59">
    <cfRule type="expression" dxfId="54" priority="55">
      <formula>OR($AL59=4,$AM59=4)</formula>
    </cfRule>
  </conditionalFormatting>
  <conditionalFormatting sqref="J61">
    <cfRule type="expression" dxfId="53" priority="54">
      <formula>OR($AL61=4,$AM61=4)</formula>
    </cfRule>
  </conditionalFormatting>
  <conditionalFormatting sqref="O46:AA47">
    <cfRule type="expression" dxfId="52" priority="53">
      <formula>OR($AE46&lt;&gt;"",$AC46&lt;&gt;"",$AL46=3)</formula>
    </cfRule>
  </conditionalFormatting>
  <conditionalFormatting sqref="O47:AA47">
    <cfRule type="expression" dxfId="51" priority="52">
      <formula>OR($AL47=4,$AM47=4)</formula>
    </cfRule>
  </conditionalFormatting>
  <conditionalFormatting sqref="J49 J51">
    <cfRule type="expression" dxfId="50" priority="51">
      <formula>OR($AL49=4,$AM49=4)</formula>
    </cfRule>
  </conditionalFormatting>
  <conditionalFormatting sqref="J47">
    <cfRule type="expression" dxfId="49" priority="50">
      <formula>OR($AL47=4,$AM47=4)</formula>
    </cfRule>
  </conditionalFormatting>
  <conditionalFormatting sqref="O267:R267">
    <cfRule type="expression" dxfId="48" priority="49">
      <formula>AND($O$267="",$AN$260=0)</formula>
    </cfRule>
  </conditionalFormatting>
  <conditionalFormatting sqref="AE27 AE37 AE35 AE31 AE25 AE79 AE81 AE43 AE75 AE71 AE69 AE67 AE65 AE61 AE55 AE53 AE49 AE45 AE87 AE97 AE95 AE85 AE91 AE89 AE125 AE129 AE127 AE137 AE145 AE143 AE141 AE139 AE163 AE161 AE159 AE157 AE155 AE153 AE151 AE149 AE147 AE165 AE173 AE169 AE171 AE177 AE197 AE193 AE191 AE189 AE185 AE183 AE181 AE179 AE229 AE221 AE219 AE217 AE215 AE213 AE211 AE209 AE207 AE205 AE243 AE241 AE239 AE237 AE235 AE233 AE231 AE257 AE255 AE251 AE249 AE247 AE133 AE135 AE99 AE73 AE51 AE63 AE253 AE57 AE29 AE39 AE41 AE47 AE59 AE199 AE201 AE223 AE225 AE117 AE115 AE113 AE109 AE107 AE105 AE111 AE119 AE121">
    <cfRule type="expression" dxfId="47" priority="44">
      <formula>AND($AN25=2,$AE25="")</formula>
    </cfRule>
    <cfRule type="expression" dxfId="46" priority="45">
      <formula>AND($AN25=1,$AE25="")</formula>
    </cfRule>
    <cfRule type="expression" dxfId="45" priority="46">
      <formula>$AN25=4</formula>
    </cfRule>
    <cfRule type="expression" dxfId="44" priority="47">
      <formula>$AN25=3</formula>
    </cfRule>
    <cfRule type="expression" dxfId="43" priority="48">
      <formula>$AN25=0</formula>
    </cfRule>
  </conditionalFormatting>
  <conditionalFormatting sqref="J201">
    <cfRule type="expression" dxfId="42" priority="43">
      <formula>OR($AL201=4,$AM201=4)</formula>
    </cfRule>
  </conditionalFormatting>
  <conditionalFormatting sqref="O21:AA21">
    <cfRule type="expression" dxfId="41" priority="42">
      <formula>OR($AE21&lt;&gt;"",$AC21&lt;&gt;"",$AL21=3)</formula>
    </cfRule>
  </conditionalFormatting>
  <conditionalFormatting sqref="O21:AA21">
    <cfRule type="expression" dxfId="40" priority="41">
      <formula>OR($AL21=4,$AM21=4)</formula>
    </cfRule>
  </conditionalFormatting>
  <conditionalFormatting sqref="AE21">
    <cfRule type="expression" dxfId="39" priority="36">
      <formula>AND($AN21=2,$AE21="")</formula>
    </cfRule>
    <cfRule type="expression" dxfId="38" priority="37">
      <formula>AND($AN21=1,$AE21="")</formula>
    </cfRule>
    <cfRule type="expression" dxfId="37" priority="38">
      <formula>$AN21=4</formula>
    </cfRule>
    <cfRule type="expression" dxfId="36" priority="39">
      <formula>$AN21=3</formula>
    </cfRule>
    <cfRule type="expression" dxfId="35" priority="40">
      <formula>$AN21=0</formula>
    </cfRule>
  </conditionalFormatting>
  <conditionalFormatting sqref="O23:AA23">
    <cfRule type="expression" dxfId="34" priority="35">
      <formula>OR($AE23&lt;&gt;"",$AC23&lt;&gt;"",$AL23=3)</formula>
    </cfRule>
  </conditionalFormatting>
  <conditionalFormatting sqref="O23:AA23">
    <cfRule type="expression" dxfId="33" priority="34">
      <formula>OR($AL23=4,$AM23=4)</formula>
    </cfRule>
  </conditionalFormatting>
  <conditionalFormatting sqref="AE23">
    <cfRule type="expression" dxfId="32" priority="29">
      <formula>AND($AN23=2,$AE23="")</formula>
    </cfRule>
    <cfRule type="expression" dxfId="31" priority="30">
      <formula>AND($AN23=1,$AE23="")</formula>
    </cfRule>
    <cfRule type="expression" dxfId="30" priority="31">
      <formula>$AN23=4</formula>
    </cfRule>
    <cfRule type="expression" dxfId="29" priority="32">
      <formula>$AN23=3</formula>
    </cfRule>
    <cfRule type="expression" dxfId="28" priority="33">
      <formula>$AN23=0</formula>
    </cfRule>
  </conditionalFormatting>
  <conditionalFormatting sqref="J25">
    <cfRule type="expression" dxfId="27" priority="28">
      <formula>OR($AL25=4,$AM25=4)</formula>
    </cfRule>
  </conditionalFormatting>
  <conditionalFormatting sqref="J23">
    <cfRule type="expression" dxfId="26" priority="27">
      <formula>OR($AL23=4,$AM23=4)</formula>
    </cfRule>
  </conditionalFormatting>
  <conditionalFormatting sqref="J21">
    <cfRule type="expression" dxfId="25" priority="26">
      <formula>OR($AL21=4,$AM21=4)</formula>
    </cfRule>
  </conditionalFormatting>
  <conditionalFormatting sqref="O103:AA103 O105:AA121">
    <cfRule type="expression" dxfId="24" priority="25">
      <formula>OR($AE103&lt;&gt;"",$AC103&lt;&gt;"",$AL103=3)</formula>
    </cfRule>
  </conditionalFormatting>
  <conditionalFormatting sqref="O105:AA105 O121:AA121 O107:AA107 O103:AA103 O111:AA111 O113:AA113 O115:AA115 O117:AA117 O119:AA119 O109:AA109">
    <cfRule type="expression" dxfId="23" priority="24">
      <formula>OR($AN103=4,$AM103=4)</formula>
    </cfRule>
  </conditionalFormatting>
  <conditionalFormatting sqref="J120">
    <cfRule type="expression" dxfId="22" priority="23">
      <formula>OR($AL120=4,$AM120=4)</formula>
    </cfRule>
  </conditionalFormatting>
  <conditionalFormatting sqref="J118">
    <cfRule type="expression" dxfId="21" priority="22">
      <formula>OR($AL118=4,$AM118=4)</formula>
    </cfRule>
  </conditionalFormatting>
  <conditionalFormatting sqref="J110">
    <cfRule type="expression" dxfId="20" priority="21">
      <formula>OR($AL110=4,$AM110=4)</formula>
    </cfRule>
  </conditionalFormatting>
  <conditionalFormatting sqref="AC113 AC115 AC117 AC107 AC111 AC119 AC121">
    <cfRule type="expression" dxfId="19" priority="18">
      <formula>$AN107=2</formula>
    </cfRule>
    <cfRule type="expression" dxfId="18" priority="19">
      <formula>AND($AN107=0,$AC107="")</formula>
    </cfRule>
    <cfRule type="expression" dxfId="17" priority="20">
      <formula>$AN107=3</formula>
    </cfRule>
  </conditionalFormatting>
  <conditionalFormatting sqref="J103">
    <cfRule type="expression" dxfId="16" priority="17">
      <formula>OR($AL103=4,$AM103=4)</formula>
    </cfRule>
  </conditionalFormatting>
  <conditionalFormatting sqref="J105">
    <cfRule type="expression" dxfId="15" priority="16">
      <formula>OR($AL105=4,$AM105=4)</formula>
    </cfRule>
  </conditionalFormatting>
  <conditionalFormatting sqref="J107">
    <cfRule type="expression" dxfId="14" priority="15">
      <formula>OR($AL107=4,$AM107=4)</formula>
    </cfRule>
  </conditionalFormatting>
  <conditionalFormatting sqref="J109">
    <cfRule type="expression" dxfId="13" priority="14">
      <formula>OR($AL109=4,$AM109=4)</formula>
    </cfRule>
  </conditionalFormatting>
  <conditionalFormatting sqref="J111">
    <cfRule type="expression" dxfId="12" priority="13">
      <formula>OR($AL111=4,$AM111=4)</formula>
    </cfRule>
  </conditionalFormatting>
  <conditionalFormatting sqref="J113">
    <cfRule type="expression" dxfId="11" priority="12">
      <formula>OR($AL113=4,$AM113=4)</formula>
    </cfRule>
  </conditionalFormatting>
  <conditionalFormatting sqref="J115">
    <cfRule type="expression" dxfId="10" priority="11">
      <formula>OR($AL115=4,$AM115=4)</formula>
    </cfRule>
  </conditionalFormatting>
  <conditionalFormatting sqref="J117">
    <cfRule type="expression" dxfId="9" priority="10">
      <formula>OR($AL117=4,$AM117=4)</formula>
    </cfRule>
  </conditionalFormatting>
  <conditionalFormatting sqref="J119">
    <cfRule type="expression" dxfId="8" priority="9">
      <formula>OR($AL119=4,$AM119=4)</formula>
    </cfRule>
  </conditionalFormatting>
  <conditionalFormatting sqref="J121">
    <cfRule type="expression" dxfId="7" priority="8">
      <formula>OR($AL121=4,$AM121=4)</formula>
    </cfRule>
  </conditionalFormatting>
  <conditionalFormatting sqref="AE103">
    <cfRule type="expression" dxfId="6" priority="3">
      <formula>AND($AN103=2,$AE103="")</formula>
    </cfRule>
    <cfRule type="expression" dxfId="5" priority="4">
      <formula>AND($AN103=1,$AE103="")</formula>
    </cfRule>
    <cfRule type="expression" dxfId="4" priority="5">
      <formula>$AN103=4</formula>
    </cfRule>
    <cfRule type="expression" dxfId="3" priority="6">
      <formula>$AN103=3</formula>
    </cfRule>
    <cfRule type="expression" dxfId="2" priority="7">
      <formula>$AN103=0</formula>
    </cfRule>
  </conditionalFormatting>
  <conditionalFormatting sqref="Q3:U3">
    <cfRule type="expression" dxfId="1" priority="190">
      <formula>#REF!&lt;&gt;""</formula>
    </cfRule>
    <cfRule type="expression" dxfId="0" priority="191">
      <formula>$N$260&lt;&gt;""</formula>
    </cfRule>
  </conditionalFormatting>
  <dataValidations count="14">
    <dataValidation type="whole" allowBlank="1" showInputMessage="1" showErrorMessage="1" error="Para numerar este item, todos os itens anteriores devem estar numerados._x000a__x000a_Número atribuído deve ser maior que o do item anterior e menor que dos itens posteriores." sqref="AE257 AE255 AE253 AE251 AE249 AE247 AE243 AE241 AE239 AE237 AE235 AE233 AE231 AE229 AE225 AE223 AE221 AE219 AE217 AE215 AE213 AE211 AE209 AE207 AE205 AE201 AE199 AE197 AE193 AE191 AE189 AE185 AE183 AE181 AE179 AE177 AE173 AE171 AE169 AE165 AE163 AE161 AE159 AE157 AE155 AE153 AE151 AE149 AE147 AE145 AE143 AE141 AE139 AE137 AE135 AE133 AE129 AE127 AE125 AE121 AE119 AE117 AE115 AE113 AE111 AE109 AE107 AE105 AE103 AE99 AE97 AE95 AE91 AE89 AE87 AE85 AE81 AE79 AE75 AE73 AE71 AE69 AE67 AE65 AE63 AE61 AE59 AE57 AE55 AE53 AE51 AE49 AE47 AE45 AE43 AE41 AE39 AE37 AE35 AE31 AE29 AE27 AE25 AE23">
      <formula1>$AX23</formula1>
      <formula2>$AY23</formula2>
    </dataValidation>
    <dataValidation type="whole" operator="equal" allowBlank="1" showInputMessage="1" showErrorMessage="1" error="Para inserir o número das páginas, todos os dados do proponente/proposta devem estar preenchidos." sqref="AE21">
      <formula1>AP15</formula1>
    </dataValidation>
    <dataValidation type="list" allowBlank="1" showInputMessage="1" showErrorMessage="1" sqref="AC257 AC107 AC111 AC113 AC115 AC117 AC119 AC121 AC39 AC41 AC43 AC47 AC51 AC53 AC55 AC59 AC61 AC63 AC65 AC67 AC69 AC71 AC73 AC77 AC85 AC91 AC93 AC95 AC97 AC99 AC101 AC123 AC129 AC131 AC135 AC147 AC155 AC157 AC167 AC169 AC173 AC175 AC187 AC189 AC191 AC193 AC195 AC199 AC203 AC211 AC217 AC219 AC221 AC227 AC245 AC249 AC251 AC253 AC255">
      <formula1>$AO39</formula1>
    </dataValidation>
    <dataValidation type="whole" allowBlank="1" showInputMessage="1" showErrorMessage="1" sqref="AE28 AE30 AE102 AE36 AE38 AE40 AE42 AE44 AE46 AE48 AE50 AE52 AE54 AE56 AE58 AE60 AE62 AE64 AE66 AE68 AE70 AE72 AE74 AE34 AE80 AE78 AE86 AE88 AE90 AE84 AE96 AE98 AE126 AE128 AE124 AE134 AE136 AE138 AE140 AE142 AE144 AE146 AE148 AE150 AE152 AE154 AE156 AE158 AE160 AE162 AE164 AE256 AE132 AE170 AE172 AE168 AE178 AE180 AE182 AE184 AE176 AE190 AE192 AE188 AE198 AE196 AE206 AE208 AE210 AE212 AE214 AE216 AE218 AE220 AE222 AE204 AE230 AE232 AE234 AE236 AE238 AE240 AE242 AE228 AE248 AE250 AE252 AE254 AE94 AE104 AE106 AE108 AE110 AE112 AE114 AE116 AE118 AE120 AE32 AE76 AE82 AE92 AE100 AE122 AE130 AE166 AE174 AE186 AE194 AE202 AE226 AE244 AE246">
      <formula1>$AV28</formula1>
      <formula2>$AW28</formula2>
    </dataValidation>
    <dataValidation allowBlank="1" showInputMessage="1" showErrorMessage="1" prompt="Indicar o nome do projetista." sqref="O267:R267"/>
    <dataValidation type="custom" allowBlank="1" showInputMessage="1" showErrorMessage="1" error="Campo par킠₏_x0000__x0000_y_x0000__x0013__x0010__x0000__x0000_㿿_x0000_￬_xffff__x0000__x0000_do Banco." prompt="Campo para uso exclusivo do Banco." sqref="AG257 AG25 AG45 AG39 AG41 AG27 AG37 AG29 AG47 AG49 AG43 AG35 AG31 AG21 AG23 AG165 AG163 AG161 AG159 AG157 AG155 AG153 AG151 AG149 AG135 AG133 AG147 AG145 AG143 AG141 AG139 AG137 AG129 AG127 AG125 AG117 AG103 AG105 AG107 AG115 AG121 AG111 AG119 AG113 AG109 AG59 AG55 AG53 AG57 AG65 AG67 AG73 AG69 AG63 AG75 AG79 AG81 AG85 AG87 AG89 AG91 AG95 AG97 AG51 AG71 AG99 AG61 AG253 AG255 AG249 AG247 AG251 AG225 AG223 AG199 AG239 AG237 AG235 AG233 AG231 AG229 AG201 AG221 AG219 AG217 AG215 AG213 AG211 AG209 AG207 AG205 AG197 AG193 AG191 AG189 AG185 AG183 AG181 AG179 AG177 AG173 AG171 AG169 AG243 AG241">
      <formula1>""</formula1>
    </dataValidation>
    <dataValidation allowBlank="1" showInputMessage="1" showErrorMessage="1" promptTitle="Página" prompt="Documentação deve ser organizada e numerada na sequência conforme abaixo, indicando no respectivo campo o número de página atribuído a cada documento." sqref="AE17"/>
    <dataValidation type="custom" allowBlank="1" showInputMessage="1" showErrorMessage="1" promptTitle="Prejudicado" prompt="Campo para a indicação de que o documento relacionado ao item não se aplica a condição do proponente/proposta." sqref="AC17">
      <formula1>"Prej"</formula1>
    </dataValidation>
    <dataValidation type="custom" allowBlank="1" showInputMessage="1" showErrorMessage="1" promptTitle="V.B." prompt="Campo para Validação do documento pelo Banco. (confirmação se documento está legível, se contém assinatura, etc.)_x000a_" sqref="AG17">
      <formula1>"V.B."</formula1>
    </dataValidation>
    <dataValidation type="whole" operator="greaterThan" allowBlank="1" showInputMessage="1" showErrorMessage="1" error="Preencher com o número referente a página do documento." sqref="AE26">
      <formula1>0</formula1>
    </dataValidation>
    <dataValidation type="list" allowBlank="1" showInputMessage="1" showErrorMessage="1" sqref="AC26">
      <formula1>"X"</formula1>
    </dataValidation>
    <dataValidation type="list" allowBlank="1" showInputMessage="1" showErrorMessage="1" sqref="O15:X15">
      <formula1>"Fixo,Semi-fixo,Fixo e Semi-fixo"</formula1>
    </dataValidation>
    <dataValidation type="decimal" operator="greaterThan" allowBlank="1" showInputMessage="1" showErrorMessage="1" sqref="AA15:AG15">
      <formula1>0</formula1>
    </dataValidation>
    <dataValidation allowBlank="1" showInputMessage="1" showErrorMessage="1" error="Nº inserido não é válido!" sqref="V9:Z9"/>
  </dataValidations>
  <hyperlinks>
    <hyperlink ref="O35:AA35" location="'Orientações Não Rural PJ Proj'!D42:D47" tooltip="Ver orientação relacionada ao ítem" display="Levantamentos extra-contábeis ou Balanço do último exercício e Balancete com DRE;"/>
    <hyperlink ref="O79:AA79" location="Balanço_Analítico_do_último_exercício_e_Balancete_com_DRE_das_Empresas_coligadas" tooltip="Ver orientação relacionada ao item" display="Levantamentos extra-contábeis ou Balanço do último exercício e Balancete com DRE;"/>
    <hyperlink ref="O123:AA123" location="'Orientações PJ Proj FDA'!Se_proposta_de_financiamento_contemplar_aquisição_de_máquinas_equipamentos_móveis_veículos" tooltip="Ver orientação relacionada ao item" display="Se proposta de financiamento contemplar aquisição de máquinas, equipamentos, móveis e/ou veículos:"/>
    <hyperlink ref="O125:AA125" location="'Orientações Não Rural PJ Proj'!D240:D245" tooltip="Ver orientação relacionada ao ítem" display="Propostas de fornecimento;"/>
    <hyperlink ref="O127:AA127" location="'Orientações Não Rural PJ Proj'!D246:D251" tooltip="Ver orientação relacionada ao ítem" display="Catálogos/Folder's; (do fabricante)"/>
    <hyperlink ref="O129:AA129" location="'Orientações PJ Proj FDA'!Layout_das_máquinas_e_equipamentos" tooltip="Ver orientação relacionada ao item" display="'Orientações PJ Proj FDA'!Layout_das_máquinas_e_equipamentos"/>
    <hyperlink ref="O27:AA27" location="'Orientações Não Rural PJ Proj'!D18:D23" tooltip="Ver orientação relacionada ao ítem" display="Cronograma físico-financeiro do empreendimento;"/>
    <hyperlink ref="O55:AA55" location="Justificativa_das_Ações_Trabalhistas_em_julgamento_e_documentos_onde_conste__fase_e_valores_atualizados" tooltip="Ver orientação relacionada ao item" display="Justificativa_das_Ações_Trabalhistas_em_julgamento_e_documentos_onde_conste__fase_e_valores_atualizados"/>
    <hyperlink ref="O31:AA31" location="'Orientações Não Rural PJ Proj'!D24:D29" tooltip="Ver orientação relacionada ao ítem" display="Contrato de prestação de serviços entre proponente e assistência técnica/projetista;"/>
    <hyperlink ref="O131:AA131" location="'Orientações PJ Proj FDA'!Se_proposta_de_financiamento_contemplar_edificação" tooltip="Ver orientação relacionada ao item" display="Se proposta de financiamento contemplar edificação:"/>
    <hyperlink ref="O153:AA153" location="Projetos_arquitetônico_das_construções_civis_a_realizar" tooltip="Ver orientação relacionada ao item" display="Projetos Arquitetônicos;"/>
    <hyperlink ref="O151:AA151" location="'Orientações Não Rural PJ Proj'!D318:D323" tooltip="Ver orientação relacionada ao ítem" display="Planta de Localização/Situação;"/>
    <hyperlink ref="O155:AA155" location="'Orientações PJ Proj FDA'!Projeto_da_Fundação" tooltip="Ver orientação relacionada ao item" display="'Orientações PJ Proj FDA'!Projeto_da_Fundação"/>
    <hyperlink ref="O157:AA157" location="'Orientações PJ Proj FDA'!Projeto_Estrutural" tooltip="Ver orientação relacionada ao item" display="'Orientações PJ Proj FDA'!Projeto_Estrutural"/>
    <hyperlink ref="O159:AA159" location="Projeto_Hidrossanitário" tooltip="Ver orientação relacionada ao item" display="Projeto Hidrossanitário;"/>
    <hyperlink ref="O161:AA161" location="Projeto_Elétrico" tooltip="Ver orientação relacionada ao item" display="Projeto Elétrico;"/>
    <hyperlink ref="O163:AA163" location="Projeto_Combate_a_Incêndio" tooltip="Ver orientação relacionada ao item" display="Projeto de Combate a Incêndio;"/>
    <hyperlink ref="O145:AA145" location="'Orientações Não Rural PJ Proj'!D288:D293" tooltip="Ver orientação relacionada ao ítem" display="ART dos projetos de edificação;"/>
    <hyperlink ref="O139:AA139" location="'Orientações Não Rural PJ Proj'!D270:D275" tooltip="Ver orientação relacionada ao ítem" display="Memorial descritivo;"/>
    <hyperlink ref="O141:AA141" location="'Orientações Não Rural PJ Proj'!D276:D281" tooltip="Ver orientação relacionada ao ítem" display="Cronograma físico-financeiro;"/>
    <hyperlink ref="O137:AA137" location="'Orientações Não Rural PJ Proj'!D264:D269" tooltip="Ver orientação relacionada ao ítem" display="Orçamento detalhado; (impresso e em formato digital editável)"/>
    <hyperlink ref="O133:AA133" location="'Orientações Não Rural PJ Proj'!D300:D305" tooltip="Ver orientação relacionada ao ítem" display="Alvará de Construção; "/>
    <hyperlink ref="O147:AA147" location="ART_da_Execução_da_Obra" tooltip="Ver orientação relacionada ao item" display="ART_da_Execução_da_Obra"/>
    <hyperlink ref="O93:AA93" location="'Orientações PJ Proj FDA'!Se_oferecido_Garantias_pré_existentes" tooltip="Ver orientação relacionada ao item" display="Se oferecido Garantias pré-existentes:"/>
    <hyperlink ref="O95:AA95" location="'Orientações PJ Proj FDA'!Laudo_de_Avaliação___das_garantias" tooltip="Ver orientação relacionada ao item" display="'Orientações PJ Proj FDA'!Laudo_de_Avaliação___das_garantias"/>
    <hyperlink ref="O97:AA97" location="'Orientações PJ Proj FDA'!ART_do_Laudo_de_Avaliação" tooltip="Ver orientação relacionada ao item" display="'Orientações PJ Proj FDA'!ART_do_Laudo_de_Avaliação"/>
    <hyperlink ref="O167:AA167" location="'Orientações PJ Proj FDA'!Se_Indústria_de_Beneficiamento_de_Madeira" tooltip="Ver orientação relacionada ao item" display="Se Indústria de Beneficiamento de Madeira:"/>
    <hyperlink ref="O175:AA175" location="'Orientações PJ Proj FDA'!Se_Indústria_Mineral" tooltip="Ver orientação relacionada ao item" display="Se Indústria Mineral:"/>
    <hyperlink ref="O177:AA177" location="'Orientações Não Rural PJ Proj'!D432:D437" tooltip="Ver orientação relacionada ao ítem" display="Portaria de Lavra, com prova de respectiva transcrição do DNPM;"/>
    <hyperlink ref="O179:AA179" location="'Orientações Não Rural PJ Proj'!D438:D443" tooltip="Ver orientação relacionada ao ítem" display="Projeto aprovado pelo DNPM;"/>
    <hyperlink ref="O181:AA181" location="'Orientações Não Rural PJ Proj'!D444:D449" tooltip="Ver orientação relacionada ao ítem" display="Licença expedida pela autoridade administrativa do município de localização da jazida - com registro no DNPM;"/>
    <hyperlink ref="O183:AA183" location="'Orientações Não Rural PJ Proj'!D456:D461" tooltip="Ver orientação relacionada ao ítem" display="Estudos geológicos sobre a jazida;"/>
    <hyperlink ref="O185:AA185" location="'Orientações Não Rural PJ Proj'!D462:D467" tooltip="Ver orientação relacionada ao ítem" display="Testes laboratoriais sobre o mineral;"/>
    <hyperlink ref="O189:AA189" location="Aprovação_do_Projeto_pelo_MAPA_ANVISA_ou_entidades_delegadas_conveniadas" tooltip="Ver orientação relacionada ao item" display="Aprovação_do_Projeto_pelo_MAPA_ANVISA_ou_entidades_delegadas_conveniadas"/>
    <hyperlink ref="O193:AA193" location="'Orientações PJ Proj FDA'!SIF_ou_SIE_ou_SIM" tooltip="Ver orientação relacionada ao item" display="'Orientações PJ Proj FDA'!SIF_ou_SIE_ou_SIM"/>
    <hyperlink ref="O251:AA251" location="'Orientações PJ Proj FDA'!Autorização_da_ANP" tooltip="Ver orientação relacionada ao item" display="'Orientações PJ Proj FDA'!Autorização_da_ANP"/>
    <hyperlink ref="O195:AA195" location="'Orientações PJ Proj FDA'!Se_Empresa_de_Transportes_Aquaviário" tooltip="Ver orientação relacionada ao item" display="Se Empresa de Transporte Aquaviário:"/>
    <hyperlink ref="O205:AA205" location="'Orientações Não Rural PJ Proj'!D528:D533" tooltip="Ver orientação relacionada ao ítem" display="Licença da Embarcação;"/>
    <hyperlink ref="O197:AA197" location="'Orientações Não Rural PJ Proj'!D510:D515" tooltip="Ver orientação relacionada ao ítem" display="Autorização da ANTAQ;"/>
    <hyperlink ref="O165:AA165" location="Projeto_do_Sistema_de_Proteção_Contra_Descargas_Atmosféricas" tooltip="Ver orientação relacionada ao item" display="Projeto do Sistema de Proteção Contra Descargas Atmosféricas."/>
    <hyperlink ref="O143:AA143" location="'Orientações Não Rural PJ Proj'!D282:D287" tooltip="Ver orientação relacionada ao ítem" display="ART do Orçamento, Memorial Descritivo e Cronograma físico-financeiro;"/>
    <hyperlink ref="O187:AA187" location="'Orientações PJ Proj FDA'!Se_indústria_Alimentícia" tooltip="Ver orientação relacionada ao item" display="Se Indústria Alimentícia:"/>
    <hyperlink ref="O245:AA245" location="'Orientações PJ Proj FDA'!Se_Empresa_de_Transporte_Terrestre" tooltip="Ver orientação relacionada ao item" display="Se Empresa de Transporte Terrestre:"/>
    <hyperlink ref="O53:AA53" location="'Orientações PJ Proj FDA'!Certidão_Negativa_de_Débitos_Trabalhistas___TST" tooltip="Ver orientação relacionada ao ítem" display="'Orientações PJ Proj FDA'!Certidão_Negativa_de_Débitos_Trabalhistas___TST"/>
    <hyperlink ref="O57:AA57" location="Cadastro_Nacional_de_Empresas_Inidôneas_e_Suspensas__CEIS" tooltip="Ver orientação relacionada ao item" display="Cadastro Nacional de Empresas Inidôneas e Suspensas (CEIS);"/>
    <hyperlink ref="O65:AA65" location="'Orientações PJ Proj FDA'!Certificado_de_Empreendimento_Implantado" tooltip="Ver orientação relacionada ao item" display="'Orientações PJ Proj FDA'!Certificado_de_Empreendimento_Implantado"/>
    <hyperlink ref="O149:AA149" location="'Orientações Não Rural PJ Proj'!D312:D317" tooltip="Ver orientação relacionada ao ítem" display="Layout das construções civis;"/>
    <hyperlink ref="O135:AA135" location="'Orientações PJ Proj FDA'!Cadastro_Específico_do_INSS__CEI___referente_à_matrícula_da_obra" tooltip="Ver orientação relacionada ao item" display="'Orientações PJ Proj FDA'!Cadastro_Específico_do_INSS__CEI___referente_à_matrícula_da_obra"/>
    <hyperlink ref="O169:AA169" location="'Orientações PJ Proj FDA'!Contrato_firmado_com_os_fornecedores" tooltip="Ver orientação relacionada ao item" display="'Orientações PJ Proj FDA'!Contrato_firmado_com_os_fornecedores"/>
    <hyperlink ref="O171:AA171" location="'Orientações Não Rural PJ Proj'!D414:D419" tooltip="Ver orientação relacionada ao ítem" display="Autorização de exploração florestal - AUTEF;"/>
    <hyperlink ref="O173:AA173" location="'Orientações PJ Proj FDA'!Declaração_de_Origem_Florestal___DOF" tooltip="Ver orientação relacionada ao item" display="'Orientações PJ Proj FDA'!Declaração_de_Origem_Florestal___DOF"/>
    <hyperlink ref="O191:AA191" location="Autorização_do_MAPA_ANVISA_ou_entidades_delegadas_conveniadas___se_em_operação" tooltip="Ver orientação relacionada ao item" display="Autorização_do_MAPA_ANVISA_ou_entidades_delegadas_conveniadas___se_em_operação"/>
    <hyperlink ref="O199:AA199" location="Autorização_Ambiental_de_Transporte_Interestadual_de_Produtos_Perigosos3" tooltip="Ver orientação relacionada ao item" display="Autorização_Ambiental_de_Transporte_Interestadual_de_Produtos_Perigosos3"/>
    <hyperlink ref="O207:AA207" location="'Orientações Não Rural PJ Proj'!D540:D545" tooltip="Ver orientação relacionada ao ítem" display="Título de propriedade registrado no TM (se AB maior que 100), ou na Capitania dos Portos (se AB maior que 100);"/>
    <hyperlink ref="O209:AA209" location="'Orientações Não Rural PJ Proj'!D546:D551" tooltip="Ver orientação relacionada ao ítem" display="Certidão negativa de ônus sobre a embarcação - fornecida pelo Tribunal Marítimo (TM);"/>
    <hyperlink ref="O211:AA211" location="'Orientações PJ Proj FDA'!Certificado_de_Segurança_da_Navegação__CSN" tooltip="Ver orientação relacionada ao item" display="'Orientações PJ Proj FDA'!Certificado_de_Segurança_da_Navegação__CSN"/>
    <hyperlink ref="O213:AA213" location="'Orientações Não Rural PJ Proj'!D564:D569" tooltip="Ver orientação relacionada ao ítem" display="Termo de Vistoria em Seco e Termo de Vistoria Flutuando;"/>
    <hyperlink ref="O215:AA215" location="'Orientações Não Rural PJ Proj'!D570:D575" tooltip="Ver orientação relacionada ao ítem" display="Seguro Obrigatório da embarcação;"/>
    <hyperlink ref="O217:AA217" location="'Orientações PJ Proj FDA'!Certificado_de_Classificação_de_Casco_e_Estrutura" tooltip="Ver orientação relacionada ao item" display="'Orientações PJ Proj FDA'!Certificado_de_Classificação_de_Casco_e_Estrutura"/>
    <hyperlink ref="O219:AA219" location="'Orientações PJ Proj FDA'!Certificado_de_Classificação_de_Máquinas__Equipamentos_e_Eletricidade" tooltip="Ver orientação relacionada ao item" display="'Orientações PJ Proj FDA'!Certificado_de_Classificação_de_Máquinas__Equipamentos_e_Eletricidade"/>
    <hyperlink ref="O221:AA221" location="'Orientações PJ Proj FDA'!Autorização_para_transporte_de_carga_na_navegação_interior_de_percurso_longitudinal_interestadual_internacional" tooltip="Ver orientação relacionada ao item" display="'Orientações PJ Proj FDA'!Autorização_para_transporte_de_carga_na_navegação_interior_de_percurso_longitudinal_interestadual_internacional"/>
    <hyperlink ref="O223:AA223" location="Certificado_de_Armador_emitido_pelo_Tribunal_Marítimo" tooltip="Ver orientação relacionada ao item" display="Certificado de Armador emitido pelo Tribunal Marítimo."/>
    <hyperlink ref="O227:AA227" location="Se_embarcações_a_serem_construídas" tooltip="Ver orientação relacionada ao item" display="Se Embarcação a Ser Construída"/>
    <hyperlink ref="O229:AA229" location="'Orientações Não Rural PJ Proj'!D606:D611" tooltip="Ver orientação relacionada ao ítem" display="Projeto e ART para embarcação a ser construída e objeto do financiamento;"/>
    <hyperlink ref="O231:AA231" location="'Orientações Não Rural PJ Proj'!D612:D617" tooltip="Ver orientação relacionada ao ítem" display="Proposta/orçamento de construção por estaleiro;"/>
    <hyperlink ref="O233:AA233" location="'Orientações Não Rural PJ Proj'!D618:D623" tooltip="Ver orientação relacionada ao ítem" display="Contrato ou proposta de construção da embarcação entre armador e a empresa construtora/estaleiro;"/>
    <hyperlink ref="O235:AA235" location="'Orientações Não Rural PJ Proj'!D624:D629" tooltip="Ver orientação relacionada ao ítem" display="Licença de Operação vigente da empresa construtora/estaleiro;"/>
    <hyperlink ref="O237:AA237" location="'Orientações Não Rural PJ Proj'!D630:D635" tooltip="Ver orientação relacionada ao ítem" display="Registro da empresa estaleiro/construtor no CREA;"/>
    <hyperlink ref="O239:AA239" location="'Orientações Não Rural PJ Proj'!D636:D641" tooltip="Ver orientação relacionada ao ítem" display="Comprovante de quitação de anuidade junto ao CREA;"/>
    <hyperlink ref="O241:AA241" location="'Orientações Não Rural PJ Proj'!D642:D647" tooltip="Ver orientação relacionada ao ítem" display="Contrato entre estaleiro construtor e empresa Certificadora das Normas da Autoridade Marítima;"/>
    <hyperlink ref="O243:AA243" location="'Orientações Não Rural PJ Proj'!D648:D653" tooltip="Ver orientação relacionada ao ítem" display="Proposta de seguro de construção a ser contratado pelo estaleiro construtor;"/>
    <hyperlink ref="O247:AA247" location="'Orientações Não Rural PJ Proj'!D714:D719" tooltip="Ver orientação relacionada ao ítem" display="Autorização da ANTT;"/>
    <hyperlink ref="O249:AA249" location="'Orientações PJ Proj FDA'!Autorização_Ambiental_de_Transporte_Interestadual_de_Produtos_Perigosos" tooltip="Ver orientação relacionada ao item" display="'Orientações PJ Proj FDA'!Autorização_Ambiental_de_Transporte_Interestadual_de_Produtos_Perigosos"/>
    <hyperlink ref="O255:AA255" location="'Orientações PJ Proj FDA'!Aprovação_do_projeto_arquitetônico_pela_ANVISA" tooltip="Ver orientação relacionada ao item" display="'Orientações PJ Proj FDA'!Aprovação_do_projeto_arquitetônico_pela_ANVISA"/>
    <hyperlink ref="O257:AA257" location="'Orientações PJ Proj FDA'!Certificado_de_cadastramento_do_Ministério_do_Turismo" tooltip="Ver orientação relacionada ao item" display="'Orientações PJ Proj FDA'!Certificado_de_cadastramento_do_Ministério_do_Turismo"/>
    <hyperlink ref="O203:AA203" location="'Orientações PJ Proj FDA'!Se_embarcação_existente" tooltip="Ver orientação relacionada ao item" display="Se Embarcação Existente:"/>
    <hyperlink ref="O81:AA81" location="Ato_constitutivo_da_sociedade_e_suas_modificações_das_coligadas" tooltip="Ver orientação relacionada ao item" display="Ato constitutivo da sociedade e suas modificações das coligadas;"/>
    <hyperlink ref="O75:AA75" location="Certidão_que_comprove_a_propriedade_ou_Contrato_de_arrendamento_aluguel___do_imóvel_onde_opera" tooltip="Ver orientação relacionada ao ítem" display="Certidão que comprove a propriedade ou Contrato de arrendamento/aluguel - do imóvel onde opera."/>
    <hyperlink ref="O37:AA37" location="Ato_constitutivo_da_sociedade_e_suas_modificações_ou_Requerimento_de_Empresário_Individual" tooltip="Ver orientação relacionada ao ítem" display="Ato constitutivo da sociedade e suas modificações ou Requerimento de Empresário Individual;"/>
    <hyperlink ref="O77:AA77" location="'Orientações PJ Proj FDA'!Das_Coligadas" tooltip="Ver orientação relacionada ao item" display="Das Coligadas:"/>
    <hyperlink ref="O73:AA73" location="'Orientações PJ Proj FDA'!Declaração_quanto_a_regularidade_para_com_a_CVM_e_Fundos_Constitucionais_de_Financ._Invest." tooltip="Ver orientação relacionada ao item" display="'Orientações PJ Proj FDA'!Declaração_quanto_a_regularidade_para_com_a_CVM_e_Fundos_Constitucionais_de_Financ._Invest."/>
    <hyperlink ref="O67:AA67" location="Declaração_de_Regularidade_da_Situação_junto_a_SUDAM__fornecida_pelo_Banco_da_Amazônia" tooltip="Ver orientação relacionada ao item" display="Declaração_de_Regularidade_da_Situação_junto_a_SUDAM__fornecida_pelo_Banco_da_Amazônia"/>
    <hyperlink ref="O69:AA69" location="Declaração_de_Regularidade_da_Situação_junto_à_Comissão_de_Valores_Mobiliários___fornecidas_pela_CVM" tooltip="Ver orientação relacionada ao item" display="Declaração_de_Regularidade_da_Situação_junto_à_Comissão_de_Valores_Mobiliários___fornecidas_pela_CVM"/>
    <hyperlink ref="O71:AA71" location="'Orientações PJ Proj FDA'!Declaração_do_BNDES" tooltip="Ver orientação relacionada ao item" display="'Orientações PJ Proj FDA'!Declaração_do_BNDES"/>
    <hyperlink ref="O253:AA253" location="'Orientações PJ Proj FDA'!Autorização_da_ANVISA_ou_entidades_delegada_conveniada" tooltip="Ver orientação relacionada ao item" display="'Orientações PJ Proj FDA'!Autorização_da_ANVISA_ou_entidades_delegada_conveniada"/>
    <hyperlink ref="O63:AA63" location="'Orientações PJ Proj FDA'!Comprovante_de_benefícios_fiscais" tooltip="Ver orientação relacionada ao item" display="'Orientações PJ Proj FDA'!Comprovante_de_benefícios_fiscais"/>
    <hyperlink ref="O101:T101" location="'Orientações PJ Proj FDA'!Se_Imóvel_Objeto_de_Garantia" tooltip="Ver orientação relacionada ao item" display="Se Imóvel Objeto de Garantia:"/>
    <hyperlink ref="O83:AC83" location="Dos_sócios_avalistas_dirigentes" tooltip="Ver orientação relacionada ao item" display="Dos Sócios/avalistas/dirigentes:"/>
    <hyperlink ref="O99:AA99" location="Certidão_de_inexistência_de_ônus_sobre_o_imóvel_se_bens_oferecidos_em_garantia_fixados_e_dele_removíveis" tooltip="Ver orientação relacionada ao item" display="Certidão_de_inexistência_de_ônus_sobre_o_imóvel_se_bens_oferecidos_em_garantia_fixados_e_dele_removíveis"/>
    <hyperlink ref="O19:AC19" location="Do_Projeto" tooltip="Ver orientação relacionada ao item" display="Do Projeto:"/>
    <hyperlink ref="O85:AA85" location="'Orientações PJ Proj FDA'!Instrumento_de_mandato_procurações" tooltip="Ver orientação relacionada ao item" display="'Orientações PJ Proj FDA'!Instrumento_de_mandato_procurações"/>
    <hyperlink ref="O25:AA25" location="Projeto_Econômico_e_Plano_de_Aplicação_Orçamento_detalhado" tooltip="Ver orientação relacionada ao item" display="Projeto Econômico e Plano de Aplicação/Orçamento detalhado; (impresso e eletrônico grav. em CD ROM)"/>
    <hyperlink ref="O19:AA19" location="Do_Projeto" tooltip="Ver orientação relacionada ao item" display="Do Projeto:"/>
    <hyperlink ref="O91:AA91" location="Declaração_dos_sócios_administradores_quanto_a_não_se_encontrar_na_condição_de_servidor_público_federal" tooltip="Ver orientação relacionada ao item" display="Declaração_dos_sócios_administradores_quanto_a_não_se_encontrar_na_condição_de_servidor_público_federal"/>
    <hyperlink ref="O39:AA39" location="'Orientações PJ Proj FDA'!Ata_da_Assembléia_que_elegeu_a_atual_diretoria_e_conselho_de_administração___Em_caso_de_S.A." tooltip="Ver orientação relacionada ao item" display="'Orientações PJ Proj FDA'!Ata_da_Assembléia_que_elegeu_a_atual_diretoria_e_conselho_de_administração___Em_caso_de_S.A."/>
    <hyperlink ref="O29:AA29" location="'Orientações Não Rural PJ Proj'!D24:D29" tooltip="Ver orientação relacionada ao ítem" display="Contrato de prestação de serviços entre proponente e assistência técnica/projetista;"/>
    <hyperlink ref="O59:AA59" location="'Orientações PJ Proj FDA'!Instrumentos_contratuais_dos_financiamentos_em_andamento_em_outras_instituições_financeiras" tooltip="Ver orientação relacionada ao item" display="'Orientações PJ Proj FDA'!Instrumentos_contratuais_dos_financiamentos_em_andamento_em_outras_instituições_financeiras"/>
    <hyperlink ref="O41:AA41" location="'Orientações PJ Proj FDA'!Alvará_de_Funcionamento" tooltip="Ver orientação relacionada ao item" display="'Orientações PJ Proj FDA'!Alvará_de_Funcionamento"/>
    <hyperlink ref="O43:AA43" location="'Orientações PJ Proj FDA'!Comprovação_da_capacidade_de_aporte_de_recursos_próprios" tooltip="Ver orientação relacionada ao item" display="'Orientações PJ Proj FDA'!Comprovação_da_capacidade_de_aporte_de_recursos_próprios"/>
    <hyperlink ref="O61:AA61" location="'Orientações PJ Proj FDA'!Extratos_dos_financiamentos_em_andamento_em_outras_instituições_financeiras" tooltip="Ver orientação relacionada ao item" display="'Orientações PJ Proj FDA'!Extratos_dos_financiamentos_em_andamento_em_outras_instituições_financeiras"/>
    <hyperlink ref="O47:AA47" location="'Orientações PJ Proj FDA'!Certidão_Negativa_de_Embargo_de_área_para_uso_econômico___IBAMA" tooltip="Ver orientação relacionada ao item" display="'Orientações PJ Proj FDA'!Certidão_Negativa_de_Embargo_de_área_para_uso_econômico___IBAMA"/>
    <hyperlink ref="O201:AA201" location="'Orientações Não Rural PJ Proj'!D510:D515" tooltip="Ver orientação relacionada ao ítem" display="Autorização da ANTAQ;"/>
    <hyperlink ref="O225:AA225" location="Certificado_de_Armador_emitido_pelo_Tribunal_Marítimo" tooltip="Ver orientação relacionada ao item" display="Certificado de Armador emitido pelo Tribunal Marítimo."/>
    <hyperlink ref="O103:AA103" location="'Orientações Não Rural PJ Proj'!D192:D197" tooltip="Ver orientação relacionada ao ítem" display="Título translativo de propriedade;"/>
    <hyperlink ref="O105:AA105" location="'Orientações Não Rural PJ Proj'!D198:D203" tooltip="Ver orientação relacionada ao ítem" display="Certidão de Cadeia Dominial ou Vintenária;"/>
    <hyperlink ref="O107:AA107" location="'Orientações PJ Proj FDA'!Certidão_de_averbação_das_benfeitorias_existentes" tooltip="Ver orientação relacionada ao item" display="'Orientações PJ Proj FDA'!Certidão_de_averbação_das_benfeitorias_existentes"/>
    <hyperlink ref="O109:AA109" location="'Orientações Não Rural PJ Proj'!D210:D215" tooltip="Ver orientação relacionada ao ítem" display="Certidão de inexistência de ônus ou certidão de inteiro teor; (se imóvel acima de R$ 400 mil)"/>
    <hyperlink ref="O113:AA113" location="'Orientações PJ Proj FDA'!Certidão_de_inexistência_de_ônus_de_Imposto_Predial_e_Territorial_Urbano___IPTU" tooltip="Ver orientação relacionada ao item" display="'Orientações PJ Proj FDA'!Certidão_de_inexistência_de_ônus_de_Imposto_Predial_e_Territorial_Urbano___IPTU"/>
    <hyperlink ref="O115:AA115" location="'Orientações PJ Proj FDA'!Certificado_de_Cadastro_do_Imóvel_Rural___CCIR" tooltip="Ver orientação relacionada ao item" display="'Orientações PJ Proj FDA'!Certificado_de_Cadastro_do_Imóvel_Rural___CCIR"/>
    <hyperlink ref="O117:AA117" location="'Orientações PJ Proj FDA'!Certidão_Negativa_de_Débito_de_ITR" tooltip="Ver orientação relacionada ao item" display="'Orientações PJ Proj FDA'!Certidão_Negativa_de_Débito_de_ITR"/>
    <hyperlink ref="O121:AA121" location="'Orientações PJ Proj FDA'!Certidão_Negativa_de_Terra_Indígena___expedida_pela_FUNAI" tooltip="Ver orientação relacionada ao item" display="'Orientações PJ Proj FDA'!Certidão_Negativa_de_Terra_Indígena___expedida_pela_FUNAI"/>
    <hyperlink ref="O119:AA119" location="'Orientações PJ Proj FDA'!Declaração_de_inexistência_de_embargo_vigentes___se_Imóvel_Rural" tooltip="Ver orientação relacionada ao item" display="'Orientações PJ Proj FDA'!Declaração_de_inexistência_de_embargo_vigentes___se_Imóvel_Rural"/>
    <hyperlink ref="O111:AA111" location="'Orientações PJ Proj FDA'!Certidão_de_inexistência_de_ônus_sobre_máquinas__instalações__etc.___expedida_pelo_CRTD" tooltip="Ver orientação relacionada ao item" display="'Orientações PJ Proj FDA'!Certidão_de_inexistência_de_ônus_sobre_máquinas__instalações__etc.___expedida_pelo_CRTD"/>
    <hyperlink ref="AE2:AG2" location="Menu!A1" tooltip="Ir ao Menu" display="Menu"/>
    <hyperlink ref="O2:P2" location="Instruções!A1" tooltip="Ir às Instruções" display="Instruções"/>
    <hyperlink ref="O21:AC21" location="Autorização_para_apresentar_o_projeto_definitivo_ao_Banco" tooltip="Ver orientação relacionada ao item" display="Autorização_para_apresentar_o_projeto_definitivo_ao_Banco"/>
    <hyperlink ref="O23:AC23" location="Termo_de_enquadramento_emitido_pela_SUDAM" tooltip="Ver orientação relacionada ao item" display="Termo_de_enquadramento_emitido_pela_SUDAM"/>
    <hyperlink ref="O45:AC45" location="Formulário_de_Informações_Sócio_Ambiental___FISA_ou_Questionário_Sócio_Ambiental___QSA" tooltip="Ver orientação relacionada ao item" display="Formulário_de_Informações_Sócio_Ambiental___FISA_ou_Questionário_Sócio_Ambiental___QSA"/>
    <hyperlink ref="O247:AC247" location="'Orientações PJ Proj FDA'!Autorização_da_ANTT" tooltip="Ver orientação relacionada ao item" display="'Orientações PJ Proj FDA'!Autorização_da_ANTT"/>
    <hyperlink ref="O83:AA83" location="'Orientações PJ Proj FDA'!Dos_sócios_avalistas_dirigentes" tooltip="Ver orientação relacionada ao item" display="Dos Sócios/avalistas/dirigentes:"/>
    <hyperlink ref="O31:AC31" location="Contrato_de_prestação_de_serviços_entre_proponente_e_assistência_técnica_projetista" tooltip="Ver orientação relacionada ao ítem" display="Contrato_de_prestação_de_serviços_entre_proponente_e_assistência_técnica_projetista"/>
    <hyperlink ref="O29:AC29" location="'Orientações PJ Proj FDA'!Estudo_de_Mercado" tooltip="Ver orientação relacionada ao ítem" display="'Orientações PJ Proj FDA'!Estudo_de_Mercado"/>
    <hyperlink ref="O27:AC27" location="'Orientações PJ Proj FDA'!Cronograma_físico_financeiro_do_empreendimento" tooltip="Ver orientação relacionada ao ítem" display="'Orientações PJ Proj FDA'!Cronograma_físico_financeiro_do_empreendimento"/>
    <hyperlink ref="O25:AC25" location="'Orientações PJ Proj FDA'!Projeto_Econômico_e_Plano_de_Aplicação_Orçamento_detalhado" tooltip="Ver orientação relacionada ao item" display="'Orientações PJ Proj FDA'!Projeto_Econômico_e_Plano_de_Aplicação_Orçamento_detalhado"/>
    <hyperlink ref="O35:AC35" location="Levantamentos_extra_contábeis_ou_Balanço_do_último_exercício_e_Balancete_com_DRE" tooltip="Ver orientação relacionada ao ítem" display="Levantamentos_extra_contábeis_ou_Balanço_do_último_exercício_e_Balancete_com_DRE"/>
    <hyperlink ref="O37:AC37" location="'Orientações PJ Proj FDA'!Ato_constitutivo_da_sociedade_e_suas_modificações_ou_Requerimento_de_Empresário_Individual" tooltip="Ver orientação relacionada ao ítem" display="'Orientações PJ Proj FDA'!Ato_constitutivo_da_sociedade_e_suas_modificações_ou_Requerimento_de_Empresário_Individual"/>
    <hyperlink ref="O49:AC49" location="'Orientações PJ Proj FDA'!Licença_Prévia_ou_Licença_de_Instalação_ou_Licença_de_Operação_ou_dispensa_de_licenciamento" tooltip="Ver orientação relacionada ao item" display="'Orientações PJ Proj FDA'!Licença_Prévia_ou_Licença_de_Instalação_ou_Licença_de_Operação_ou_dispensa_de_licenciamento"/>
    <hyperlink ref="O75:AC75" location="'Orientações PJ Proj FDA'!Certidão_que_comprove_a_propriedade_ou_Contrato_de_arrendamento_aluguel___do_imóvel_onde_opera" tooltip="Ver orientação relacionada ao ítem" display="'Orientações PJ Proj FDA'!Certidão_que_comprove_a_propriedade_ou_Contrato_de_arrendamento_aluguel___do_imóvel_onde_opera"/>
    <hyperlink ref="O87:AC87" location="'Orientações PJ Proj FDA'!Relação_Patrimonial_com_estimativa_de_valores_e_ou_IRPF" display="'Orientações PJ Proj FDA'!Relação_Patrimonial_com_estimativa_de_valores_e_ou_IRPF"/>
    <hyperlink ref="O89:AC89" location="'Orientações PJ Proj FDA'!Formação_e_experiência_profissional_dos_sócios_dirigentes" display="'Orientações PJ Proj FDA'!Formação_e_experiência_profissional_dos_sócios_dirigentes"/>
    <hyperlink ref="O103:AC104" location="'Orientações PJ Proj FDA'!Título_translativo_de_propriedade" tooltip="Ver orientação relacionada ao item" display="'Orientações PJ Proj FDA'!Título_translativo_de_propriedade"/>
    <hyperlink ref="O105:AC105" location="'Orientações PJ Proj FDA'!Certidão_de_Cadeia_Dominial_ou_Vintenária" tooltip="Ver orientação relacionada ao item" display="'Orientações PJ Proj FDA'!Certidão_de_Cadeia_Dominial_ou_Vintenária"/>
    <hyperlink ref="O109:AC109" location="'Orientações PJ Proj FDA'!Certidão_de_inexistência_de_ônus_ou_certidão_de_inteiro_teor" tooltip="Ver orientação relacionada ao ítem" display="'Orientações PJ Proj FDA'!Certidão_de_inexistência_de_ônus_ou_certidão_de_inteiro_teor"/>
    <hyperlink ref="O197:AC197" location="Autorização_da_ANTAQ" tooltip="Ver orientação relacionada ao item" display="Autorização_da_ANTAQ"/>
    <hyperlink ref="O201:AC201" location="'Orientações PJ Proj FDA'!Certificado_de_Armador_emitido_pelo_Tribunal_Marítimo" tooltip="Ver orientação relacionada ao item" display="'Orientações PJ Proj FDA'!Certificado_de_Armador_emitido_pelo_Tribunal_Marítimo"/>
    <hyperlink ref="O205:AC205" location="'Orientações PJ Proj FDA'!Licença_da_Embarcação" tooltip="Ver orientação relacionada ao item" display="'Orientações PJ Proj FDA'!Licença_da_Embarcação"/>
    <hyperlink ref="O207:AC207" location="'Orientações PJ Proj FDA'!Título_de_propriedade_registrado_no_TM__se_AB_maior_que_100___ou_na_Capitania_dos_Portos" tooltip="Ver orientação relacionada ao item" display="'Orientações PJ Proj FDA'!Título_de_propriedade_registrado_no_TM__se_AB_maior_que_100___ou_na_Capitania_dos_Portos"/>
    <hyperlink ref="O209:AC209" location="Certidão_negativa_de_ônus_sobre_a_embarcação___fornecida_pelo_Tribunal_Marítimo" tooltip="Ver orientação relacionada ao item" display="Certidão_negativa_de_ônus_sobre_a_embarcação___fornecida_pelo_Tribunal_Marítimo"/>
    <hyperlink ref="O213:AC213" location="'Orientações PJ Proj FDA'!Termo_de_Vistoria_em_Seco_e_Termo_de_Vistoria_Flutuando" tooltip="Ver orientação relacionada ao item" display="'Orientações PJ Proj FDA'!Termo_de_Vistoria_em_Seco_e_Termo_de_Vistoria_Flutuando"/>
    <hyperlink ref="O215:AC215" location="'Orientações PJ Proj FDA'!Seguro_Obrigatório_da_embarcação" tooltip="Ver orientação relacionada ao item" display="'Orientações PJ Proj FDA'!Seguro_Obrigatório_da_embarcação"/>
    <hyperlink ref="O223:AC223" location="'Orientações PJ Proj FDA'!Certificado_de_Armador_emitido_pelo_Tribunal_Marítimo" tooltip="Ver orientação relacionada ao item" display="'Orientações PJ Proj FDA'!Certificado_de_Armador_emitido_pelo_Tribunal_Marítimo"/>
    <hyperlink ref="O225:AC225" location="Seguro_obrigatório_da_embarcação2" tooltip="Ver orientação relacionada ao item" display="Seguro_obrigatório_da_embarcação2"/>
    <hyperlink ref="O125:AC125" location="'Orientações PJ Proj FDA'!Propostas_de_fornecimento" tooltip="Ver orientação relacionada ao item" display="'Orientações PJ Proj FDA'!Propostas_de_fornecimento"/>
    <hyperlink ref="O127:AC127" location="'Orientações PJ Proj FDA'!Catálogos_Folder_s" tooltip="Ver orientação relacionada ao item" display="'Orientações PJ Proj FDA'!Catálogos_Folder_s"/>
    <hyperlink ref="O133:AC133" location="'Orientações PJ Proj FDA'!Alvará_de_Construção___da_edificação_objeto_do_pleito" tooltip="Ver orientação relacionada ao item" display="'Orientações PJ Proj FDA'!Alvará_de_Construção___da_edificação_objeto_do_pleito"/>
    <hyperlink ref="O137:AC137" location="'Orientações PJ Proj FDA'!Orçamento_detalhado___das_construções_civis_a_realizar" tooltip="Ver orientação relacionada ao item" display="'Orientações PJ Proj FDA'!Orçamento_detalhado___das_construções_civis_a_realizar"/>
    <hyperlink ref="O171:AC171" location="'Orientações PJ Proj FDA'!Autorização_de_exploração_florestal___AUTEF" tooltip="Ver orientação relacionada ao item" display="'Orientações PJ Proj FDA'!Autorização_de_exploração_florestal___AUTEF"/>
    <hyperlink ref="O185:AC185" location="'Orientações PJ Proj FDA'!Testes_laboratoriais_sobre_o_mineral" tooltip="Ver orientação relacionada ao item" display="'Orientações PJ Proj FDA'!Testes_laboratoriais_sobre_o_mineral"/>
    <hyperlink ref="O183:AC183" location="'Orientações PJ Proj FDA'!Estudos_geológicos_sobre_a_jazida" tooltip="Ver orientação relacionada ao item" display="'Orientações PJ Proj FDA'!Estudos_geológicos_sobre_a_jazida"/>
    <hyperlink ref="O243:AC243" location="'Orientações PJ Proj FDA'!Proposta_de_seguro_de_construção_a_ser_contratado_pelo_estaleiro_construtor" tooltip="Ver orientação relacionada ao item" display="'Orientações PJ Proj FDA'!Proposta_de_seguro_de_construção_a_ser_contratado_pelo_estaleiro_construtor"/>
    <hyperlink ref="O241:AC241" location="Contrato_entre_estaleiro_construtor_e_empresa_Certificadora_das_Normas_da_Autoridade_Marítima" tooltip="Ver orientação relacionada ao item" display="Contrato_entre_estaleiro_construtor_e_empresa_Certificadora_das_Normas_da_Autoridade_Marítima"/>
    <hyperlink ref="O239:AC239" location="Comprovante_de_quitação_de_anuidade_junto_ao_CREA" tooltip="Ver orientação relacionada ao item" display="Comprovante_de_quitação_de_anuidade_junto_ao_CREA"/>
    <hyperlink ref="O237:AC237" location="'Orientações PJ Proj FDA'!Registro_da_empresa_estaleiro_construtor_no_CREA" tooltip="Ver orientação relacionada ao item" display="'Orientações PJ Proj FDA'!Registro_da_empresa_estaleiro_construtor_no_CREA"/>
    <hyperlink ref="O235:AC235" location="'Orientações PJ Proj FDA'!Licença_de_Operação_vigente_da_empresa_construtora_estaleiro" tooltip="Ver orientação relacionada ao item" display="'Orientações PJ Proj FDA'!Licença_de_Operação_vigente_da_empresa_construtora_estaleiro"/>
    <hyperlink ref="O233:AC233" location="'Orientações PJ Proj FDA'!Contrato_ou_proposta_de_construção_da_embarcação_entre_armador_e_a_empresa_construtora_estaleiro" tooltip="Ver orientação relacionada ao item" display="'Orientações PJ Proj FDA'!Contrato_ou_proposta_de_construção_da_embarcação_entre_armador_e_a_empresa_construtora_estaleiro"/>
    <hyperlink ref="O231:AC231" location="'Orientações PJ Proj FDA'!Proposta_orçamento_de_construção_por_estaleiro" tooltip="Ver orientação relacionada ao item" display="'Orientações PJ Proj FDA'!Proposta_orçamento_de_construção_por_estaleiro"/>
    <hyperlink ref="O229:AC229" location="Projeto_e_ART_para_embarcaçõe_a_ser_construída_e_objeto_do_financiamento" tooltip="Ver orientação relacionada ao item" display="Projeto_e_ART_para_embarcaçõe_a_ser_construída_e_objeto_do_financiamento"/>
    <hyperlink ref="O177:AC177" location="'Orientações PJ Proj FDA'!Portaria_de_Lavra__com_prova_de_respectiva_transcrição_do_DNPM" tooltip="Ver orientação relacionada ao item" display="'Orientações PJ Proj FDA'!Portaria_de_Lavra__com_prova_de_respectiva_transcrição_do_DNPM"/>
    <hyperlink ref="O179:AC179" location="'Orientações PJ Proj FDA'!Projeto_aprovado_pelo_DNPM" tooltip="Ver orientação relacionada ao item" display="'Orientações PJ Proj FDA'!Projeto_aprovado_pelo_DNPM"/>
    <hyperlink ref="O181:AC181" location="'Orientações PJ Proj FDA'!Licença_expedida_pela_autoridade_administrativa_do_município_de_localização_da_jazida" tooltip="Ver orientação relacionada ao item" display="'Orientações PJ Proj FDA'!Licença_expedida_pela_autoridade_administrativa_do_município_de_localização_da_jazida"/>
    <hyperlink ref="O165:AC165" location="Projeto_do_Sistema_de_Proteção_Contra_Descargas_Atmosféricas" tooltip="Ver orientação relacionada ao item" display="Projeto_do_Sistema_de_Proteção_Contra_Descargas_Atmosféricas"/>
    <hyperlink ref="O161:AC161" location="'Orientações PJ Proj FDA'!Projeto_Elétrico" tooltip="Ver orientação relacionada ao item" display="'Orientações PJ Proj FDA'!Projeto_Elétrico"/>
    <hyperlink ref="O159:AC159" location="'Orientações PJ Proj FDA'!Projeto_Hidrossanitário" tooltip="Ver orientação relacionada ao item" display="'Orientações PJ Proj FDA'!Projeto_Hidrossanitário"/>
    <hyperlink ref="O153:AC153" location="'Orientações PJ Proj FDA'!Projetos_arquitetônico_das_construções_civis_a_realizar" tooltip="Ver orientação relacionada ao item" display="'Orientações PJ Proj FDA'!Projetos_arquitetônico_das_construções_civis_a_realizar"/>
    <hyperlink ref="O151:AC151" location="'Orientações PJ Proj FDA'!Planta_de_localização_situação" tooltip="Ver orientação relacionada ao item" display="'Orientações PJ Proj FDA'!Planta_de_localização_situação"/>
    <hyperlink ref="O149:AC149" location="'Orientações PJ Proj FDA'!Layout_das_construções_civis" tooltip="Ver orientação relacionada ao item" display="'Orientações PJ Proj FDA'!Layout_das_construções_civis"/>
    <hyperlink ref="O145:AC145" location="ART_dos_projetos_de_edificação" tooltip="Ver orientação relacionada ao item" display="ART_dos_projetos_de_edificação"/>
    <hyperlink ref="O143:AC143" location="ART_do_Orçamento__Memorial_Descritivo_e_Cronograma_físico_financeiro" tooltip="Ver orientação relacionada ao item" display="ART_do_Orçamento__Memorial_Descritivo_e_Cronograma_físico_financeiro"/>
    <hyperlink ref="O141:AC141" location="'Orientações PJ Proj FDA'!Cronograma_físico_financeiro___das_construções_civis_a_realizar" tooltip="Ver orientação relacionada ao ítem" display="'Orientações PJ Proj FDA'!Cronograma_físico_financeiro___das_construções_civis_a_realizar"/>
    <hyperlink ref="O139:AC139" location="'Orientações PJ Proj FDA'!Memorial_descritivo___das_construções_civis_a_realizar" tooltip="Ver orientação relacionada ao item" display="'Orientações PJ Proj FDA'!Memorial_descritivo___das_construções_civis_a_realizar"/>
    <hyperlink ref="O32:AC33" location="'Orientações PJ Proj FDA'!Da_Proponente" display="'Orientações PJ Proj FDA'!Da_Proponente"/>
    <hyperlink ref="O33:AC33" location="Da_Proponente" tooltip="Ver orientação relacionada ao item" display="Da Proponente:"/>
    <hyperlink ref="O33:AA33" location="'Orientações PJ Proj FDA'!Da_Proponente" tooltip="Ver orientação relacionada ao item" display="Da Proponente:"/>
  </hyperlinks>
  <printOptions horizontalCentered="1"/>
  <pageMargins left="0.51181102362204722" right="0.31496062992125984" top="0.19685039370078741" bottom="0.39370078740157483" header="0" footer="0"/>
  <pageSetup paperSize="9" scale="82" orientation="portrait" horizontalDpi="360" verticalDpi="360" r:id="rId1"/>
  <headerFooter>
    <oddFooter>&amp;L&amp;D - &amp;T&amp;C________________________________________________________________________________________________________________________&amp;K00+000_&amp;RVersão 2.0.9 - 13/02/2017</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V1051"/>
  <sheetViews>
    <sheetView showGridLines="0" showRowColHeaders="0" topLeftCell="F270" zoomScale="80" zoomScaleNormal="80" workbookViewId="0">
      <selection activeCell="H273" sqref="H273:R273"/>
    </sheetView>
  </sheetViews>
  <sheetFormatPr defaultColWidth="0" defaultRowHeight="15" customHeight="1" zeroHeight="1"/>
  <cols>
    <col min="1" max="1" width="9.140625" style="316" hidden="1" customWidth="1"/>
    <col min="2" max="2" width="10.7109375" style="119" hidden="1" customWidth="1"/>
    <col min="3" max="5" width="9.140625" style="120" hidden="1" customWidth="1"/>
    <col min="6" max="6" width="9.140625" style="336" customWidth="1"/>
    <col min="7" max="7" width="4.7109375" style="120" customWidth="1"/>
    <col min="8" max="8" width="13.140625" style="120" customWidth="1"/>
    <col min="9" max="17" width="9.140625" style="120" customWidth="1"/>
    <col min="18" max="18" width="13.140625" style="120" customWidth="1"/>
    <col min="19" max="19" width="3.7109375" style="120" customWidth="1"/>
    <col min="20" max="20" width="9.140625" style="336" customWidth="1"/>
    <col min="21" max="22" width="0" style="120" hidden="1" customWidth="1"/>
    <col min="23" max="16384" width="9.140625" style="120" hidden="1"/>
  </cols>
  <sheetData>
    <row r="1" spans="2:22">
      <c r="D1" s="317"/>
      <c r="F1" s="318"/>
      <c r="G1" s="318"/>
      <c r="H1" s="318"/>
      <c r="I1" s="318"/>
      <c r="J1" s="318"/>
      <c r="K1" s="318"/>
      <c r="L1" s="318"/>
      <c r="M1" s="318"/>
      <c r="N1" s="318"/>
      <c r="O1" s="318"/>
      <c r="P1" s="318"/>
      <c r="Q1" s="318"/>
      <c r="R1" s="318"/>
      <c r="S1" s="318"/>
      <c r="T1" s="318"/>
    </row>
    <row r="2" spans="2:22">
      <c r="F2" s="318"/>
      <c r="G2" s="318"/>
      <c r="H2" s="318"/>
      <c r="I2" s="318"/>
      <c r="J2" s="318"/>
      <c r="K2" s="318"/>
      <c r="L2" s="318"/>
      <c r="M2" s="318"/>
      <c r="N2" s="318"/>
      <c r="O2" s="318"/>
      <c r="P2" s="318"/>
      <c r="Q2" s="318"/>
      <c r="R2" s="318"/>
      <c r="S2" s="318"/>
      <c r="T2" s="318"/>
    </row>
    <row r="3" spans="2:22">
      <c r="F3" s="318"/>
      <c r="G3" s="318"/>
      <c r="H3" s="318"/>
      <c r="I3" s="318"/>
      <c r="J3" s="318"/>
      <c r="K3" s="318"/>
      <c r="L3" s="318"/>
      <c r="M3" s="318"/>
      <c r="N3" s="318"/>
      <c r="O3" s="318"/>
      <c r="P3" s="318"/>
      <c r="Q3" s="318"/>
      <c r="R3" s="318"/>
      <c r="S3" s="318"/>
      <c r="T3" s="318"/>
    </row>
    <row r="4" spans="2:22" ht="26.25">
      <c r="F4" s="318"/>
      <c r="G4" s="319" t="s">
        <v>502</v>
      </c>
      <c r="H4" s="318"/>
      <c r="I4" s="318"/>
      <c r="J4" s="318"/>
      <c r="K4" s="318"/>
      <c r="L4" s="318"/>
      <c r="M4" s="318"/>
      <c r="N4" s="318"/>
      <c r="O4" s="318"/>
      <c r="P4" s="318"/>
      <c r="Q4" s="318"/>
      <c r="R4" s="318"/>
      <c r="S4" s="318"/>
      <c r="T4" s="318"/>
    </row>
    <row r="5" spans="2:22">
      <c r="F5" s="318"/>
      <c r="G5" s="318"/>
      <c r="H5" s="318"/>
      <c r="I5" s="318"/>
      <c r="J5" s="318"/>
      <c r="K5" s="318"/>
      <c r="L5" s="318"/>
      <c r="M5" s="318"/>
      <c r="N5" s="318"/>
      <c r="O5" s="318"/>
      <c r="P5" s="318"/>
      <c r="Q5" s="318"/>
      <c r="R5" s="318"/>
      <c r="S5" s="318"/>
      <c r="T5" s="318"/>
    </row>
    <row r="6" spans="2:22">
      <c r="F6" s="318"/>
      <c r="G6" s="318"/>
      <c r="H6" s="318"/>
      <c r="I6" s="318"/>
      <c r="J6" s="318"/>
      <c r="K6" s="318"/>
      <c r="L6" s="318"/>
      <c r="M6" s="318"/>
      <c r="N6" s="318"/>
      <c r="O6" s="318"/>
      <c r="P6" s="318"/>
      <c r="Q6" s="318"/>
      <c r="R6" s="318"/>
      <c r="S6" s="318"/>
      <c r="T6" s="318"/>
    </row>
    <row r="7" spans="2:22" ht="18.75">
      <c r="B7" s="316"/>
      <c r="F7" s="318"/>
      <c r="G7" s="501" t="s">
        <v>102</v>
      </c>
      <c r="H7" s="501"/>
      <c r="I7" s="501"/>
      <c r="J7" s="501"/>
      <c r="K7" s="501"/>
      <c r="L7" s="501"/>
      <c r="M7" s="501"/>
      <c r="N7" s="501"/>
      <c r="O7" s="501"/>
      <c r="P7" s="501"/>
      <c r="Q7" s="501"/>
      <c r="R7" s="501"/>
      <c r="S7" s="501"/>
      <c r="T7" s="318"/>
      <c r="U7" s="120">
        <v>1</v>
      </c>
    </row>
    <row r="8" spans="2:22" ht="7.5" customHeight="1">
      <c r="F8" s="318"/>
      <c r="G8" s="502"/>
      <c r="H8" s="502"/>
      <c r="I8" s="502"/>
      <c r="J8" s="502"/>
      <c r="K8" s="502"/>
      <c r="L8" s="502"/>
      <c r="M8" s="502"/>
      <c r="N8" s="502"/>
      <c r="O8" s="502"/>
      <c r="P8" s="502"/>
      <c r="Q8" s="502"/>
      <c r="R8" s="502"/>
      <c r="S8" s="502"/>
      <c r="T8" s="318"/>
    </row>
    <row r="9" spans="2:22" ht="126" customHeight="1">
      <c r="F9" s="318"/>
      <c r="G9" s="320"/>
      <c r="H9" s="498" t="s">
        <v>332</v>
      </c>
      <c r="I9" s="498"/>
      <c r="J9" s="498"/>
      <c r="K9" s="498"/>
      <c r="L9" s="498"/>
      <c r="M9" s="498"/>
      <c r="N9" s="498"/>
      <c r="O9" s="498"/>
      <c r="P9" s="498"/>
      <c r="Q9" s="498"/>
      <c r="R9" s="498"/>
      <c r="S9" s="321"/>
      <c r="T9" s="318"/>
    </row>
    <row r="10" spans="2:22">
      <c r="F10" s="318"/>
      <c r="G10" s="318"/>
      <c r="H10" s="318"/>
      <c r="I10" s="318"/>
      <c r="J10" s="318"/>
      <c r="K10" s="318"/>
      <c r="L10" s="318"/>
      <c r="M10" s="318"/>
      <c r="N10" s="318"/>
      <c r="O10" s="318"/>
      <c r="P10" s="318"/>
      <c r="Q10" s="318"/>
      <c r="R10" s="318"/>
      <c r="S10" s="318"/>
      <c r="T10" s="318"/>
    </row>
    <row r="11" spans="2:22" ht="320.10000000000002" customHeight="1">
      <c r="F11" s="318"/>
      <c r="G11" s="318"/>
      <c r="H11" s="318"/>
      <c r="I11" s="318"/>
      <c r="J11" s="318"/>
      <c r="K11" s="318"/>
      <c r="L11" s="318"/>
      <c r="M11" s="318"/>
      <c r="N11" s="318"/>
      <c r="O11" s="318"/>
      <c r="P11" s="318"/>
      <c r="Q11" s="318"/>
      <c r="R11" s="318"/>
      <c r="S11" s="318"/>
      <c r="T11" s="318"/>
    </row>
    <row r="12" spans="2:22" ht="150" customHeight="1">
      <c r="F12" s="318"/>
      <c r="G12" s="318"/>
      <c r="H12" s="318"/>
      <c r="I12" s="318"/>
      <c r="J12" s="318"/>
      <c r="K12" s="318"/>
      <c r="L12" s="318"/>
      <c r="M12" s="318"/>
      <c r="N12" s="318"/>
      <c r="O12" s="318"/>
      <c r="P12" s="318"/>
      <c r="Q12" s="318"/>
      <c r="R12" s="318"/>
      <c r="S12" s="318"/>
      <c r="T12" s="318"/>
    </row>
    <row r="13" spans="2:22" ht="18.75">
      <c r="B13" s="316"/>
      <c r="F13" s="318"/>
      <c r="G13" s="501" t="s">
        <v>503</v>
      </c>
      <c r="H13" s="501"/>
      <c r="I13" s="501"/>
      <c r="J13" s="501"/>
      <c r="K13" s="501"/>
      <c r="L13" s="501"/>
      <c r="M13" s="501"/>
      <c r="N13" s="501"/>
      <c r="O13" s="501"/>
      <c r="P13" s="501"/>
      <c r="Q13" s="501"/>
      <c r="R13" s="501"/>
      <c r="S13" s="501"/>
      <c r="T13" s="318"/>
      <c r="U13" s="120">
        <v>1</v>
      </c>
      <c r="V13" s="120">
        <v>1</v>
      </c>
    </row>
    <row r="14" spans="2:22" ht="7.5" customHeight="1">
      <c r="F14" s="318"/>
      <c r="G14" s="502"/>
      <c r="H14" s="502"/>
      <c r="I14" s="502"/>
      <c r="J14" s="502"/>
      <c r="K14" s="502"/>
      <c r="L14" s="502"/>
      <c r="M14" s="502"/>
      <c r="N14" s="502"/>
      <c r="O14" s="502"/>
      <c r="P14" s="502"/>
      <c r="Q14" s="502"/>
      <c r="R14" s="502"/>
      <c r="S14" s="502"/>
      <c r="T14" s="318"/>
    </row>
    <row r="15" spans="2:22" ht="408.75" customHeight="1">
      <c r="F15" s="318"/>
      <c r="G15" s="320"/>
      <c r="H15" s="498" t="s">
        <v>504</v>
      </c>
      <c r="I15" s="498"/>
      <c r="J15" s="498"/>
      <c r="K15" s="498"/>
      <c r="L15" s="498"/>
      <c r="M15" s="498"/>
      <c r="N15" s="498"/>
      <c r="O15" s="498"/>
      <c r="P15" s="498"/>
      <c r="Q15" s="498"/>
      <c r="R15" s="498"/>
      <c r="S15" s="321"/>
      <c r="T15" s="318"/>
    </row>
    <row r="16" spans="2:22" ht="409.5" customHeight="1">
      <c r="F16" s="318"/>
      <c r="G16" s="320"/>
      <c r="H16" s="498" t="s">
        <v>505</v>
      </c>
      <c r="I16" s="498"/>
      <c r="J16" s="498"/>
      <c r="K16" s="498"/>
      <c r="L16" s="498"/>
      <c r="M16" s="498"/>
      <c r="N16" s="498"/>
      <c r="O16" s="498"/>
      <c r="P16" s="498"/>
      <c r="Q16" s="498"/>
      <c r="R16" s="498"/>
      <c r="S16" s="321"/>
      <c r="T16" s="318"/>
    </row>
    <row r="17" spans="2:22" ht="360.75" customHeight="1">
      <c r="F17" s="318"/>
      <c r="G17" s="320"/>
      <c r="H17" s="498" t="s">
        <v>580</v>
      </c>
      <c r="I17" s="498"/>
      <c r="J17" s="498"/>
      <c r="K17" s="498"/>
      <c r="L17" s="498"/>
      <c r="M17" s="498"/>
      <c r="N17" s="498"/>
      <c r="O17" s="498"/>
      <c r="P17" s="498"/>
      <c r="Q17" s="498"/>
      <c r="R17" s="498"/>
      <c r="S17" s="321"/>
      <c r="T17" s="318"/>
    </row>
    <row r="18" spans="2:22" ht="375" customHeight="1">
      <c r="F18" s="318"/>
      <c r="G18" s="320"/>
      <c r="H18" s="498" t="s">
        <v>506</v>
      </c>
      <c r="I18" s="498"/>
      <c r="J18" s="498"/>
      <c r="K18" s="498"/>
      <c r="L18" s="498"/>
      <c r="M18" s="498"/>
      <c r="N18" s="498"/>
      <c r="O18" s="498"/>
      <c r="P18" s="498"/>
      <c r="Q18" s="498"/>
      <c r="R18" s="498"/>
      <c r="S18" s="321"/>
      <c r="T18" s="318"/>
    </row>
    <row r="19" spans="2:22" ht="93.75" customHeight="1">
      <c r="F19" s="318"/>
      <c r="G19" s="320"/>
      <c r="H19" s="498" t="s">
        <v>507</v>
      </c>
      <c r="I19" s="498"/>
      <c r="J19" s="498"/>
      <c r="K19" s="498"/>
      <c r="L19" s="498"/>
      <c r="M19" s="498"/>
      <c r="N19" s="498"/>
      <c r="O19" s="498"/>
      <c r="P19" s="498"/>
      <c r="Q19" s="498"/>
      <c r="R19" s="498"/>
      <c r="S19" s="321"/>
      <c r="T19" s="318"/>
    </row>
    <row r="20" spans="2:22">
      <c r="F20" s="318"/>
      <c r="G20" s="318"/>
      <c r="H20" s="318"/>
      <c r="I20" s="318"/>
      <c r="J20" s="318"/>
      <c r="K20" s="318"/>
      <c r="L20" s="318"/>
      <c r="M20" s="318"/>
      <c r="N20" s="318"/>
      <c r="O20" s="318"/>
      <c r="P20" s="318"/>
      <c r="Q20" s="318"/>
      <c r="R20" s="318"/>
      <c r="S20" s="318"/>
      <c r="T20" s="318"/>
    </row>
    <row r="21" spans="2:22" ht="320.10000000000002" customHeight="1">
      <c r="F21" s="318"/>
      <c r="G21" s="318"/>
      <c r="H21" s="318"/>
      <c r="I21" s="318"/>
      <c r="J21" s="318"/>
      <c r="K21" s="318"/>
      <c r="L21" s="318"/>
      <c r="M21" s="318"/>
      <c r="N21" s="318"/>
      <c r="O21" s="318"/>
      <c r="P21" s="318"/>
      <c r="Q21" s="318"/>
      <c r="R21" s="318"/>
      <c r="S21" s="318"/>
      <c r="T21" s="318"/>
    </row>
    <row r="22" spans="2:22" ht="150" customHeight="1">
      <c r="F22" s="318"/>
      <c r="G22" s="318"/>
      <c r="H22" s="318"/>
      <c r="I22" s="318"/>
      <c r="J22" s="318"/>
      <c r="K22" s="318"/>
      <c r="L22" s="318"/>
      <c r="M22" s="318"/>
      <c r="N22" s="318"/>
      <c r="O22" s="318"/>
      <c r="P22" s="318"/>
      <c r="Q22" s="318"/>
      <c r="R22" s="318"/>
      <c r="S22" s="318"/>
      <c r="T22" s="318"/>
    </row>
    <row r="23" spans="2:22" ht="18.75">
      <c r="B23" s="316"/>
      <c r="F23" s="318"/>
      <c r="G23" s="501" t="s">
        <v>508</v>
      </c>
      <c r="H23" s="501"/>
      <c r="I23" s="501"/>
      <c r="J23" s="501"/>
      <c r="K23" s="501"/>
      <c r="L23" s="501"/>
      <c r="M23" s="501"/>
      <c r="N23" s="501"/>
      <c r="O23" s="501"/>
      <c r="P23" s="501"/>
      <c r="Q23" s="501"/>
      <c r="R23" s="501"/>
      <c r="S23" s="501"/>
      <c r="T23" s="318"/>
      <c r="U23" s="120">
        <v>1</v>
      </c>
      <c r="V23" s="120">
        <v>1</v>
      </c>
    </row>
    <row r="24" spans="2:22" ht="7.5" customHeight="1">
      <c r="F24" s="318"/>
      <c r="G24" s="502"/>
      <c r="H24" s="502"/>
      <c r="I24" s="502"/>
      <c r="J24" s="502"/>
      <c r="K24" s="502"/>
      <c r="L24" s="502"/>
      <c r="M24" s="502"/>
      <c r="N24" s="502"/>
      <c r="O24" s="502"/>
      <c r="P24" s="502"/>
      <c r="Q24" s="502"/>
      <c r="R24" s="502"/>
      <c r="S24" s="502"/>
      <c r="T24" s="318"/>
    </row>
    <row r="25" spans="2:22" ht="363" customHeight="1">
      <c r="F25" s="318"/>
      <c r="G25" s="320"/>
      <c r="H25" s="498" t="s">
        <v>509</v>
      </c>
      <c r="I25" s="498"/>
      <c r="J25" s="498"/>
      <c r="K25" s="498"/>
      <c r="L25" s="498"/>
      <c r="M25" s="498"/>
      <c r="N25" s="498"/>
      <c r="O25" s="498"/>
      <c r="P25" s="498"/>
      <c r="Q25" s="498"/>
      <c r="R25" s="498"/>
      <c r="S25" s="321"/>
      <c r="T25" s="318"/>
    </row>
    <row r="26" spans="2:22">
      <c r="F26" s="318"/>
      <c r="G26" s="318"/>
      <c r="H26" s="318"/>
      <c r="I26" s="318"/>
      <c r="J26" s="318"/>
      <c r="K26" s="318"/>
      <c r="L26" s="318"/>
      <c r="M26" s="318"/>
      <c r="N26" s="318"/>
      <c r="O26" s="318"/>
      <c r="P26" s="318"/>
      <c r="Q26" s="318"/>
      <c r="R26" s="318"/>
      <c r="S26" s="318"/>
      <c r="T26" s="318"/>
    </row>
    <row r="27" spans="2:22" ht="320.10000000000002" customHeight="1">
      <c r="F27" s="318"/>
      <c r="G27" s="318"/>
      <c r="H27" s="318"/>
      <c r="I27" s="318"/>
      <c r="J27" s="318"/>
      <c r="K27" s="318"/>
      <c r="L27" s="318"/>
      <c r="M27" s="318"/>
      <c r="N27" s="318"/>
      <c r="O27" s="318"/>
      <c r="P27" s="318"/>
      <c r="Q27" s="318"/>
      <c r="R27" s="318"/>
      <c r="S27" s="318"/>
      <c r="T27" s="318"/>
    </row>
    <row r="28" spans="2:22" ht="150" customHeight="1">
      <c r="F28" s="318"/>
      <c r="G28" s="318"/>
      <c r="H28" s="318"/>
      <c r="I28" s="318"/>
      <c r="J28" s="318"/>
      <c r="K28" s="318"/>
      <c r="L28" s="318"/>
      <c r="M28" s="318"/>
      <c r="N28" s="318"/>
      <c r="O28" s="318"/>
      <c r="P28" s="318"/>
      <c r="Q28" s="318"/>
      <c r="R28" s="318"/>
      <c r="S28" s="318"/>
      <c r="T28" s="318"/>
    </row>
    <row r="29" spans="2:22" ht="18.75">
      <c r="B29" s="316"/>
      <c r="F29" s="318"/>
      <c r="G29" s="501" t="s">
        <v>193</v>
      </c>
      <c r="H29" s="501"/>
      <c r="I29" s="501"/>
      <c r="J29" s="501"/>
      <c r="K29" s="501"/>
      <c r="L29" s="501"/>
      <c r="M29" s="501"/>
      <c r="N29" s="501"/>
      <c r="O29" s="501"/>
      <c r="P29" s="501"/>
      <c r="Q29" s="501"/>
      <c r="R29" s="501"/>
      <c r="S29" s="501"/>
      <c r="T29" s="318"/>
      <c r="U29" s="120">
        <v>1</v>
      </c>
      <c r="V29" s="120">
        <v>1</v>
      </c>
    </row>
    <row r="30" spans="2:22" ht="7.5" customHeight="1">
      <c r="F30" s="318"/>
      <c r="G30" s="502"/>
      <c r="H30" s="502"/>
      <c r="I30" s="502"/>
      <c r="J30" s="502"/>
      <c r="K30" s="502"/>
      <c r="L30" s="502"/>
      <c r="M30" s="502"/>
      <c r="N30" s="502"/>
      <c r="O30" s="502"/>
      <c r="P30" s="502"/>
      <c r="Q30" s="502"/>
      <c r="R30" s="502"/>
      <c r="S30" s="502"/>
      <c r="T30" s="318"/>
    </row>
    <row r="31" spans="2:22" ht="126" customHeight="1">
      <c r="F31" s="318"/>
      <c r="G31" s="320"/>
      <c r="H31" s="498" t="s">
        <v>234</v>
      </c>
      <c r="I31" s="498"/>
      <c r="J31" s="498"/>
      <c r="K31" s="498"/>
      <c r="L31" s="498"/>
      <c r="M31" s="498"/>
      <c r="N31" s="498"/>
      <c r="O31" s="498"/>
      <c r="P31" s="498"/>
      <c r="Q31" s="498"/>
      <c r="R31" s="498"/>
      <c r="S31" s="321"/>
      <c r="T31" s="318"/>
    </row>
    <row r="32" spans="2:22">
      <c r="F32" s="318"/>
      <c r="G32" s="318"/>
      <c r="H32" s="318"/>
      <c r="I32" s="318"/>
      <c r="J32" s="318"/>
      <c r="K32" s="318"/>
      <c r="L32" s="318"/>
      <c r="M32" s="318"/>
      <c r="N32" s="318"/>
      <c r="O32" s="318"/>
      <c r="P32" s="318"/>
      <c r="Q32" s="318"/>
      <c r="R32" s="318"/>
      <c r="S32" s="318"/>
      <c r="T32" s="318"/>
    </row>
    <row r="33" spans="2:22" ht="320.10000000000002" customHeight="1">
      <c r="F33" s="318"/>
      <c r="G33" s="318"/>
      <c r="H33" s="318"/>
      <c r="I33" s="318"/>
      <c r="J33" s="318"/>
      <c r="K33" s="318"/>
      <c r="L33" s="318"/>
      <c r="M33" s="318"/>
      <c r="N33" s="318"/>
      <c r="O33" s="318"/>
      <c r="P33" s="318"/>
      <c r="Q33" s="318"/>
      <c r="R33" s="318"/>
      <c r="S33" s="318"/>
      <c r="T33" s="318"/>
    </row>
    <row r="34" spans="2:22" ht="150" customHeight="1">
      <c r="F34" s="318"/>
      <c r="G34" s="318"/>
      <c r="H34" s="318"/>
      <c r="I34" s="318"/>
      <c r="J34" s="318"/>
      <c r="K34" s="318"/>
      <c r="L34" s="318"/>
      <c r="M34" s="318"/>
      <c r="N34" s="318"/>
      <c r="O34" s="318"/>
      <c r="P34" s="318"/>
      <c r="Q34" s="318"/>
      <c r="R34" s="318"/>
      <c r="S34" s="318"/>
      <c r="T34" s="318"/>
    </row>
    <row r="35" spans="2:22" ht="18.75">
      <c r="B35" s="316"/>
      <c r="F35" s="318"/>
      <c r="G35" s="501" t="s">
        <v>60</v>
      </c>
      <c r="H35" s="501"/>
      <c r="I35" s="501"/>
      <c r="J35" s="501"/>
      <c r="K35" s="501"/>
      <c r="L35" s="501"/>
      <c r="M35" s="501"/>
      <c r="N35" s="501"/>
      <c r="O35" s="501"/>
      <c r="P35" s="501"/>
      <c r="Q35" s="501"/>
      <c r="R35" s="501"/>
      <c r="S35" s="501"/>
      <c r="T35" s="318"/>
      <c r="U35" s="120">
        <v>1</v>
      </c>
      <c r="V35" s="120">
        <v>2</v>
      </c>
    </row>
    <row r="36" spans="2:22" ht="7.5" customHeight="1">
      <c r="F36" s="318"/>
      <c r="G36" s="502"/>
      <c r="H36" s="502"/>
      <c r="I36" s="502"/>
      <c r="J36" s="502"/>
      <c r="K36" s="502"/>
      <c r="L36" s="502"/>
      <c r="M36" s="502"/>
      <c r="N36" s="502"/>
      <c r="O36" s="502"/>
      <c r="P36" s="502"/>
      <c r="Q36" s="502"/>
      <c r="R36" s="502"/>
      <c r="S36" s="502"/>
      <c r="T36" s="318"/>
    </row>
    <row r="37" spans="2:22" ht="240" customHeight="1">
      <c r="F37" s="318"/>
      <c r="G37" s="320"/>
      <c r="H37" s="498" t="s">
        <v>510</v>
      </c>
      <c r="I37" s="498"/>
      <c r="J37" s="498"/>
      <c r="K37" s="498"/>
      <c r="L37" s="498"/>
      <c r="M37" s="498"/>
      <c r="N37" s="498"/>
      <c r="O37" s="498"/>
      <c r="P37" s="498"/>
      <c r="Q37" s="498"/>
      <c r="R37" s="498"/>
      <c r="S37" s="321"/>
      <c r="T37" s="318"/>
    </row>
    <row r="38" spans="2:22">
      <c r="F38" s="318"/>
      <c r="G38" s="318"/>
      <c r="H38" s="318"/>
      <c r="I38" s="318"/>
      <c r="J38" s="318"/>
      <c r="K38" s="318"/>
      <c r="L38" s="318"/>
      <c r="M38" s="318"/>
      <c r="N38" s="318"/>
      <c r="O38" s="318"/>
      <c r="P38" s="318"/>
      <c r="Q38" s="318"/>
      <c r="R38" s="318"/>
      <c r="S38" s="318"/>
      <c r="T38" s="318"/>
    </row>
    <row r="39" spans="2:22" ht="320.10000000000002" customHeight="1">
      <c r="F39" s="318"/>
      <c r="G39" s="318"/>
      <c r="H39" s="318"/>
      <c r="I39" s="318"/>
      <c r="J39" s="318"/>
      <c r="K39" s="318"/>
      <c r="L39" s="318"/>
      <c r="M39" s="318"/>
      <c r="N39" s="318"/>
      <c r="O39" s="318"/>
      <c r="P39" s="318"/>
      <c r="Q39" s="318"/>
      <c r="R39" s="318"/>
      <c r="S39" s="318"/>
      <c r="T39" s="318"/>
    </row>
    <row r="40" spans="2:22" ht="150" customHeight="1">
      <c r="F40" s="318"/>
      <c r="G40" s="318"/>
      <c r="H40" s="318"/>
      <c r="I40" s="318"/>
      <c r="J40" s="318"/>
      <c r="K40" s="318"/>
      <c r="L40" s="318"/>
      <c r="M40" s="318"/>
      <c r="N40" s="318"/>
      <c r="O40" s="318"/>
      <c r="P40" s="318"/>
      <c r="Q40" s="318"/>
      <c r="R40" s="318"/>
      <c r="S40" s="318"/>
      <c r="T40" s="318"/>
    </row>
    <row r="41" spans="2:22" ht="18.75">
      <c r="B41" s="316"/>
      <c r="F41" s="318"/>
      <c r="G41" s="501" t="s">
        <v>408</v>
      </c>
      <c r="H41" s="501"/>
      <c r="I41" s="501"/>
      <c r="J41" s="501"/>
      <c r="K41" s="501"/>
      <c r="L41" s="501"/>
      <c r="M41" s="501"/>
      <c r="N41" s="501"/>
      <c r="O41" s="501"/>
      <c r="P41" s="501"/>
      <c r="Q41" s="501"/>
      <c r="R41" s="501"/>
      <c r="S41" s="501"/>
      <c r="T41" s="318"/>
      <c r="U41" s="120">
        <v>1</v>
      </c>
      <c r="V41" s="120">
        <v>3</v>
      </c>
    </row>
    <row r="42" spans="2:22" ht="7.5" customHeight="1">
      <c r="F42" s="318"/>
      <c r="G42" s="502"/>
      <c r="H42" s="502"/>
      <c r="I42" s="502"/>
      <c r="J42" s="502"/>
      <c r="K42" s="502"/>
      <c r="L42" s="502"/>
      <c r="M42" s="502"/>
      <c r="N42" s="502"/>
      <c r="O42" s="502"/>
      <c r="P42" s="502"/>
      <c r="Q42" s="502"/>
      <c r="R42" s="502"/>
      <c r="S42" s="502"/>
      <c r="T42" s="318"/>
    </row>
    <row r="43" spans="2:22" ht="70.5" customHeight="1">
      <c r="F43" s="318"/>
      <c r="G43" s="320"/>
      <c r="H43" s="498" t="s">
        <v>511</v>
      </c>
      <c r="I43" s="498"/>
      <c r="J43" s="498"/>
      <c r="K43" s="498"/>
      <c r="L43" s="498"/>
      <c r="M43" s="498"/>
      <c r="N43" s="498"/>
      <c r="O43" s="498"/>
      <c r="P43" s="498"/>
      <c r="Q43" s="498"/>
      <c r="R43" s="498"/>
      <c r="S43" s="321"/>
      <c r="T43" s="318"/>
    </row>
    <row r="44" spans="2:22">
      <c r="F44" s="318"/>
      <c r="G44" s="318"/>
      <c r="H44" s="318"/>
      <c r="I44" s="318"/>
      <c r="J44" s="318"/>
      <c r="K44" s="318"/>
      <c r="L44" s="318"/>
      <c r="M44" s="318"/>
      <c r="N44" s="318"/>
      <c r="O44" s="318"/>
      <c r="P44" s="318"/>
      <c r="Q44" s="318"/>
      <c r="R44" s="318"/>
      <c r="S44" s="318"/>
      <c r="T44" s="318"/>
    </row>
    <row r="45" spans="2:22" ht="320.10000000000002" customHeight="1">
      <c r="F45" s="318"/>
      <c r="G45" s="318"/>
      <c r="H45" s="318"/>
      <c r="I45" s="318"/>
      <c r="J45" s="318"/>
      <c r="K45" s="318"/>
      <c r="L45" s="318"/>
      <c r="M45" s="318"/>
      <c r="N45" s="318"/>
      <c r="O45" s="318"/>
      <c r="P45" s="318"/>
      <c r="Q45" s="318"/>
      <c r="R45" s="318"/>
      <c r="S45" s="318"/>
      <c r="T45" s="318"/>
    </row>
    <row r="46" spans="2:22" ht="150" customHeight="1">
      <c r="F46" s="318"/>
      <c r="G46" s="318"/>
      <c r="H46" s="318"/>
      <c r="I46" s="318"/>
      <c r="J46" s="318"/>
      <c r="K46" s="318"/>
      <c r="L46" s="318"/>
      <c r="M46" s="318"/>
      <c r="N46" s="318"/>
      <c r="O46" s="318"/>
      <c r="P46" s="318"/>
      <c r="Q46" s="318"/>
      <c r="R46" s="318"/>
      <c r="S46" s="318"/>
      <c r="T46" s="318"/>
    </row>
    <row r="47" spans="2:22" ht="18.75">
      <c r="B47" s="316"/>
      <c r="F47" s="318"/>
      <c r="G47" s="501" t="s">
        <v>235</v>
      </c>
      <c r="H47" s="501"/>
      <c r="I47" s="501"/>
      <c r="J47" s="501"/>
      <c r="K47" s="501"/>
      <c r="L47" s="501"/>
      <c r="M47" s="501"/>
      <c r="N47" s="501"/>
      <c r="O47" s="501"/>
      <c r="P47" s="501"/>
      <c r="Q47" s="501"/>
      <c r="R47" s="501"/>
      <c r="S47" s="501"/>
      <c r="T47" s="318"/>
      <c r="U47" s="120">
        <v>1</v>
      </c>
      <c r="V47" s="120">
        <v>4</v>
      </c>
    </row>
    <row r="48" spans="2:22" ht="7.5" customHeight="1">
      <c r="F48" s="318"/>
      <c r="G48" s="502"/>
      <c r="H48" s="502"/>
      <c r="I48" s="502"/>
      <c r="J48" s="502"/>
      <c r="K48" s="502"/>
      <c r="L48" s="502"/>
      <c r="M48" s="502"/>
      <c r="N48" s="502"/>
      <c r="O48" s="502"/>
      <c r="P48" s="502"/>
      <c r="Q48" s="502"/>
      <c r="R48" s="502"/>
      <c r="S48" s="502"/>
      <c r="T48" s="318"/>
    </row>
    <row r="49" spans="2:22" ht="69.75" customHeight="1">
      <c r="F49" s="318"/>
      <c r="G49" s="320"/>
      <c r="H49" s="498" t="s">
        <v>512</v>
      </c>
      <c r="I49" s="498"/>
      <c r="J49" s="498"/>
      <c r="K49" s="498"/>
      <c r="L49" s="498"/>
      <c r="M49" s="498"/>
      <c r="N49" s="498"/>
      <c r="O49" s="498"/>
      <c r="P49" s="498"/>
      <c r="Q49" s="498"/>
      <c r="R49" s="498"/>
      <c r="S49" s="321"/>
      <c r="T49" s="318"/>
    </row>
    <row r="50" spans="2:22">
      <c r="F50" s="318"/>
      <c r="G50" s="318"/>
      <c r="H50" s="318"/>
      <c r="I50" s="318"/>
      <c r="J50" s="318"/>
      <c r="K50" s="318"/>
      <c r="L50" s="318"/>
      <c r="M50" s="318"/>
      <c r="N50" s="318"/>
      <c r="O50" s="318"/>
      <c r="P50" s="318"/>
      <c r="Q50" s="318"/>
      <c r="R50" s="318"/>
      <c r="S50" s="318"/>
      <c r="T50" s="318"/>
    </row>
    <row r="51" spans="2:22" ht="320.10000000000002" customHeight="1">
      <c r="F51" s="318"/>
      <c r="G51" s="318"/>
      <c r="H51" s="318"/>
      <c r="I51" s="318"/>
      <c r="J51" s="318"/>
      <c r="K51" s="318"/>
      <c r="L51" s="318"/>
      <c r="M51" s="318"/>
      <c r="N51" s="318"/>
      <c r="O51" s="318"/>
      <c r="P51" s="318"/>
      <c r="Q51" s="318"/>
      <c r="R51" s="318"/>
      <c r="S51" s="318"/>
      <c r="T51" s="318"/>
    </row>
    <row r="52" spans="2:22" ht="150" customHeight="1">
      <c r="F52" s="318"/>
      <c r="G52" s="318"/>
      <c r="H52" s="318"/>
      <c r="I52" s="318"/>
      <c r="J52" s="318"/>
      <c r="K52" s="318"/>
      <c r="L52" s="318"/>
      <c r="M52" s="318"/>
      <c r="N52" s="318"/>
      <c r="O52" s="318"/>
      <c r="P52" s="318"/>
      <c r="Q52" s="318"/>
      <c r="R52" s="318"/>
      <c r="S52" s="318"/>
      <c r="T52" s="318"/>
    </row>
    <row r="53" spans="2:22" ht="18.75">
      <c r="B53" s="316"/>
      <c r="F53" s="318"/>
      <c r="G53" s="501" t="s">
        <v>103</v>
      </c>
      <c r="H53" s="501"/>
      <c r="I53" s="501"/>
      <c r="J53" s="501"/>
      <c r="K53" s="501"/>
      <c r="L53" s="501"/>
      <c r="M53" s="501"/>
      <c r="N53" s="501"/>
      <c r="O53" s="501"/>
      <c r="P53" s="501"/>
      <c r="Q53" s="501"/>
      <c r="R53" s="501"/>
      <c r="S53" s="501"/>
      <c r="T53" s="318"/>
      <c r="U53" s="120">
        <v>2</v>
      </c>
    </row>
    <row r="54" spans="2:22" ht="7.5" customHeight="1">
      <c r="F54" s="318"/>
      <c r="G54" s="502"/>
      <c r="H54" s="502"/>
      <c r="I54" s="502"/>
      <c r="J54" s="502"/>
      <c r="K54" s="502"/>
      <c r="L54" s="502"/>
      <c r="M54" s="502"/>
      <c r="N54" s="502"/>
      <c r="O54" s="502"/>
      <c r="P54" s="502"/>
      <c r="Q54" s="502"/>
      <c r="R54" s="502"/>
      <c r="S54" s="502"/>
      <c r="T54" s="318"/>
    </row>
    <row r="55" spans="2:22" ht="50.25" customHeight="1">
      <c r="F55" s="318"/>
      <c r="G55" s="320"/>
      <c r="H55" s="498" t="s">
        <v>297</v>
      </c>
      <c r="I55" s="498"/>
      <c r="J55" s="498"/>
      <c r="K55" s="498"/>
      <c r="L55" s="498"/>
      <c r="M55" s="498"/>
      <c r="N55" s="498"/>
      <c r="O55" s="498"/>
      <c r="P55" s="498"/>
      <c r="Q55" s="498"/>
      <c r="R55" s="498"/>
      <c r="S55" s="321"/>
      <c r="T55" s="318"/>
    </row>
    <row r="56" spans="2:22">
      <c r="F56" s="318"/>
      <c r="G56" s="318"/>
      <c r="H56" s="318"/>
      <c r="I56" s="318"/>
      <c r="J56" s="318"/>
      <c r="K56" s="318"/>
      <c r="L56" s="318"/>
      <c r="M56" s="318"/>
      <c r="N56" s="318"/>
      <c r="O56" s="318"/>
      <c r="P56" s="318"/>
      <c r="Q56" s="318"/>
      <c r="R56" s="318"/>
      <c r="S56" s="318"/>
      <c r="T56" s="318"/>
    </row>
    <row r="57" spans="2:22" ht="320.10000000000002" customHeight="1">
      <c r="F57" s="318"/>
      <c r="G57" s="318"/>
      <c r="H57" s="318"/>
      <c r="I57" s="318"/>
      <c r="J57" s="318"/>
      <c r="K57" s="318"/>
      <c r="L57" s="318"/>
      <c r="M57" s="318"/>
      <c r="N57" s="318"/>
      <c r="O57" s="318"/>
      <c r="P57" s="318"/>
      <c r="Q57" s="318"/>
      <c r="R57" s="318"/>
      <c r="S57" s="318"/>
      <c r="T57" s="318"/>
    </row>
    <row r="58" spans="2:22" ht="150" customHeight="1">
      <c r="F58" s="318"/>
      <c r="G58" s="318"/>
      <c r="H58" s="318"/>
      <c r="I58" s="318"/>
      <c r="J58" s="318"/>
      <c r="K58" s="318"/>
      <c r="L58" s="318"/>
      <c r="M58" s="318"/>
      <c r="N58" s="318"/>
      <c r="O58" s="318"/>
      <c r="P58" s="318"/>
      <c r="Q58" s="318"/>
      <c r="R58" s="318"/>
      <c r="S58" s="318"/>
      <c r="T58" s="318"/>
    </row>
    <row r="59" spans="2:22" ht="18.75">
      <c r="B59" s="316"/>
      <c r="F59" s="318"/>
      <c r="G59" s="501" t="s">
        <v>513</v>
      </c>
      <c r="H59" s="501"/>
      <c r="I59" s="501"/>
      <c r="J59" s="501"/>
      <c r="K59" s="501"/>
      <c r="L59" s="501"/>
      <c r="M59" s="501"/>
      <c r="N59" s="501"/>
      <c r="O59" s="501"/>
      <c r="P59" s="501"/>
      <c r="Q59" s="501"/>
      <c r="R59" s="501"/>
      <c r="S59" s="501"/>
      <c r="T59" s="318"/>
      <c r="U59" s="120">
        <v>2</v>
      </c>
      <c r="V59" s="120">
        <v>1</v>
      </c>
    </row>
    <row r="60" spans="2:22" ht="7.5" customHeight="1">
      <c r="F60" s="318"/>
      <c r="G60" s="502"/>
      <c r="H60" s="502"/>
      <c r="I60" s="502"/>
      <c r="J60" s="502"/>
      <c r="K60" s="502"/>
      <c r="L60" s="502"/>
      <c r="M60" s="502"/>
      <c r="N60" s="502"/>
      <c r="O60" s="502"/>
      <c r="P60" s="502"/>
      <c r="Q60" s="502"/>
      <c r="R60" s="502"/>
      <c r="S60" s="502"/>
      <c r="T60" s="318"/>
    </row>
    <row r="61" spans="2:22" ht="50.25" customHeight="1">
      <c r="F61" s="318"/>
      <c r="G61" s="320"/>
      <c r="H61" s="498" t="s">
        <v>514</v>
      </c>
      <c r="I61" s="498"/>
      <c r="J61" s="498"/>
      <c r="K61" s="498"/>
      <c r="L61" s="498"/>
      <c r="M61" s="498"/>
      <c r="N61" s="498"/>
      <c r="O61" s="498"/>
      <c r="P61" s="498"/>
      <c r="Q61" s="498"/>
      <c r="R61" s="498"/>
      <c r="S61" s="321"/>
      <c r="T61" s="318"/>
    </row>
    <row r="62" spans="2:22">
      <c r="F62" s="318"/>
      <c r="G62" s="318"/>
      <c r="H62" s="318"/>
      <c r="I62" s="318"/>
      <c r="J62" s="318"/>
      <c r="K62" s="318"/>
      <c r="L62" s="318"/>
      <c r="M62" s="318"/>
      <c r="N62" s="318"/>
      <c r="O62" s="318"/>
      <c r="P62" s="318"/>
      <c r="Q62" s="318"/>
      <c r="R62" s="318"/>
      <c r="S62" s="318"/>
      <c r="T62" s="318"/>
    </row>
    <row r="63" spans="2:22" ht="320.10000000000002" customHeight="1">
      <c r="F63" s="318"/>
      <c r="G63" s="318"/>
      <c r="H63" s="318"/>
      <c r="I63" s="318"/>
      <c r="J63" s="318"/>
      <c r="K63" s="318"/>
      <c r="L63" s="318"/>
      <c r="M63" s="318"/>
      <c r="N63" s="318"/>
      <c r="O63" s="318"/>
      <c r="P63" s="318"/>
      <c r="Q63" s="318"/>
      <c r="R63" s="318"/>
      <c r="S63" s="318"/>
      <c r="T63" s="318"/>
    </row>
    <row r="64" spans="2:22" ht="150" customHeight="1">
      <c r="F64" s="318"/>
      <c r="G64" s="318"/>
      <c r="H64" s="318"/>
      <c r="I64" s="318"/>
      <c r="J64" s="318"/>
      <c r="K64" s="318"/>
      <c r="L64" s="318"/>
      <c r="M64" s="318"/>
      <c r="N64" s="318"/>
      <c r="O64" s="318"/>
      <c r="P64" s="318"/>
      <c r="Q64" s="318"/>
      <c r="R64" s="318"/>
      <c r="S64" s="318"/>
      <c r="T64" s="318"/>
    </row>
    <row r="65" spans="2:22" ht="18.75">
      <c r="B65" s="316"/>
      <c r="F65" s="318"/>
      <c r="G65" s="501" t="s">
        <v>411</v>
      </c>
      <c r="H65" s="501"/>
      <c r="I65" s="501"/>
      <c r="J65" s="501"/>
      <c r="K65" s="501"/>
      <c r="L65" s="501"/>
      <c r="M65" s="501"/>
      <c r="N65" s="501"/>
      <c r="O65" s="501"/>
      <c r="P65" s="501"/>
      <c r="Q65" s="501"/>
      <c r="R65" s="501"/>
      <c r="S65" s="501"/>
      <c r="T65" s="318"/>
      <c r="U65" s="120">
        <v>2</v>
      </c>
      <c r="V65" s="120">
        <v>2</v>
      </c>
    </row>
    <row r="66" spans="2:22" ht="7.5" customHeight="1">
      <c r="F66" s="318"/>
      <c r="G66" s="502"/>
      <c r="H66" s="502"/>
      <c r="I66" s="502"/>
      <c r="J66" s="502"/>
      <c r="K66" s="502"/>
      <c r="L66" s="502"/>
      <c r="M66" s="502"/>
      <c r="N66" s="502"/>
      <c r="O66" s="502"/>
      <c r="P66" s="502"/>
      <c r="Q66" s="502"/>
      <c r="R66" s="502"/>
      <c r="S66" s="502"/>
      <c r="T66" s="318"/>
    </row>
    <row r="67" spans="2:22" ht="50.25" customHeight="1">
      <c r="F67" s="318"/>
      <c r="G67" s="320"/>
      <c r="H67" s="498" t="s">
        <v>412</v>
      </c>
      <c r="I67" s="498"/>
      <c r="J67" s="498"/>
      <c r="K67" s="498"/>
      <c r="L67" s="498"/>
      <c r="M67" s="498"/>
      <c r="N67" s="498"/>
      <c r="O67" s="498"/>
      <c r="P67" s="498"/>
      <c r="Q67" s="498"/>
      <c r="R67" s="498"/>
      <c r="S67" s="321"/>
      <c r="T67" s="318"/>
    </row>
    <row r="68" spans="2:22">
      <c r="F68" s="318"/>
      <c r="G68" s="318"/>
      <c r="H68" s="318"/>
      <c r="I68" s="318"/>
      <c r="J68" s="318"/>
      <c r="K68" s="318"/>
      <c r="L68" s="318"/>
      <c r="M68" s="318"/>
      <c r="N68" s="318"/>
      <c r="O68" s="318"/>
      <c r="P68" s="318"/>
      <c r="Q68" s="318"/>
      <c r="R68" s="318"/>
      <c r="S68" s="318"/>
      <c r="T68" s="318"/>
    </row>
    <row r="69" spans="2:22" ht="320.10000000000002" customHeight="1">
      <c r="F69" s="318"/>
      <c r="G69" s="318"/>
      <c r="H69" s="318"/>
      <c r="I69" s="318"/>
      <c r="J69" s="318"/>
      <c r="K69" s="318"/>
      <c r="L69" s="318"/>
      <c r="M69" s="318"/>
      <c r="N69" s="318"/>
      <c r="O69" s="318"/>
      <c r="P69" s="318"/>
      <c r="Q69" s="318"/>
      <c r="R69" s="318"/>
      <c r="S69" s="318"/>
      <c r="T69" s="318"/>
    </row>
    <row r="70" spans="2:22" ht="150" customHeight="1">
      <c r="F70" s="318"/>
      <c r="G70" s="318"/>
      <c r="H70" s="318"/>
      <c r="I70" s="318"/>
      <c r="J70" s="318"/>
      <c r="K70" s="318"/>
      <c r="L70" s="318"/>
      <c r="M70" s="318"/>
      <c r="N70" s="318"/>
      <c r="O70" s="318"/>
      <c r="P70" s="318"/>
      <c r="Q70" s="318"/>
      <c r="R70" s="318"/>
      <c r="S70" s="318"/>
      <c r="T70" s="318"/>
    </row>
    <row r="71" spans="2:22" ht="18.75">
      <c r="B71" s="316"/>
      <c r="F71" s="318"/>
      <c r="G71" s="501" t="s">
        <v>413</v>
      </c>
      <c r="H71" s="501"/>
      <c r="I71" s="501"/>
      <c r="J71" s="501"/>
      <c r="K71" s="501"/>
      <c r="L71" s="501"/>
      <c r="M71" s="501"/>
      <c r="N71" s="501"/>
      <c r="O71" s="501"/>
      <c r="P71" s="501"/>
      <c r="Q71" s="501"/>
      <c r="R71" s="501"/>
      <c r="S71" s="501"/>
      <c r="T71" s="318"/>
      <c r="U71" s="120">
        <v>2</v>
      </c>
      <c r="V71" s="120">
        <v>3</v>
      </c>
    </row>
    <row r="72" spans="2:22" ht="7.5" customHeight="1">
      <c r="F72" s="318"/>
      <c r="G72" s="502"/>
      <c r="H72" s="502"/>
      <c r="I72" s="502"/>
      <c r="J72" s="502"/>
      <c r="K72" s="502"/>
      <c r="L72" s="502"/>
      <c r="M72" s="502"/>
      <c r="N72" s="502"/>
      <c r="O72" s="502"/>
      <c r="P72" s="502"/>
      <c r="Q72" s="502"/>
      <c r="R72" s="502"/>
      <c r="S72" s="502"/>
      <c r="T72" s="318"/>
    </row>
    <row r="73" spans="2:22" ht="50.25" customHeight="1">
      <c r="F73" s="318"/>
      <c r="G73" s="320"/>
      <c r="H73" s="498" t="s">
        <v>297</v>
      </c>
      <c r="I73" s="498"/>
      <c r="J73" s="498"/>
      <c r="K73" s="498"/>
      <c r="L73" s="498"/>
      <c r="M73" s="498"/>
      <c r="N73" s="498"/>
      <c r="O73" s="498"/>
      <c r="P73" s="498"/>
      <c r="Q73" s="498"/>
      <c r="R73" s="498"/>
      <c r="S73" s="321"/>
      <c r="T73" s="318"/>
    </row>
    <row r="74" spans="2:22">
      <c r="F74" s="318"/>
      <c r="G74" s="318"/>
      <c r="H74" s="318"/>
      <c r="I74" s="318"/>
      <c r="J74" s="318"/>
      <c r="K74" s="318"/>
      <c r="L74" s="318"/>
      <c r="M74" s="318"/>
      <c r="N74" s="318"/>
      <c r="O74" s="318"/>
      <c r="P74" s="318"/>
      <c r="Q74" s="318"/>
      <c r="R74" s="318"/>
      <c r="S74" s="318"/>
      <c r="T74" s="318"/>
    </row>
    <row r="75" spans="2:22" ht="320.10000000000002" customHeight="1">
      <c r="F75" s="318"/>
      <c r="G75" s="318"/>
      <c r="H75" s="318"/>
      <c r="I75" s="318"/>
      <c r="J75" s="318"/>
      <c r="K75" s="318"/>
      <c r="L75" s="318"/>
      <c r="M75" s="318"/>
      <c r="N75" s="318"/>
      <c r="O75" s="318"/>
      <c r="P75" s="318"/>
      <c r="Q75" s="318"/>
      <c r="R75" s="318"/>
      <c r="S75" s="318"/>
      <c r="T75" s="318"/>
    </row>
    <row r="76" spans="2:22" ht="150" customHeight="1">
      <c r="F76" s="318"/>
      <c r="G76" s="318"/>
      <c r="H76" s="318"/>
      <c r="I76" s="318"/>
      <c r="J76" s="318"/>
      <c r="K76" s="318"/>
      <c r="L76" s="318"/>
      <c r="M76" s="318"/>
      <c r="N76" s="318"/>
      <c r="O76" s="318"/>
      <c r="P76" s="318"/>
      <c r="Q76" s="318"/>
      <c r="R76" s="318"/>
      <c r="S76" s="318"/>
      <c r="T76" s="318"/>
    </row>
    <row r="77" spans="2:22" ht="18.75">
      <c r="B77" s="316"/>
      <c r="F77" s="318"/>
      <c r="G77" s="501" t="s">
        <v>124</v>
      </c>
      <c r="H77" s="501"/>
      <c r="I77" s="501"/>
      <c r="J77" s="501"/>
      <c r="K77" s="501"/>
      <c r="L77" s="501"/>
      <c r="M77" s="501"/>
      <c r="N77" s="501"/>
      <c r="O77" s="501"/>
      <c r="P77" s="501"/>
      <c r="Q77" s="501"/>
      <c r="R77" s="501"/>
      <c r="S77" s="501"/>
      <c r="T77" s="318"/>
      <c r="U77" s="120">
        <v>2</v>
      </c>
      <c r="V77" s="120">
        <v>4</v>
      </c>
    </row>
    <row r="78" spans="2:22" ht="7.5" customHeight="1">
      <c r="F78" s="318"/>
      <c r="G78" s="502"/>
      <c r="H78" s="502"/>
      <c r="I78" s="502"/>
      <c r="J78" s="502"/>
      <c r="K78" s="502"/>
      <c r="L78" s="502"/>
      <c r="M78" s="502"/>
      <c r="N78" s="502"/>
      <c r="O78" s="502"/>
      <c r="P78" s="502"/>
      <c r="Q78" s="502"/>
      <c r="R78" s="502"/>
      <c r="S78" s="502"/>
      <c r="T78" s="318"/>
    </row>
    <row r="79" spans="2:22" ht="50.25" customHeight="1">
      <c r="F79" s="318"/>
      <c r="G79" s="320"/>
      <c r="H79" s="498" t="s">
        <v>125</v>
      </c>
      <c r="I79" s="498"/>
      <c r="J79" s="498"/>
      <c r="K79" s="498"/>
      <c r="L79" s="498"/>
      <c r="M79" s="498"/>
      <c r="N79" s="498"/>
      <c r="O79" s="498"/>
      <c r="P79" s="498"/>
      <c r="Q79" s="498"/>
      <c r="R79" s="498"/>
      <c r="S79" s="321"/>
      <c r="T79" s="318"/>
    </row>
    <row r="80" spans="2:22">
      <c r="F80" s="318"/>
      <c r="G80" s="318"/>
      <c r="H80" s="318"/>
      <c r="I80" s="318"/>
      <c r="J80" s="318"/>
      <c r="K80" s="318"/>
      <c r="L80" s="318"/>
      <c r="M80" s="318"/>
      <c r="N80" s="318"/>
      <c r="O80" s="318"/>
      <c r="P80" s="318"/>
      <c r="Q80" s="318"/>
      <c r="R80" s="318"/>
      <c r="S80" s="318"/>
      <c r="T80" s="318"/>
    </row>
    <row r="81" spans="2:22" ht="320.10000000000002" customHeight="1">
      <c r="F81" s="318"/>
      <c r="G81" s="318"/>
      <c r="H81" s="318"/>
      <c r="I81" s="318"/>
      <c r="J81" s="318"/>
      <c r="K81" s="318"/>
      <c r="L81" s="318"/>
      <c r="M81" s="318"/>
      <c r="N81" s="318"/>
      <c r="O81" s="318"/>
      <c r="P81" s="318"/>
      <c r="Q81" s="318"/>
      <c r="R81" s="318"/>
      <c r="S81" s="318"/>
      <c r="T81" s="318"/>
    </row>
    <row r="82" spans="2:22" ht="150" customHeight="1">
      <c r="F82" s="318"/>
      <c r="G82" s="318"/>
      <c r="H82" s="318"/>
      <c r="I82" s="318"/>
      <c r="J82" s="318"/>
      <c r="K82" s="318"/>
      <c r="L82" s="318"/>
      <c r="M82" s="318"/>
      <c r="N82" s="318"/>
      <c r="O82" s="318"/>
      <c r="P82" s="318"/>
      <c r="Q82" s="318"/>
      <c r="R82" s="318"/>
      <c r="S82" s="318"/>
      <c r="T82" s="318"/>
    </row>
    <row r="83" spans="2:22" ht="18.75">
      <c r="B83" s="316"/>
      <c r="F83" s="318"/>
      <c r="G83" s="501" t="s">
        <v>1</v>
      </c>
      <c r="H83" s="501"/>
      <c r="I83" s="501"/>
      <c r="J83" s="501"/>
      <c r="K83" s="501"/>
      <c r="L83" s="501"/>
      <c r="M83" s="501"/>
      <c r="N83" s="501"/>
      <c r="O83" s="501"/>
      <c r="P83" s="501"/>
      <c r="Q83" s="501"/>
      <c r="R83" s="501"/>
      <c r="S83" s="501"/>
      <c r="T83" s="318"/>
      <c r="U83" s="120">
        <v>2</v>
      </c>
      <c r="V83" s="120">
        <v>5</v>
      </c>
    </row>
    <row r="84" spans="2:22" ht="7.5" customHeight="1">
      <c r="F84" s="318"/>
      <c r="G84" s="502"/>
      <c r="H84" s="502"/>
      <c r="I84" s="502"/>
      <c r="J84" s="502"/>
      <c r="K84" s="502"/>
      <c r="L84" s="502"/>
      <c r="M84" s="502"/>
      <c r="N84" s="502"/>
      <c r="O84" s="502"/>
      <c r="P84" s="502"/>
      <c r="Q84" s="502"/>
      <c r="R84" s="502"/>
      <c r="S84" s="502"/>
      <c r="T84" s="318"/>
    </row>
    <row r="85" spans="2:22" ht="185.25" customHeight="1">
      <c r="F85" s="318"/>
      <c r="G85" s="320"/>
      <c r="H85" s="498" t="s">
        <v>515</v>
      </c>
      <c r="I85" s="498"/>
      <c r="J85" s="498"/>
      <c r="K85" s="498"/>
      <c r="L85" s="498"/>
      <c r="M85" s="498"/>
      <c r="N85" s="498"/>
      <c r="O85" s="498"/>
      <c r="P85" s="498"/>
      <c r="Q85" s="498"/>
      <c r="R85" s="498"/>
      <c r="S85" s="321"/>
      <c r="T85" s="318"/>
    </row>
    <row r="86" spans="2:22" ht="155.25" customHeight="1">
      <c r="F86" s="318"/>
      <c r="G86" s="320"/>
      <c r="H86" s="498" t="s">
        <v>516</v>
      </c>
      <c r="I86" s="498"/>
      <c r="J86" s="498"/>
      <c r="K86" s="498"/>
      <c r="L86" s="498"/>
      <c r="M86" s="498"/>
      <c r="N86" s="498"/>
      <c r="O86" s="498"/>
      <c r="P86" s="498"/>
      <c r="Q86" s="498"/>
      <c r="R86" s="498"/>
      <c r="S86" s="321"/>
      <c r="T86" s="318"/>
    </row>
    <row r="87" spans="2:22" ht="320.10000000000002" customHeight="1">
      <c r="F87" s="318"/>
      <c r="G87" s="318"/>
      <c r="H87" s="318"/>
      <c r="I87" s="318"/>
      <c r="J87" s="318"/>
      <c r="K87" s="318"/>
      <c r="L87" s="318"/>
      <c r="M87" s="318"/>
      <c r="N87" s="318"/>
      <c r="O87" s="318"/>
      <c r="P87" s="318"/>
      <c r="Q87" s="318"/>
      <c r="R87" s="318"/>
      <c r="S87" s="318"/>
      <c r="T87" s="318"/>
    </row>
    <row r="88" spans="2:22" ht="150" customHeight="1">
      <c r="F88" s="318"/>
      <c r="G88" s="318"/>
      <c r="H88" s="318"/>
      <c r="I88" s="318"/>
      <c r="J88" s="318"/>
      <c r="K88" s="318"/>
      <c r="L88" s="318"/>
      <c r="M88" s="318"/>
      <c r="N88" s="318"/>
      <c r="O88" s="318"/>
      <c r="P88" s="318"/>
      <c r="Q88" s="318"/>
      <c r="R88" s="318"/>
      <c r="S88" s="318"/>
      <c r="T88" s="318"/>
    </row>
    <row r="89" spans="2:22" ht="18.75">
      <c r="B89" s="316"/>
      <c r="F89" s="318"/>
      <c r="G89" s="501" t="s">
        <v>237</v>
      </c>
      <c r="H89" s="501"/>
      <c r="I89" s="501"/>
      <c r="J89" s="501"/>
      <c r="K89" s="501"/>
      <c r="L89" s="501"/>
      <c r="M89" s="501"/>
      <c r="N89" s="501"/>
      <c r="O89" s="501"/>
      <c r="P89" s="501"/>
      <c r="Q89" s="501"/>
      <c r="R89" s="501"/>
      <c r="S89" s="501"/>
      <c r="T89" s="318"/>
      <c r="U89" s="120">
        <v>2</v>
      </c>
      <c r="V89" s="120">
        <v>6</v>
      </c>
    </row>
    <row r="90" spans="2:22" ht="7.5" customHeight="1">
      <c r="F90" s="318"/>
      <c r="G90" s="502"/>
      <c r="H90" s="502"/>
      <c r="I90" s="502"/>
      <c r="J90" s="502"/>
      <c r="K90" s="502"/>
      <c r="L90" s="502"/>
      <c r="M90" s="502"/>
      <c r="N90" s="502"/>
      <c r="O90" s="502"/>
      <c r="P90" s="502"/>
      <c r="Q90" s="502"/>
      <c r="R90" s="502"/>
      <c r="S90" s="502"/>
      <c r="T90" s="318"/>
    </row>
    <row r="91" spans="2:22" ht="126" customHeight="1">
      <c r="F91" s="318"/>
      <c r="G91" s="320"/>
      <c r="H91" s="498" t="s">
        <v>517</v>
      </c>
      <c r="I91" s="498"/>
      <c r="J91" s="498"/>
      <c r="K91" s="498"/>
      <c r="L91" s="498"/>
      <c r="M91" s="498"/>
      <c r="N91" s="498"/>
      <c r="O91" s="498"/>
      <c r="P91" s="498"/>
      <c r="Q91" s="498"/>
      <c r="R91" s="498"/>
      <c r="S91" s="321"/>
      <c r="T91" s="318"/>
    </row>
    <row r="92" spans="2:22">
      <c r="F92" s="318"/>
      <c r="G92" s="318"/>
      <c r="H92" s="318"/>
      <c r="I92" s="318"/>
      <c r="J92" s="318"/>
      <c r="K92" s="318"/>
      <c r="L92" s="318"/>
      <c r="M92" s="318"/>
      <c r="N92" s="318"/>
      <c r="O92" s="318"/>
      <c r="P92" s="318"/>
      <c r="Q92" s="318"/>
      <c r="R92" s="318"/>
      <c r="S92" s="318"/>
      <c r="T92" s="318"/>
    </row>
    <row r="93" spans="2:22" ht="320.10000000000002" customHeight="1">
      <c r="F93" s="318"/>
      <c r="G93" s="318"/>
      <c r="H93" s="318"/>
      <c r="I93" s="318"/>
      <c r="J93" s="318"/>
      <c r="K93" s="318"/>
      <c r="L93" s="318"/>
      <c r="M93" s="318"/>
      <c r="N93" s="318"/>
      <c r="O93" s="318"/>
      <c r="P93" s="318"/>
      <c r="Q93" s="318"/>
      <c r="R93" s="318"/>
      <c r="S93" s="318"/>
      <c r="T93" s="318"/>
    </row>
    <row r="94" spans="2:22" ht="150" customHeight="1">
      <c r="F94" s="318"/>
      <c r="G94" s="318"/>
      <c r="H94" s="318"/>
      <c r="I94" s="318"/>
      <c r="J94" s="318"/>
      <c r="K94" s="318"/>
      <c r="L94" s="318"/>
      <c r="M94" s="318"/>
      <c r="N94" s="318"/>
      <c r="O94" s="318"/>
      <c r="P94" s="318"/>
      <c r="Q94" s="318"/>
      <c r="R94" s="318"/>
      <c r="S94" s="318"/>
      <c r="T94" s="318"/>
    </row>
    <row r="95" spans="2:22" ht="18.75">
      <c r="B95" s="316"/>
      <c r="F95" s="318"/>
      <c r="G95" s="501" t="s">
        <v>62</v>
      </c>
      <c r="H95" s="501"/>
      <c r="I95" s="501"/>
      <c r="J95" s="501"/>
      <c r="K95" s="501"/>
      <c r="L95" s="501"/>
      <c r="M95" s="501"/>
      <c r="N95" s="501"/>
      <c r="O95" s="501"/>
      <c r="P95" s="501"/>
      <c r="Q95" s="501"/>
      <c r="R95" s="501"/>
      <c r="S95" s="501"/>
      <c r="T95" s="318"/>
      <c r="U95" s="120">
        <v>2</v>
      </c>
      <c r="V95" s="120">
        <v>7</v>
      </c>
    </row>
    <row r="96" spans="2:22" ht="7.5" customHeight="1">
      <c r="F96" s="318"/>
      <c r="G96" s="502"/>
      <c r="H96" s="502"/>
      <c r="I96" s="502"/>
      <c r="J96" s="502"/>
      <c r="K96" s="502"/>
      <c r="L96" s="502"/>
      <c r="M96" s="502"/>
      <c r="N96" s="502"/>
      <c r="O96" s="502"/>
      <c r="P96" s="502"/>
      <c r="Q96" s="502"/>
      <c r="R96" s="502"/>
      <c r="S96" s="502"/>
      <c r="T96" s="318"/>
    </row>
    <row r="97" spans="2:22" ht="30" customHeight="1">
      <c r="F97" s="318"/>
      <c r="G97" s="320"/>
      <c r="H97" s="498" t="s">
        <v>162</v>
      </c>
      <c r="I97" s="498"/>
      <c r="J97" s="498"/>
      <c r="K97" s="498"/>
      <c r="L97" s="498"/>
      <c r="M97" s="498"/>
      <c r="N97" s="498"/>
      <c r="O97" s="498"/>
      <c r="P97" s="498"/>
      <c r="Q97" s="498"/>
      <c r="R97" s="498"/>
      <c r="S97" s="322"/>
      <c r="T97" s="318"/>
    </row>
    <row r="98" spans="2:22" ht="50.1" customHeight="1">
      <c r="F98" s="318"/>
      <c r="G98" s="323"/>
      <c r="H98" s="499" t="s">
        <v>106</v>
      </c>
      <c r="I98" s="500"/>
      <c r="J98" s="500"/>
      <c r="K98" s="500"/>
      <c r="L98" s="500"/>
      <c r="M98" s="500"/>
      <c r="N98" s="500"/>
      <c r="O98" s="500"/>
      <c r="P98" s="500"/>
      <c r="Q98" s="500"/>
      <c r="R98" s="500"/>
      <c r="S98" s="323"/>
      <c r="T98" s="318"/>
    </row>
    <row r="99" spans="2:22" ht="320.10000000000002" customHeight="1">
      <c r="F99" s="318"/>
      <c r="G99" s="318"/>
      <c r="H99" s="318"/>
      <c r="I99" s="318"/>
      <c r="J99" s="318"/>
      <c r="K99" s="318"/>
      <c r="L99" s="318"/>
      <c r="M99" s="318"/>
      <c r="N99" s="318"/>
      <c r="O99" s="318"/>
      <c r="P99" s="318"/>
      <c r="Q99" s="318"/>
      <c r="R99" s="318"/>
      <c r="S99" s="318"/>
      <c r="T99" s="318"/>
    </row>
    <row r="100" spans="2:22" ht="49.5" customHeight="1">
      <c r="F100" s="318"/>
      <c r="G100" s="318"/>
      <c r="H100" s="318"/>
      <c r="I100" s="318"/>
      <c r="J100" s="318"/>
      <c r="K100" s="318"/>
      <c r="L100" s="318"/>
      <c r="M100" s="318"/>
      <c r="N100" s="318"/>
      <c r="O100" s="318"/>
      <c r="P100" s="318"/>
      <c r="Q100" s="318"/>
      <c r="R100" s="318"/>
      <c r="S100" s="318"/>
      <c r="T100" s="318"/>
    </row>
    <row r="101" spans="2:22" ht="18.75">
      <c r="B101" s="316"/>
      <c r="F101" s="318"/>
      <c r="G101" s="501" t="s">
        <v>518</v>
      </c>
      <c r="H101" s="501"/>
      <c r="I101" s="501"/>
      <c r="J101" s="501"/>
      <c r="K101" s="501"/>
      <c r="L101" s="501"/>
      <c r="M101" s="501"/>
      <c r="N101" s="501"/>
      <c r="O101" s="501"/>
      <c r="P101" s="501"/>
      <c r="Q101" s="501"/>
      <c r="R101" s="501"/>
      <c r="S101" s="501"/>
      <c r="T101" s="318"/>
      <c r="U101" s="120">
        <v>2</v>
      </c>
      <c r="V101" s="120">
        <v>8</v>
      </c>
    </row>
    <row r="102" spans="2:22" ht="7.5" customHeight="1">
      <c r="F102" s="318"/>
      <c r="G102" s="502"/>
      <c r="H102" s="502"/>
      <c r="I102" s="502"/>
      <c r="J102" s="502"/>
      <c r="K102" s="502"/>
      <c r="L102" s="502"/>
      <c r="M102" s="502"/>
      <c r="N102" s="502"/>
      <c r="O102" s="502"/>
      <c r="P102" s="502"/>
      <c r="Q102" s="502"/>
      <c r="R102" s="502"/>
      <c r="S102" s="502"/>
      <c r="T102" s="318"/>
    </row>
    <row r="103" spans="2:22" ht="207.75" customHeight="1">
      <c r="F103" s="318"/>
      <c r="G103" s="320"/>
      <c r="H103" s="498" t="s">
        <v>519</v>
      </c>
      <c r="I103" s="498"/>
      <c r="J103" s="498"/>
      <c r="K103" s="498"/>
      <c r="L103" s="498"/>
      <c r="M103" s="498"/>
      <c r="N103" s="498"/>
      <c r="O103" s="498"/>
      <c r="P103" s="498"/>
      <c r="Q103" s="498"/>
      <c r="R103" s="498"/>
      <c r="S103" s="321"/>
      <c r="T103" s="318"/>
    </row>
    <row r="104" spans="2:22" ht="185.25" customHeight="1">
      <c r="F104" s="318"/>
      <c r="G104" s="322"/>
      <c r="H104" s="498" t="s">
        <v>223</v>
      </c>
      <c r="I104" s="498"/>
      <c r="J104" s="498"/>
      <c r="K104" s="498"/>
      <c r="L104" s="498"/>
      <c r="M104" s="498"/>
      <c r="N104" s="498"/>
      <c r="O104" s="498"/>
      <c r="P104" s="498"/>
      <c r="Q104" s="498"/>
      <c r="R104" s="498"/>
      <c r="S104" s="322"/>
      <c r="T104" s="318"/>
    </row>
    <row r="105" spans="2:22" ht="320.10000000000002" customHeight="1">
      <c r="F105" s="318"/>
      <c r="G105" s="318"/>
      <c r="H105" s="318"/>
      <c r="I105" s="318"/>
      <c r="J105" s="318"/>
      <c r="K105" s="318"/>
      <c r="L105" s="318"/>
      <c r="M105" s="318"/>
      <c r="N105" s="318"/>
      <c r="O105" s="318"/>
      <c r="P105" s="318"/>
      <c r="Q105" s="318"/>
      <c r="R105" s="318"/>
      <c r="S105" s="318"/>
      <c r="T105" s="318"/>
    </row>
    <row r="106" spans="2:22" ht="150" customHeight="1">
      <c r="F106" s="318"/>
      <c r="G106" s="318"/>
      <c r="H106" s="318"/>
      <c r="I106" s="318"/>
      <c r="J106" s="318"/>
      <c r="K106" s="318"/>
      <c r="L106" s="318"/>
      <c r="M106" s="318"/>
      <c r="N106" s="318"/>
      <c r="O106" s="318"/>
      <c r="P106" s="318"/>
      <c r="Q106" s="318"/>
      <c r="R106" s="318"/>
      <c r="S106" s="318"/>
      <c r="T106" s="318"/>
    </row>
    <row r="107" spans="2:22" ht="18.75">
      <c r="B107" s="316"/>
      <c r="F107" s="318"/>
      <c r="G107" s="501" t="s">
        <v>213</v>
      </c>
      <c r="H107" s="501"/>
      <c r="I107" s="501"/>
      <c r="J107" s="501"/>
      <c r="K107" s="501"/>
      <c r="L107" s="501"/>
      <c r="M107" s="501"/>
      <c r="N107" s="501"/>
      <c r="O107" s="501"/>
      <c r="P107" s="501"/>
      <c r="Q107" s="501"/>
      <c r="R107" s="501"/>
      <c r="S107" s="501"/>
      <c r="T107" s="318"/>
      <c r="U107" s="120">
        <v>2</v>
      </c>
      <c r="V107" s="120">
        <v>9</v>
      </c>
    </row>
    <row r="108" spans="2:22" ht="7.5" customHeight="1">
      <c r="F108" s="318"/>
      <c r="G108" s="502"/>
      <c r="H108" s="502"/>
      <c r="I108" s="502"/>
      <c r="J108" s="502"/>
      <c r="K108" s="502"/>
      <c r="L108" s="502"/>
      <c r="M108" s="502"/>
      <c r="N108" s="502"/>
      <c r="O108" s="502"/>
      <c r="P108" s="502"/>
      <c r="Q108" s="502"/>
      <c r="R108" s="502"/>
      <c r="S108" s="502"/>
      <c r="T108" s="318"/>
    </row>
    <row r="109" spans="2:22" ht="181.5" customHeight="1">
      <c r="F109" s="318"/>
      <c r="G109" s="320"/>
      <c r="H109" s="498" t="s">
        <v>520</v>
      </c>
      <c r="I109" s="498"/>
      <c r="J109" s="498"/>
      <c r="K109" s="498"/>
      <c r="L109" s="498"/>
      <c r="M109" s="498"/>
      <c r="N109" s="498"/>
      <c r="O109" s="498"/>
      <c r="P109" s="498"/>
      <c r="Q109" s="498"/>
      <c r="R109" s="498"/>
      <c r="S109" s="324"/>
      <c r="T109" s="318"/>
    </row>
    <row r="110" spans="2:22" ht="50.1" customHeight="1">
      <c r="F110" s="318"/>
      <c r="G110" s="320"/>
      <c r="H110" s="499" t="s">
        <v>233</v>
      </c>
      <c r="I110" s="500"/>
      <c r="J110" s="500"/>
      <c r="K110" s="500"/>
      <c r="L110" s="500"/>
      <c r="M110" s="500"/>
      <c r="N110" s="500"/>
      <c r="O110" s="500"/>
      <c r="P110" s="500"/>
      <c r="Q110" s="500"/>
      <c r="R110" s="500"/>
      <c r="S110" s="324"/>
      <c r="T110" s="318"/>
    </row>
    <row r="111" spans="2:22" ht="31.5" customHeight="1">
      <c r="F111" s="318"/>
      <c r="G111" s="320"/>
      <c r="H111" s="498" t="s">
        <v>327</v>
      </c>
      <c r="I111" s="498"/>
      <c r="J111" s="498"/>
      <c r="K111" s="498"/>
      <c r="L111" s="498"/>
      <c r="M111" s="498"/>
      <c r="N111" s="498"/>
      <c r="O111" s="498"/>
      <c r="P111" s="498"/>
      <c r="Q111" s="498"/>
      <c r="R111" s="498"/>
      <c r="S111" s="324"/>
      <c r="T111" s="318"/>
    </row>
    <row r="112" spans="2:22" ht="50.1" customHeight="1">
      <c r="F112" s="318"/>
      <c r="G112" s="325"/>
      <c r="H112" s="512" t="s">
        <v>105</v>
      </c>
      <c r="I112" s="512"/>
      <c r="J112" s="512"/>
      <c r="K112" s="512"/>
      <c r="L112" s="512"/>
      <c r="M112" s="512"/>
      <c r="N112" s="512"/>
      <c r="O112" s="512"/>
      <c r="P112" s="512"/>
      <c r="Q112" s="512"/>
      <c r="R112" s="512"/>
      <c r="S112" s="326"/>
      <c r="T112" s="318"/>
    </row>
    <row r="113" spans="2:22" ht="320.10000000000002" customHeight="1">
      <c r="F113" s="318"/>
      <c r="G113" s="318"/>
      <c r="H113" s="318"/>
      <c r="I113" s="318"/>
      <c r="J113" s="318"/>
      <c r="K113" s="318"/>
      <c r="L113" s="318"/>
      <c r="M113" s="318"/>
      <c r="N113" s="318"/>
      <c r="O113" s="318"/>
      <c r="P113" s="318"/>
      <c r="Q113" s="318"/>
      <c r="R113" s="318"/>
      <c r="S113" s="318"/>
      <c r="T113" s="318"/>
    </row>
    <row r="114" spans="2:22" ht="150" customHeight="1">
      <c r="F114" s="318"/>
      <c r="G114" s="318"/>
      <c r="H114" s="318"/>
      <c r="I114" s="318"/>
      <c r="J114" s="318"/>
      <c r="K114" s="318"/>
      <c r="L114" s="318"/>
      <c r="M114" s="318"/>
      <c r="N114" s="318"/>
      <c r="O114" s="318"/>
      <c r="P114" s="318"/>
      <c r="Q114" s="318"/>
      <c r="R114" s="318"/>
      <c r="S114" s="318"/>
      <c r="T114" s="318"/>
    </row>
    <row r="115" spans="2:22" ht="18.75">
      <c r="B115" s="316"/>
      <c r="F115" s="318"/>
      <c r="G115" s="501" t="s">
        <v>208</v>
      </c>
      <c r="H115" s="501"/>
      <c r="I115" s="501"/>
      <c r="J115" s="501"/>
      <c r="K115" s="501"/>
      <c r="L115" s="501"/>
      <c r="M115" s="501"/>
      <c r="N115" s="501"/>
      <c r="O115" s="501"/>
      <c r="P115" s="501"/>
      <c r="Q115" s="501"/>
      <c r="R115" s="501"/>
      <c r="S115" s="501"/>
      <c r="T115" s="318"/>
      <c r="U115" s="120">
        <v>2</v>
      </c>
      <c r="V115" s="120">
        <v>10</v>
      </c>
    </row>
    <row r="116" spans="2:22" ht="7.5" customHeight="1">
      <c r="F116" s="318"/>
      <c r="G116" s="502"/>
      <c r="H116" s="502"/>
      <c r="I116" s="502"/>
      <c r="J116" s="502"/>
      <c r="K116" s="502"/>
      <c r="L116" s="502"/>
      <c r="M116" s="502"/>
      <c r="N116" s="502"/>
      <c r="O116" s="502"/>
      <c r="P116" s="502"/>
      <c r="Q116" s="502"/>
      <c r="R116" s="502"/>
      <c r="S116" s="502"/>
      <c r="T116" s="318"/>
    </row>
    <row r="117" spans="2:22" ht="162.75" customHeight="1">
      <c r="F117" s="318"/>
      <c r="G117" s="320"/>
      <c r="H117" s="498" t="s">
        <v>521</v>
      </c>
      <c r="I117" s="498"/>
      <c r="J117" s="498"/>
      <c r="K117" s="498"/>
      <c r="L117" s="498"/>
      <c r="M117" s="498"/>
      <c r="N117" s="498"/>
      <c r="O117" s="498"/>
      <c r="P117" s="498"/>
      <c r="Q117" s="498"/>
      <c r="R117" s="498"/>
      <c r="S117" s="321"/>
      <c r="T117" s="318"/>
    </row>
    <row r="118" spans="2:22" ht="50.1" customHeight="1">
      <c r="F118" s="318"/>
      <c r="G118" s="320"/>
      <c r="H118" s="499" t="s">
        <v>233</v>
      </c>
      <c r="I118" s="500"/>
      <c r="J118" s="500"/>
      <c r="K118" s="500"/>
      <c r="L118" s="500"/>
      <c r="M118" s="500"/>
      <c r="N118" s="500"/>
      <c r="O118" s="500"/>
      <c r="P118" s="500"/>
      <c r="Q118" s="500"/>
      <c r="R118" s="500"/>
      <c r="S118" s="321"/>
      <c r="T118" s="318"/>
    </row>
    <row r="119" spans="2:22" ht="320.10000000000002" customHeight="1">
      <c r="F119" s="318"/>
      <c r="G119" s="318"/>
      <c r="H119" s="318"/>
      <c r="I119" s="318"/>
      <c r="J119" s="318"/>
      <c r="K119" s="318"/>
      <c r="L119" s="318"/>
      <c r="M119" s="318"/>
      <c r="N119" s="318"/>
      <c r="O119" s="318"/>
      <c r="P119" s="318"/>
      <c r="Q119" s="318"/>
      <c r="R119" s="318"/>
      <c r="S119" s="318"/>
      <c r="T119" s="318"/>
    </row>
    <row r="120" spans="2:22" ht="150" customHeight="1">
      <c r="F120" s="318"/>
      <c r="G120" s="318"/>
      <c r="H120" s="318"/>
      <c r="I120" s="318"/>
      <c r="J120" s="318"/>
      <c r="K120" s="318"/>
      <c r="L120" s="318"/>
      <c r="M120" s="318"/>
      <c r="N120" s="318"/>
      <c r="O120" s="318"/>
      <c r="P120" s="318"/>
      <c r="Q120" s="318"/>
      <c r="R120" s="318"/>
      <c r="S120" s="318"/>
      <c r="T120" s="318"/>
    </row>
    <row r="121" spans="2:22" ht="18.75">
      <c r="B121" s="316"/>
      <c r="F121" s="318"/>
      <c r="G121" s="501" t="s">
        <v>63</v>
      </c>
      <c r="H121" s="501"/>
      <c r="I121" s="501"/>
      <c r="J121" s="501"/>
      <c r="K121" s="501"/>
      <c r="L121" s="501"/>
      <c r="M121" s="501"/>
      <c r="N121" s="501"/>
      <c r="O121" s="501"/>
      <c r="P121" s="501"/>
      <c r="Q121" s="501"/>
      <c r="R121" s="501"/>
      <c r="S121" s="501"/>
      <c r="T121" s="318"/>
      <c r="U121" s="120">
        <v>2</v>
      </c>
      <c r="V121" s="120">
        <v>11</v>
      </c>
    </row>
    <row r="122" spans="2:22" ht="7.5" customHeight="1">
      <c r="F122" s="318"/>
      <c r="G122" s="502"/>
      <c r="H122" s="502"/>
      <c r="I122" s="502"/>
      <c r="J122" s="502"/>
      <c r="K122" s="502"/>
      <c r="L122" s="502"/>
      <c r="M122" s="502"/>
      <c r="N122" s="502"/>
      <c r="O122" s="502"/>
      <c r="P122" s="502"/>
      <c r="Q122" s="502"/>
      <c r="R122" s="502"/>
      <c r="S122" s="502"/>
      <c r="T122" s="318"/>
    </row>
    <row r="123" spans="2:22" ht="87.75" customHeight="1">
      <c r="F123" s="318"/>
      <c r="G123" s="320"/>
      <c r="H123" s="498" t="s">
        <v>341</v>
      </c>
      <c r="I123" s="498"/>
      <c r="J123" s="498"/>
      <c r="K123" s="498"/>
      <c r="L123" s="498"/>
      <c r="M123" s="498"/>
      <c r="N123" s="498"/>
      <c r="O123" s="498"/>
      <c r="P123" s="498"/>
      <c r="Q123" s="498"/>
      <c r="R123" s="498"/>
      <c r="S123" s="322"/>
      <c r="T123" s="318"/>
    </row>
    <row r="124" spans="2:22" ht="50.1" customHeight="1">
      <c r="F124" s="318"/>
      <c r="G124" s="323"/>
      <c r="H124" s="499" t="s">
        <v>2</v>
      </c>
      <c r="I124" s="500"/>
      <c r="J124" s="500"/>
      <c r="K124" s="500"/>
      <c r="L124" s="500"/>
      <c r="M124" s="500"/>
      <c r="N124" s="500"/>
      <c r="O124" s="500"/>
      <c r="P124" s="500"/>
      <c r="Q124" s="500"/>
      <c r="R124" s="500"/>
      <c r="S124" s="323"/>
      <c r="T124" s="318"/>
    </row>
    <row r="125" spans="2:22" ht="320.10000000000002" customHeight="1">
      <c r="F125" s="318"/>
      <c r="G125" s="318"/>
      <c r="H125" s="318"/>
      <c r="I125" s="318"/>
      <c r="J125" s="318"/>
      <c r="K125" s="318"/>
      <c r="L125" s="318"/>
      <c r="M125" s="318"/>
      <c r="N125" s="318"/>
      <c r="O125" s="318"/>
      <c r="P125" s="318"/>
      <c r="Q125" s="318"/>
      <c r="R125" s="318"/>
      <c r="S125" s="318"/>
      <c r="T125" s="318"/>
    </row>
    <row r="126" spans="2:22" ht="150" customHeight="1">
      <c r="F126" s="318"/>
      <c r="G126" s="318"/>
      <c r="H126" s="318"/>
      <c r="I126" s="318"/>
      <c r="J126" s="318"/>
      <c r="K126" s="318"/>
      <c r="L126" s="318"/>
      <c r="M126" s="318"/>
      <c r="N126" s="318"/>
      <c r="O126" s="318"/>
      <c r="P126" s="318"/>
      <c r="Q126" s="318"/>
      <c r="R126" s="318"/>
      <c r="S126" s="318"/>
      <c r="T126" s="318"/>
    </row>
    <row r="127" spans="2:22" ht="18.75">
      <c r="B127" s="316"/>
      <c r="F127" s="318"/>
      <c r="G127" s="501" t="s">
        <v>522</v>
      </c>
      <c r="H127" s="501"/>
      <c r="I127" s="501"/>
      <c r="J127" s="501"/>
      <c r="K127" s="501"/>
      <c r="L127" s="501"/>
      <c r="M127" s="501"/>
      <c r="N127" s="501"/>
      <c r="O127" s="501"/>
      <c r="P127" s="501"/>
      <c r="Q127" s="501"/>
      <c r="R127" s="501"/>
      <c r="S127" s="501"/>
      <c r="T127" s="318"/>
      <c r="U127" s="120">
        <v>2</v>
      </c>
      <c r="V127" s="120">
        <v>12</v>
      </c>
    </row>
    <row r="128" spans="2:22" ht="7.5" customHeight="1">
      <c r="F128" s="318"/>
      <c r="G128" s="502"/>
      <c r="H128" s="502"/>
      <c r="I128" s="502"/>
      <c r="J128" s="502"/>
      <c r="K128" s="502"/>
      <c r="L128" s="502"/>
      <c r="M128" s="502"/>
      <c r="N128" s="502"/>
      <c r="O128" s="502"/>
      <c r="P128" s="502"/>
      <c r="Q128" s="502"/>
      <c r="R128" s="502"/>
      <c r="S128" s="502"/>
      <c r="T128" s="318"/>
    </row>
    <row r="129" spans="2:22" ht="69.95" customHeight="1">
      <c r="F129" s="318"/>
      <c r="G129" s="320"/>
      <c r="H129" s="498" t="s">
        <v>293</v>
      </c>
      <c r="I129" s="498"/>
      <c r="J129" s="498"/>
      <c r="K129" s="498"/>
      <c r="L129" s="498"/>
      <c r="M129" s="498"/>
      <c r="N129" s="498"/>
      <c r="O129" s="498"/>
      <c r="P129" s="498"/>
      <c r="Q129" s="498"/>
      <c r="R129" s="498"/>
      <c r="S129" s="321"/>
      <c r="T129" s="318"/>
    </row>
    <row r="130" spans="2:22">
      <c r="F130" s="318"/>
      <c r="G130" s="318"/>
      <c r="H130" s="318"/>
      <c r="I130" s="318"/>
      <c r="J130" s="318"/>
      <c r="K130" s="318"/>
      <c r="L130" s="318"/>
      <c r="M130" s="318"/>
      <c r="N130" s="318"/>
      <c r="O130" s="318"/>
      <c r="P130" s="318"/>
      <c r="Q130" s="318"/>
      <c r="R130" s="318"/>
      <c r="S130" s="318"/>
      <c r="T130" s="318"/>
    </row>
    <row r="131" spans="2:22" ht="320.10000000000002" customHeight="1">
      <c r="F131" s="318"/>
      <c r="G131" s="318"/>
      <c r="H131" s="318"/>
      <c r="I131" s="318"/>
      <c r="J131" s="318"/>
      <c r="K131" s="318"/>
      <c r="L131" s="318"/>
      <c r="M131" s="318"/>
      <c r="N131" s="318"/>
      <c r="O131" s="318"/>
      <c r="P131" s="318"/>
      <c r="Q131" s="318"/>
      <c r="R131" s="318"/>
      <c r="S131" s="318"/>
      <c r="T131" s="318"/>
    </row>
    <row r="132" spans="2:22" ht="150" customHeight="1">
      <c r="F132" s="318"/>
      <c r="G132" s="318"/>
      <c r="H132" s="318"/>
      <c r="I132" s="318"/>
      <c r="J132" s="318"/>
      <c r="K132" s="318"/>
      <c r="L132" s="318"/>
      <c r="M132" s="318"/>
      <c r="N132" s="318"/>
      <c r="O132" s="318"/>
      <c r="P132" s="318"/>
      <c r="Q132" s="318"/>
      <c r="R132" s="318"/>
      <c r="S132" s="318"/>
      <c r="T132" s="318"/>
    </row>
    <row r="133" spans="2:22" ht="18.75">
      <c r="B133" s="316"/>
      <c r="F133" s="318"/>
      <c r="G133" s="501" t="s">
        <v>303</v>
      </c>
      <c r="H133" s="501"/>
      <c r="I133" s="501"/>
      <c r="J133" s="501"/>
      <c r="K133" s="501"/>
      <c r="L133" s="501"/>
      <c r="M133" s="501"/>
      <c r="N133" s="501"/>
      <c r="O133" s="501"/>
      <c r="P133" s="501"/>
      <c r="Q133" s="501"/>
      <c r="R133" s="501"/>
      <c r="S133" s="501"/>
      <c r="T133" s="318"/>
      <c r="U133" s="120">
        <v>2</v>
      </c>
      <c r="V133" s="120">
        <v>13</v>
      </c>
    </row>
    <row r="134" spans="2:22" ht="7.5" customHeight="1">
      <c r="F134" s="318"/>
      <c r="G134" s="502"/>
      <c r="H134" s="502"/>
      <c r="I134" s="502"/>
      <c r="J134" s="502"/>
      <c r="K134" s="502"/>
      <c r="L134" s="502"/>
      <c r="M134" s="502"/>
      <c r="N134" s="502"/>
      <c r="O134" s="502"/>
      <c r="P134" s="502"/>
      <c r="Q134" s="502"/>
      <c r="R134" s="502"/>
      <c r="S134" s="502"/>
      <c r="T134" s="318"/>
    </row>
    <row r="135" spans="2:22" ht="29.25" customHeight="1">
      <c r="F135" s="318"/>
      <c r="G135" s="320"/>
      <c r="H135" s="498" t="s">
        <v>286</v>
      </c>
      <c r="I135" s="498"/>
      <c r="J135" s="498"/>
      <c r="K135" s="498"/>
      <c r="L135" s="498"/>
      <c r="M135" s="498"/>
      <c r="N135" s="498"/>
      <c r="O135" s="498"/>
      <c r="P135" s="498"/>
      <c r="Q135" s="498"/>
      <c r="R135" s="498"/>
      <c r="S135" s="321"/>
      <c r="T135" s="318"/>
    </row>
    <row r="136" spans="2:22" ht="50.1" customHeight="1">
      <c r="F136" s="318"/>
      <c r="G136" s="320"/>
      <c r="H136" s="499" t="s">
        <v>523</v>
      </c>
      <c r="I136" s="500"/>
      <c r="J136" s="500"/>
      <c r="K136" s="500"/>
      <c r="L136" s="500"/>
      <c r="M136" s="500"/>
      <c r="N136" s="500"/>
      <c r="O136" s="500"/>
      <c r="P136" s="500"/>
      <c r="Q136" s="500"/>
      <c r="R136" s="500"/>
      <c r="S136" s="321"/>
      <c r="T136" s="318"/>
    </row>
    <row r="137" spans="2:22" ht="320.10000000000002" customHeight="1">
      <c r="F137" s="318"/>
      <c r="G137" s="318"/>
      <c r="H137" s="318"/>
      <c r="I137" s="318"/>
      <c r="J137" s="318"/>
      <c r="K137" s="318"/>
      <c r="L137" s="318"/>
      <c r="M137" s="318"/>
      <c r="N137" s="318"/>
      <c r="O137" s="318"/>
      <c r="P137" s="318"/>
      <c r="Q137" s="318"/>
      <c r="R137" s="318"/>
      <c r="S137" s="318"/>
      <c r="T137" s="318"/>
    </row>
    <row r="138" spans="2:22" ht="150" customHeight="1">
      <c r="F138" s="318"/>
      <c r="G138" s="318"/>
      <c r="H138" s="318"/>
      <c r="I138" s="318"/>
      <c r="J138" s="318"/>
      <c r="K138" s="318"/>
      <c r="L138" s="318"/>
      <c r="M138" s="318"/>
      <c r="N138" s="318"/>
      <c r="O138" s="318"/>
      <c r="P138" s="318"/>
      <c r="Q138" s="318"/>
      <c r="R138" s="318"/>
      <c r="S138" s="318"/>
      <c r="T138" s="318"/>
    </row>
    <row r="139" spans="2:22" ht="18.75">
      <c r="B139" s="316"/>
      <c r="F139" s="318"/>
      <c r="G139" s="501" t="s">
        <v>524</v>
      </c>
      <c r="H139" s="501"/>
      <c r="I139" s="501"/>
      <c r="J139" s="501"/>
      <c r="K139" s="501"/>
      <c r="L139" s="501"/>
      <c r="M139" s="501"/>
      <c r="N139" s="501"/>
      <c r="O139" s="501"/>
      <c r="P139" s="501"/>
      <c r="Q139" s="501"/>
      <c r="R139" s="501"/>
      <c r="S139" s="501"/>
      <c r="T139" s="318"/>
      <c r="U139" s="120">
        <v>2</v>
      </c>
      <c r="V139" s="120">
        <v>14</v>
      </c>
    </row>
    <row r="140" spans="2:22" ht="7.5" customHeight="1">
      <c r="F140" s="318"/>
      <c r="G140" s="502"/>
      <c r="H140" s="502"/>
      <c r="I140" s="502"/>
      <c r="J140" s="502"/>
      <c r="K140" s="502"/>
      <c r="L140" s="502"/>
      <c r="M140" s="502"/>
      <c r="N140" s="502"/>
      <c r="O140" s="502"/>
      <c r="P140" s="502"/>
      <c r="Q140" s="502"/>
      <c r="R140" s="502"/>
      <c r="S140" s="502"/>
      <c r="T140" s="318"/>
    </row>
    <row r="141" spans="2:22" ht="70.5" customHeight="1">
      <c r="F141" s="318"/>
      <c r="G141" s="320"/>
      <c r="H141" s="498" t="s">
        <v>151</v>
      </c>
      <c r="I141" s="498"/>
      <c r="J141" s="498"/>
      <c r="K141" s="498"/>
      <c r="L141" s="498"/>
      <c r="M141" s="498"/>
      <c r="N141" s="498"/>
      <c r="O141" s="498"/>
      <c r="P141" s="498"/>
      <c r="Q141" s="498"/>
      <c r="R141" s="498"/>
      <c r="S141" s="321"/>
      <c r="T141" s="318"/>
    </row>
    <row r="142" spans="2:22">
      <c r="F142" s="318"/>
      <c r="G142" s="318"/>
      <c r="H142" s="318"/>
      <c r="I142" s="318"/>
      <c r="J142" s="318"/>
      <c r="K142" s="318"/>
      <c r="L142" s="318"/>
      <c r="M142" s="318"/>
      <c r="N142" s="318"/>
      <c r="O142" s="318"/>
      <c r="P142" s="318"/>
      <c r="Q142" s="318"/>
      <c r="R142" s="318"/>
      <c r="S142" s="318"/>
      <c r="T142" s="318"/>
    </row>
    <row r="143" spans="2:22" ht="320.10000000000002" customHeight="1">
      <c r="F143" s="318"/>
      <c r="G143" s="318"/>
      <c r="H143" s="318"/>
      <c r="I143" s="318"/>
      <c r="J143" s="318"/>
      <c r="K143" s="318"/>
      <c r="L143" s="318"/>
      <c r="M143" s="318"/>
      <c r="N143" s="318"/>
      <c r="O143" s="318"/>
      <c r="P143" s="318"/>
      <c r="Q143" s="318"/>
      <c r="R143" s="318"/>
      <c r="S143" s="318"/>
      <c r="T143" s="318"/>
    </row>
    <row r="144" spans="2:22" ht="150" customHeight="1">
      <c r="F144" s="318"/>
      <c r="G144" s="318"/>
      <c r="H144" s="318"/>
      <c r="I144" s="318"/>
      <c r="J144" s="318"/>
      <c r="K144" s="318"/>
      <c r="L144" s="318"/>
      <c r="M144" s="318"/>
      <c r="N144" s="318"/>
      <c r="O144" s="318"/>
      <c r="P144" s="318"/>
      <c r="Q144" s="318"/>
      <c r="R144" s="318"/>
      <c r="S144" s="318"/>
      <c r="T144" s="318"/>
    </row>
    <row r="145" spans="2:22" ht="18.75">
      <c r="B145" s="316"/>
      <c r="F145" s="318"/>
      <c r="G145" s="501" t="s">
        <v>126</v>
      </c>
      <c r="H145" s="501"/>
      <c r="I145" s="501"/>
      <c r="J145" s="501"/>
      <c r="K145" s="501"/>
      <c r="L145" s="501"/>
      <c r="M145" s="501"/>
      <c r="N145" s="501"/>
      <c r="O145" s="501"/>
      <c r="P145" s="501"/>
      <c r="Q145" s="501"/>
      <c r="R145" s="501"/>
      <c r="S145" s="501"/>
      <c r="T145" s="318"/>
      <c r="U145" s="120">
        <v>2</v>
      </c>
      <c r="V145" s="120">
        <v>15</v>
      </c>
    </row>
    <row r="146" spans="2:22" ht="7.5" customHeight="1">
      <c r="F146" s="318"/>
      <c r="G146" s="502"/>
      <c r="H146" s="502"/>
      <c r="I146" s="502"/>
      <c r="J146" s="502"/>
      <c r="K146" s="502"/>
      <c r="L146" s="502"/>
      <c r="M146" s="502"/>
      <c r="N146" s="502"/>
      <c r="O146" s="502"/>
      <c r="P146" s="502"/>
      <c r="Q146" s="502"/>
      <c r="R146" s="502"/>
      <c r="S146" s="502"/>
      <c r="T146" s="318"/>
    </row>
    <row r="147" spans="2:22" ht="125.25" customHeight="1">
      <c r="F147" s="318"/>
      <c r="G147" s="320"/>
      <c r="H147" s="498" t="s">
        <v>307</v>
      </c>
      <c r="I147" s="498"/>
      <c r="J147" s="498"/>
      <c r="K147" s="498"/>
      <c r="L147" s="498"/>
      <c r="M147" s="498"/>
      <c r="N147" s="498"/>
      <c r="O147" s="498"/>
      <c r="P147" s="498"/>
      <c r="Q147" s="498"/>
      <c r="R147" s="498"/>
      <c r="S147" s="321"/>
      <c r="T147" s="318"/>
    </row>
    <row r="148" spans="2:22">
      <c r="F148" s="318"/>
      <c r="G148" s="318"/>
      <c r="H148" s="318"/>
      <c r="I148" s="318"/>
      <c r="J148" s="318"/>
      <c r="K148" s="318"/>
      <c r="L148" s="318"/>
      <c r="M148" s="318"/>
      <c r="N148" s="318"/>
      <c r="O148" s="318"/>
      <c r="P148" s="318"/>
      <c r="Q148" s="318"/>
      <c r="R148" s="318"/>
      <c r="S148" s="318"/>
      <c r="T148" s="318"/>
    </row>
    <row r="149" spans="2:22" ht="320.10000000000002" customHeight="1">
      <c r="F149" s="318"/>
      <c r="G149" s="318"/>
      <c r="H149" s="318"/>
      <c r="I149" s="318"/>
      <c r="J149" s="318"/>
      <c r="K149" s="318"/>
      <c r="L149" s="318"/>
      <c r="M149" s="318"/>
      <c r="N149" s="318"/>
      <c r="O149" s="318"/>
      <c r="P149" s="318"/>
      <c r="Q149" s="318"/>
      <c r="R149" s="318"/>
      <c r="S149" s="318"/>
      <c r="T149" s="318"/>
    </row>
    <row r="150" spans="2:22" ht="150" customHeight="1">
      <c r="F150" s="318"/>
      <c r="G150" s="318"/>
      <c r="H150" s="318"/>
      <c r="I150" s="318"/>
      <c r="J150" s="318"/>
      <c r="K150" s="318"/>
      <c r="L150" s="318"/>
      <c r="M150" s="318"/>
      <c r="N150" s="318"/>
      <c r="O150" s="318"/>
      <c r="P150" s="318"/>
      <c r="Q150" s="318"/>
      <c r="R150" s="318"/>
      <c r="S150" s="318"/>
      <c r="T150" s="318"/>
    </row>
    <row r="151" spans="2:22" ht="18.75">
      <c r="B151" s="316"/>
      <c r="F151" s="318"/>
      <c r="G151" s="501" t="s">
        <v>198</v>
      </c>
      <c r="H151" s="501"/>
      <c r="I151" s="501"/>
      <c r="J151" s="501"/>
      <c r="K151" s="501"/>
      <c r="L151" s="501"/>
      <c r="M151" s="501"/>
      <c r="N151" s="501"/>
      <c r="O151" s="501"/>
      <c r="P151" s="501"/>
      <c r="Q151" s="501"/>
      <c r="R151" s="501"/>
      <c r="S151" s="501"/>
      <c r="T151" s="318"/>
      <c r="U151" s="120">
        <v>2</v>
      </c>
      <c r="V151" s="120">
        <v>16</v>
      </c>
    </row>
    <row r="152" spans="2:22" ht="7.5" customHeight="1">
      <c r="F152" s="318"/>
      <c r="G152" s="502"/>
      <c r="H152" s="502"/>
      <c r="I152" s="502"/>
      <c r="J152" s="502"/>
      <c r="K152" s="502"/>
      <c r="L152" s="502"/>
      <c r="M152" s="502"/>
      <c r="N152" s="502"/>
      <c r="O152" s="502"/>
      <c r="P152" s="502"/>
      <c r="Q152" s="502"/>
      <c r="R152" s="502"/>
      <c r="S152" s="502"/>
      <c r="T152" s="318"/>
    </row>
    <row r="153" spans="2:22" ht="50.25" customHeight="1">
      <c r="F153" s="318"/>
      <c r="G153" s="320"/>
      <c r="H153" s="498" t="s">
        <v>199</v>
      </c>
      <c r="I153" s="498"/>
      <c r="J153" s="498"/>
      <c r="K153" s="498"/>
      <c r="L153" s="498"/>
      <c r="M153" s="498"/>
      <c r="N153" s="498"/>
      <c r="O153" s="498"/>
      <c r="P153" s="498"/>
      <c r="Q153" s="498"/>
      <c r="R153" s="498"/>
      <c r="S153" s="321"/>
      <c r="T153" s="318"/>
    </row>
    <row r="154" spans="2:22">
      <c r="F154" s="318"/>
      <c r="G154" s="318"/>
      <c r="H154" s="318"/>
      <c r="I154" s="318"/>
      <c r="J154" s="318"/>
      <c r="K154" s="318"/>
      <c r="L154" s="318"/>
      <c r="M154" s="318"/>
      <c r="N154" s="318"/>
      <c r="O154" s="318"/>
      <c r="P154" s="318"/>
      <c r="Q154" s="318"/>
      <c r="R154" s="318"/>
      <c r="S154" s="318"/>
      <c r="T154" s="318"/>
    </row>
    <row r="155" spans="2:22" ht="320.10000000000002" customHeight="1">
      <c r="F155" s="318"/>
      <c r="G155" s="318"/>
      <c r="H155" s="318"/>
      <c r="I155" s="318"/>
      <c r="J155" s="318"/>
      <c r="K155" s="318"/>
      <c r="L155" s="318"/>
      <c r="M155" s="318"/>
      <c r="N155" s="318"/>
      <c r="O155" s="318"/>
      <c r="P155" s="318"/>
      <c r="Q155" s="318"/>
      <c r="R155" s="318"/>
      <c r="S155" s="318"/>
      <c r="T155" s="318"/>
    </row>
    <row r="156" spans="2:22" ht="150" customHeight="1">
      <c r="F156" s="318"/>
      <c r="G156" s="318"/>
      <c r="H156" s="318"/>
      <c r="I156" s="318"/>
      <c r="J156" s="318"/>
      <c r="K156" s="318"/>
      <c r="L156" s="318"/>
      <c r="M156" s="318"/>
      <c r="N156" s="318"/>
      <c r="O156" s="318"/>
      <c r="P156" s="318"/>
      <c r="Q156" s="318"/>
      <c r="R156" s="318"/>
      <c r="S156" s="318"/>
      <c r="T156" s="318"/>
    </row>
    <row r="157" spans="2:22" ht="18.75">
      <c r="B157" s="316"/>
      <c r="F157" s="318"/>
      <c r="G157" s="501" t="s">
        <v>127</v>
      </c>
      <c r="H157" s="501"/>
      <c r="I157" s="501"/>
      <c r="J157" s="501"/>
      <c r="K157" s="501"/>
      <c r="L157" s="501"/>
      <c r="M157" s="501"/>
      <c r="N157" s="501"/>
      <c r="O157" s="501"/>
      <c r="P157" s="501"/>
      <c r="Q157" s="501"/>
      <c r="R157" s="501"/>
      <c r="S157" s="501"/>
      <c r="T157" s="318"/>
      <c r="U157" s="120">
        <v>2</v>
      </c>
      <c r="V157" s="120">
        <v>17</v>
      </c>
    </row>
    <row r="158" spans="2:22" ht="7.5" customHeight="1">
      <c r="F158" s="318"/>
      <c r="G158" s="502"/>
      <c r="H158" s="502"/>
      <c r="I158" s="502"/>
      <c r="J158" s="502"/>
      <c r="K158" s="502"/>
      <c r="L158" s="502"/>
      <c r="M158" s="502"/>
      <c r="N158" s="502"/>
      <c r="O158" s="502"/>
      <c r="P158" s="502"/>
      <c r="Q158" s="502"/>
      <c r="R158" s="502"/>
      <c r="S158" s="502"/>
      <c r="T158" s="318"/>
    </row>
    <row r="159" spans="2:22" ht="165" customHeight="1">
      <c r="F159" s="318"/>
      <c r="G159" s="320"/>
      <c r="H159" s="498" t="s">
        <v>308</v>
      </c>
      <c r="I159" s="498"/>
      <c r="J159" s="498"/>
      <c r="K159" s="498"/>
      <c r="L159" s="498"/>
      <c r="M159" s="498"/>
      <c r="N159" s="498"/>
      <c r="O159" s="498"/>
      <c r="P159" s="498"/>
      <c r="Q159" s="498"/>
      <c r="R159" s="498"/>
      <c r="S159" s="321"/>
      <c r="T159" s="318"/>
    </row>
    <row r="160" spans="2:22">
      <c r="F160" s="318"/>
      <c r="G160" s="318"/>
      <c r="H160" s="318"/>
      <c r="I160" s="318"/>
      <c r="J160" s="318"/>
      <c r="K160" s="318"/>
      <c r="L160" s="318"/>
      <c r="M160" s="318"/>
      <c r="N160" s="318"/>
      <c r="O160" s="318"/>
      <c r="P160" s="318"/>
      <c r="Q160" s="318"/>
      <c r="R160" s="318"/>
      <c r="S160" s="318"/>
      <c r="T160" s="318"/>
    </row>
    <row r="161" spans="2:22" ht="320.10000000000002" customHeight="1">
      <c r="F161" s="318"/>
      <c r="G161" s="318"/>
      <c r="H161" s="318"/>
      <c r="I161" s="318"/>
      <c r="J161" s="318"/>
      <c r="K161" s="318"/>
      <c r="L161" s="318"/>
      <c r="M161" s="318"/>
      <c r="N161" s="318"/>
      <c r="O161" s="318"/>
      <c r="P161" s="318"/>
      <c r="Q161" s="318"/>
      <c r="R161" s="318"/>
      <c r="S161" s="318"/>
      <c r="T161" s="318"/>
    </row>
    <row r="162" spans="2:22" ht="150" customHeight="1">
      <c r="F162" s="318"/>
      <c r="G162" s="318"/>
      <c r="H162" s="318"/>
      <c r="I162" s="318"/>
      <c r="J162" s="318"/>
      <c r="K162" s="318"/>
      <c r="L162" s="318"/>
      <c r="M162" s="318"/>
      <c r="N162" s="318"/>
      <c r="O162" s="318"/>
      <c r="P162" s="318"/>
      <c r="Q162" s="318"/>
      <c r="R162" s="318"/>
      <c r="S162" s="318"/>
      <c r="T162" s="318"/>
    </row>
    <row r="163" spans="2:22" ht="18.75">
      <c r="B163" s="316"/>
      <c r="F163" s="318"/>
      <c r="G163" s="501" t="s">
        <v>238</v>
      </c>
      <c r="H163" s="501"/>
      <c r="I163" s="501"/>
      <c r="J163" s="501"/>
      <c r="K163" s="501"/>
      <c r="L163" s="501"/>
      <c r="M163" s="501"/>
      <c r="N163" s="501"/>
      <c r="O163" s="501"/>
      <c r="P163" s="501"/>
      <c r="Q163" s="501"/>
      <c r="R163" s="501"/>
      <c r="S163" s="501"/>
      <c r="T163" s="318"/>
      <c r="U163" s="120">
        <v>2</v>
      </c>
      <c r="V163" s="120">
        <v>18</v>
      </c>
    </row>
    <row r="164" spans="2:22" ht="7.5" customHeight="1">
      <c r="F164" s="318"/>
      <c r="G164" s="502"/>
      <c r="H164" s="502"/>
      <c r="I164" s="502"/>
      <c r="J164" s="502"/>
      <c r="K164" s="502"/>
      <c r="L164" s="502"/>
      <c r="M164" s="502"/>
      <c r="N164" s="502"/>
      <c r="O164" s="502"/>
      <c r="P164" s="502"/>
      <c r="Q164" s="502"/>
      <c r="R164" s="502"/>
      <c r="S164" s="502"/>
      <c r="T164" s="318"/>
    </row>
    <row r="165" spans="2:22" ht="110.25" customHeight="1">
      <c r="F165" s="318"/>
      <c r="G165" s="320"/>
      <c r="H165" s="498" t="s">
        <v>309</v>
      </c>
      <c r="I165" s="498"/>
      <c r="J165" s="498"/>
      <c r="K165" s="498"/>
      <c r="L165" s="498"/>
      <c r="M165" s="498"/>
      <c r="N165" s="498"/>
      <c r="O165" s="498"/>
      <c r="P165" s="498"/>
      <c r="Q165" s="498"/>
      <c r="R165" s="498"/>
      <c r="S165" s="321"/>
      <c r="T165" s="318"/>
    </row>
    <row r="166" spans="2:22">
      <c r="F166" s="318"/>
      <c r="G166" s="318"/>
      <c r="H166" s="318"/>
      <c r="I166" s="318"/>
      <c r="J166" s="318"/>
      <c r="K166" s="318"/>
      <c r="L166" s="318"/>
      <c r="M166" s="318"/>
      <c r="N166" s="318"/>
      <c r="O166" s="318"/>
      <c r="P166" s="318"/>
      <c r="Q166" s="318"/>
      <c r="R166" s="318"/>
      <c r="S166" s="318"/>
      <c r="T166" s="318"/>
    </row>
    <row r="167" spans="2:22" ht="320.10000000000002" customHeight="1">
      <c r="F167" s="318"/>
      <c r="G167" s="318"/>
      <c r="H167" s="318"/>
      <c r="I167" s="318"/>
      <c r="J167" s="318"/>
      <c r="K167" s="318"/>
      <c r="L167" s="318"/>
      <c r="M167" s="318"/>
      <c r="N167" s="318"/>
      <c r="O167" s="318"/>
      <c r="P167" s="318"/>
      <c r="Q167" s="318"/>
      <c r="R167" s="318"/>
      <c r="S167" s="318"/>
      <c r="T167" s="318"/>
    </row>
    <row r="168" spans="2:22" ht="150" customHeight="1">
      <c r="F168" s="318"/>
      <c r="G168" s="318"/>
      <c r="H168" s="318"/>
      <c r="I168" s="318"/>
      <c r="J168" s="318"/>
      <c r="K168" s="318"/>
      <c r="L168" s="318"/>
      <c r="M168" s="318"/>
      <c r="N168" s="318"/>
      <c r="O168" s="318"/>
      <c r="P168" s="318"/>
      <c r="Q168" s="318"/>
      <c r="R168" s="318"/>
      <c r="S168" s="318"/>
      <c r="T168" s="318"/>
    </row>
    <row r="169" spans="2:22" ht="18.75">
      <c r="B169" s="316"/>
      <c r="F169" s="318"/>
      <c r="G169" s="501" t="s">
        <v>220</v>
      </c>
      <c r="H169" s="501"/>
      <c r="I169" s="501"/>
      <c r="J169" s="501"/>
      <c r="K169" s="501"/>
      <c r="L169" s="501"/>
      <c r="M169" s="501"/>
      <c r="N169" s="501"/>
      <c r="O169" s="501"/>
      <c r="P169" s="501"/>
      <c r="Q169" s="501"/>
      <c r="R169" s="501"/>
      <c r="S169" s="501"/>
      <c r="T169" s="318"/>
      <c r="U169" s="120">
        <v>2</v>
      </c>
      <c r="V169" s="120">
        <v>19</v>
      </c>
    </row>
    <row r="170" spans="2:22" ht="7.5" customHeight="1">
      <c r="F170" s="318"/>
      <c r="G170" s="502"/>
      <c r="H170" s="502"/>
      <c r="I170" s="502"/>
      <c r="J170" s="502"/>
      <c r="K170" s="502"/>
      <c r="L170" s="502"/>
      <c r="M170" s="502"/>
      <c r="N170" s="502"/>
      <c r="O170" s="502"/>
      <c r="P170" s="502"/>
      <c r="Q170" s="502"/>
      <c r="R170" s="502"/>
      <c r="S170" s="502"/>
      <c r="T170" s="318"/>
    </row>
    <row r="171" spans="2:22" ht="110.25" customHeight="1">
      <c r="F171" s="318"/>
      <c r="G171" s="320"/>
      <c r="H171" s="498" t="s">
        <v>310</v>
      </c>
      <c r="I171" s="498"/>
      <c r="J171" s="498"/>
      <c r="K171" s="498"/>
      <c r="L171" s="498"/>
      <c r="M171" s="498"/>
      <c r="N171" s="498"/>
      <c r="O171" s="498"/>
      <c r="P171" s="498"/>
      <c r="Q171" s="498"/>
      <c r="R171" s="498"/>
      <c r="S171" s="321"/>
      <c r="T171" s="318"/>
    </row>
    <row r="172" spans="2:22">
      <c r="F172" s="318"/>
      <c r="G172" s="318"/>
      <c r="H172" s="318"/>
      <c r="I172" s="318"/>
      <c r="J172" s="318"/>
      <c r="K172" s="318"/>
      <c r="L172" s="318"/>
      <c r="M172" s="318"/>
      <c r="N172" s="318"/>
      <c r="O172" s="318"/>
      <c r="P172" s="318"/>
      <c r="Q172" s="318"/>
      <c r="R172" s="318"/>
      <c r="S172" s="318"/>
      <c r="T172" s="318"/>
    </row>
    <row r="173" spans="2:22" ht="320.10000000000002" customHeight="1">
      <c r="F173" s="318"/>
      <c r="G173" s="318"/>
      <c r="H173" s="318"/>
      <c r="I173" s="318"/>
      <c r="J173" s="318"/>
      <c r="K173" s="318"/>
      <c r="L173" s="318"/>
      <c r="M173" s="318"/>
      <c r="N173" s="318"/>
      <c r="O173" s="318"/>
      <c r="P173" s="318"/>
      <c r="Q173" s="318"/>
      <c r="R173" s="318"/>
      <c r="S173" s="318"/>
      <c r="T173" s="318"/>
    </row>
    <row r="174" spans="2:22" ht="150" customHeight="1">
      <c r="F174" s="318"/>
      <c r="G174" s="318"/>
      <c r="H174" s="318"/>
      <c r="I174" s="318"/>
      <c r="J174" s="318"/>
      <c r="K174" s="318"/>
      <c r="L174" s="318"/>
      <c r="M174" s="318"/>
      <c r="N174" s="318"/>
      <c r="O174" s="318"/>
      <c r="P174" s="318"/>
      <c r="Q174" s="318"/>
      <c r="R174" s="318"/>
      <c r="S174" s="318"/>
      <c r="T174" s="318"/>
    </row>
    <row r="175" spans="2:22" ht="18.75">
      <c r="B175" s="316"/>
      <c r="F175" s="318"/>
      <c r="G175" s="501" t="s">
        <v>209</v>
      </c>
      <c r="H175" s="501"/>
      <c r="I175" s="501"/>
      <c r="J175" s="501"/>
      <c r="K175" s="501"/>
      <c r="L175" s="501"/>
      <c r="M175" s="501"/>
      <c r="N175" s="501"/>
      <c r="O175" s="501"/>
      <c r="P175" s="501"/>
      <c r="Q175" s="501"/>
      <c r="R175" s="501"/>
      <c r="S175" s="501"/>
      <c r="T175" s="318"/>
      <c r="U175" s="120">
        <v>2</v>
      </c>
      <c r="V175" s="120">
        <v>20</v>
      </c>
    </row>
    <row r="176" spans="2:22" ht="7.5" customHeight="1">
      <c r="F176" s="318"/>
      <c r="G176" s="502"/>
      <c r="H176" s="502"/>
      <c r="I176" s="502"/>
      <c r="J176" s="502"/>
      <c r="K176" s="502"/>
      <c r="L176" s="502"/>
      <c r="M176" s="502"/>
      <c r="N176" s="502"/>
      <c r="O176" s="502"/>
      <c r="P176" s="502"/>
      <c r="Q176" s="502"/>
      <c r="R176" s="502"/>
      <c r="S176" s="502"/>
      <c r="T176" s="318"/>
    </row>
    <row r="177" spans="2:22" ht="110.25" customHeight="1">
      <c r="F177" s="318"/>
      <c r="G177" s="320"/>
      <c r="H177" s="498" t="s">
        <v>311</v>
      </c>
      <c r="I177" s="498"/>
      <c r="J177" s="498"/>
      <c r="K177" s="498"/>
      <c r="L177" s="498"/>
      <c r="M177" s="498"/>
      <c r="N177" s="498"/>
      <c r="O177" s="498"/>
      <c r="P177" s="498"/>
      <c r="Q177" s="498"/>
      <c r="R177" s="498"/>
      <c r="S177" s="321"/>
      <c r="T177" s="318"/>
    </row>
    <row r="178" spans="2:22">
      <c r="F178" s="318"/>
      <c r="G178" s="318"/>
      <c r="H178" s="318"/>
      <c r="I178" s="318"/>
      <c r="J178" s="318"/>
      <c r="K178" s="318"/>
      <c r="L178" s="318"/>
      <c r="M178" s="318"/>
      <c r="N178" s="318"/>
      <c r="O178" s="318"/>
      <c r="P178" s="318"/>
      <c r="Q178" s="318"/>
      <c r="R178" s="318"/>
      <c r="S178" s="318"/>
      <c r="T178" s="318"/>
    </row>
    <row r="179" spans="2:22" ht="320.10000000000002" customHeight="1">
      <c r="F179" s="318"/>
      <c r="G179" s="318"/>
      <c r="H179" s="318"/>
      <c r="I179" s="318"/>
      <c r="J179" s="318"/>
      <c r="K179" s="318"/>
      <c r="L179" s="318"/>
      <c r="M179" s="318"/>
      <c r="N179" s="318"/>
      <c r="O179" s="318"/>
      <c r="P179" s="318"/>
      <c r="Q179" s="318"/>
      <c r="R179" s="318"/>
      <c r="S179" s="318"/>
      <c r="T179" s="318"/>
    </row>
    <row r="180" spans="2:22" ht="150" customHeight="1">
      <c r="F180" s="318"/>
      <c r="G180" s="318"/>
      <c r="H180" s="318"/>
      <c r="I180" s="318"/>
      <c r="J180" s="318"/>
      <c r="K180" s="318"/>
      <c r="L180" s="318"/>
      <c r="M180" s="318"/>
      <c r="N180" s="318"/>
      <c r="O180" s="318"/>
      <c r="P180" s="318"/>
      <c r="Q180" s="318"/>
      <c r="R180" s="318"/>
      <c r="S180" s="318"/>
      <c r="T180" s="318"/>
    </row>
    <row r="181" spans="2:22" ht="18.75">
      <c r="B181" s="316"/>
      <c r="F181" s="318"/>
      <c r="G181" s="501" t="s">
        <v>525</v>
      </c>
      <c r="H181" s="501"/>
      <c r="I181" s="501"/>
      <c r="J181" s="501"/>
      <c r="K181" s="501"/>
      <c r="L181" s="501"/>
      <c r="M181" s="501"/>
      <c r="N181" s="501"/>
      <c r="O181" s="501"/>
      <c r="P181" s="501"/>
      <c r="Q181" s="501"/>
      <c r="R181" s="501"/>
      <c r="S181" s="501"/>
      <c r="T181" s="318"/>
      <c r="U181" s="120">
        <v>2</v>
      </c>
      <c r="V181" s="120">
        <v>21</v>
      </c>
    </row>
    <row r="182" spans="2:22" ht="7.5" customHeight="1">
      <c r="F182" s="318"/>
      <c r="G182" s="502"/>
      <c r="H182" s="502"/>
      <c r="I182" s="502"/>
      <c r="J182" s="502"/>
      <c r="K182" s="502"/>
      <c r="L182" s="502"/>
      <c r="M182" s="502"/>
      <c r="N182" s="502"/>
      <c r="O182" s="502"/>
      <c r="P182" s="502"/>
      <c r="Q182" s="502"/>
      <c r="R182" s="502"/>
      <c r="S182" s="502"/>
      <c r="T182" s="318"/>
    </row>
    <row r="183" spans="2:22" ht="50.25" customHeight="1">
      <c r="F183" s="318"/>
      <c r="G183" s="320"/>
      <c r="H183" s="498" t="s">
        <v>224</v>
      </c>
      <c r="I183" s="498"/>
      <c r="J183" s="498"/>
      <c r="K183" s="498"/>
      <c r="L183" s="498"/>
      <c r="M183" s="498"/>
      <c r="N183" s="498"/>
      <c r="O183" s="498"/>
      <c r="P183" s="498"/>
      <c r="Q183" s="498"/>
      <c r="R183" s="498"/>
      <c r="S183" s="321"/>
      <c r="T183" s="318"/>
    </row>
    <row r="184" spans="2:22">
      <c r="F184" s="318"/>
      <c r="G184" s="318"/>
      <c r="H184" s="318"/>
      <c r="I184" s="318"/>
      <c r="J184" s="318"/>
      <c r="K184" s="318"/>
      <c r="L184" s="318"/>
      <c r="M184" s="318"/>
      <c r="N184" s="318"/>
      <c r="O184" s="318"/>
      <c r="P184" s="318"/>
      <c r="Q184" s="318"/>
      <c r="R184" s="318"/>
      <c r="S184" s="318"/>
      <c r="T184" s="318"/>
    </row>
    <row r="185" spans="2:22" ht="320.10000000000002" customHeight="1">
      <c r="F185" s="318"/>
      <c r="G185" s="318"/>
      <c r="H185" s="318"/>
      <c r="I185" s="318"/>
      <c r="J185" s="318"/>
      <c r="K185" s="318"/>
      <c r="L185" s="318"/>
      <c r="M185" s="318"/>
      <c r="N185" s="318"/>
      <c r="O185" s="318"/>
      <c r="P185" s="318"/>
      <c r="Q185" s="318"/>
      <c r="R185" s="318"/>
      <c r="S185" s="318"/>
      <c r="T185" s="318"/>
    </row>
    <row r="186" spans="2:22" ht="150" customHeight="1">
      <c r="F186" s="318"/>
      <c r="G186" s="318"/>
      <c r="H186" s="318"/>
      <c r="I186" s="318"/>
      <c r="J186" s="318"/>
      <c r="K186" s="318"/>
      <c r="L186" s="318"/>
      <c r="M186" s="318"/>
      <c r="N186" s="318"/>
      <c r="O186" s="318"/>
      <c r="P186" s="318"/>
      <c r="Q186" s="318"/>
      <c r="R186" s="318"/>
      <c r="S186" s="318"/>
      <c r="T186" s="318"/>
    </row>
    <row r="187" spans="2:22" ht="18.75">
      <c r="B187" s="316"/>
      <c r="F187" s="318"/>
      <c r="G187" s="501" t="s">
        <v>526</v>
      </c>
      <c r="H187" s="501"/>
      <c r="I187" s="501"/>
      <c r="J187" s="501"/>
      <c r="K187" s="501"/>
      <c r="L187" s="501"/>
      <c r="M187" s="501"/>
      <c r="N187" s="501"/>
      <c r="O187" s="501"/>
      <c r="P187" s="501"/>
      <c r="Q187" s="501"/>
      <c r="R187" s="501"/>
      <c r="S187" s="501"/>
      <c r="T187" s="318"/>
      <c r="U187" s="120">
        <v>2</v>
      </c>
      <c r="V187" s="120">
        <v>22</v>
      </c>
    </row>
    <row r="188" spans="2:22" ht="7.5" customHeight="1">
      <c r="F188" s="318"/>
      <c r="G188" s="502"/>
      <c r="H188" s="502"/>
      <c r="I188" s="502"/>
      <c r="J188" s="502"/>
      <c r="K188" s="502"/>
      <c r="L188" s="502"/>
      <c r="M188" s="502"/>
      <c r="N188" s="502"/>
      <c r="O188" s="502"/>
      <c r="P188" s="502"/>
      <c r="Q188" s="502"/>
      <c r="R188" s="502"/>
      <c r="S188" s="502"/>
      <c r="T188" s="318"/>
    </row>
    <row r="189" spans="2:22" ht="224.25" customHeight="1">
      <c r="F189" s="318"/>
      <c r="G189" s="320"/>
      <c r="H189" s="498" t="s">
        <v>527</v>
      </c>
      <c r="I189" s="498"/>
      <c r="J189" s="498"/>
      <c r="K189" s="498"/>
      <c r="L189" s="498"/>
      <c r="M189" s="498"/>
      <c r="N189" s="498"/>
      <c r="O189" s="498"/>
      <c r="P189" s="498"/>
      <c r="Q189" s="498"/>
      <c r="R189" s="498"/>
      <c r="S189" s="321"/>
      <c r="T189" s="318"/>
    </row>
    <row r="190" spans="2:22" ht="171" customHeight="1">
      <c r="F190" s="318"/>
      <c r="G190" s="320"/>
      <c r="H190" s="498" t="s">
        <v>528</v>
      </c>
      <c r="I190" s="498"/>
      <c r="J190" s="498"/>
      <c r="K190" s="498"/>
      <c r="L190" s="498"/>
      <c r="M190" s="498"/>
      <c r="N190" s="498"/>
      <c r="O190" s="498"/>
      <c r="P190" s="498"/>
      <c r="Q190" s="498"/>
      <c r="R190" s="498"/>
      <c r="S190" s="321"/>
      <c r="T190" s="318"/>
    </row>
    <row r="191" spans="2:22" ht="320.10000000000002" customHeight="1">
      <c r="F191" s="318"/>
      <c r="G191" s="318"/>
      <c r="H191" s="318"/>
      <c r="I191" s="318"/>
      <c r="J191" s="318"/>
      <c r="K191" s="318"/>
      <c r="L191" s="318"/>
      <c r="M191" s="318"/>
      <c r="N191" s="318"/>
      <c r="O191" s="318"/>
      <c r="P191" s="318"/>
      <c r="Q191" s="318"/>
      <c r="R191" s="318"/>
      <c r="S191" s="318"/>
      <c r="T191" s="318"/>
    </row>
    <row r="192" spans="2:22" ht="150" customHeight="1">
      <c r="F192" s="318"/>
      <c r="G192" s="318"/>
      <c r="H192" s="318"/>
      <c r="I192" s="318"/>
      <c r="J192" s="318"/>
      <c r="K192" s="318"/>
      <c r="L192" s="318"/>
      <c r="M192" s="318"/>
      <c r="N192" s="318"/>
      <c r="O192" s="318"/>
      <c r="P192" s="318"/>
      <c r="Q192" s="318"/>
      <c r="R192" s="318"/>
      <c r="S192" s="318"/>
      <c r="T192" s="318"/>
    </row>
    <row r="193" spans="2:22" ht="18.75">
      <c r="B193" s="316"/>
      <c r="F193" s="318"/>
      <c r="G193" s="501" t="s">
        <v>207</v>
      </c>
      <c r="H193" s="501"/>
      <c r="I193" s="501"/>
      <c r="J193" s="501"/>
      <c r="K193" s="501"/>
      <c r="L193" s="501"/>
      <c r="M193" s="501"/>
      <c r="N193" s="501"/>
      <c r="O193" s="501"/>
      <c r="P193" s="501"/>
      <c r="Q193" s="501"/>
      <c r="R193" s="501"/>
      <c r="S193" s="501"/>
      <c r="T193" s="318"/>
      <c r="U193" s="120">
        <v>3</v>
      </c>
    </row>
    <row r="194" spans="2:22" ht="7.5" customHeight="1">
      <c r="F194" s="318"/>
      <c r="G194" s="502"/>
      <c r="H194" s="502"/>
      <c r="I194" s="502"/>
      <c r="J194" s="502"/>
      <c r="K194" s="502"/>
      <c r="L194" s="502"/>
      <c r="M194" s="502"/>
      <c r="N194" s="502"/>
      <c r="O194" s="502"/>
      <c r="P194" s="502"/>
      <c r="Q194" s="502"/>
      <c r="R194" s="502"/>
      <c r="S194" s="502"/>
      <c r="T194" s="318"/>
    </row>
    <row r="195" spans="2:22" ht="240" customHeight="1">
      <c r="F195" s="318"/>
      <c r="G195" s="320"/>
      <c r="H195" s="498" t="s">
        <v>529</v>
      </c>
      <c r="I195" s="498"/>
      <c r="J195" s="498"/>
      <c r="K195" s="498"/>
      <c r="L195" s="498"/>
      <c r="M195" s="498"/>
      <c r="N195" s="498"/>
      <c r="O195" s="498"/>
      <c r="P195" s="498"/>
      <c r="Q195" s="498"/>
      <c r="R195" s="498"/>
      <c r="S195" s="321"/>
      <c r="T195" s="318"/>
    </row>
    <row r="196" spans="2:22">
      <c r="F196" s="318"/>
      <c r="G196" s="318"/>
      <c r="H196" s="318"/>
      <c r="I196" s="318"/>
      <c r="J196" s="318"/>
      <c r="K196" s="318"/>
      <c r="L196" s="318"/>
      <c r="M196" s="318"/>
      <c r="N196" s="318"/>
      <c r="O196" s="318"/>
      <c r="P196" s="318"/>
      <c r="Q196" s="318"/>
      <c r="R196" s="318"/>
      <c r="S196" s="318"/>
      <c r="T196" s="318"/>
    </row>
    <row r="197" spans="2:22" ht="320.10000000000002" customHeight="1">
      <c r="F197" s="318"/>
      <c r="G197" s="318"/>
      <c r="H197" s="318"/>
      <c r="I197" s="318"/>
      <c r="J197" s="318"/>
      <c r="K197" s="318"/>
      <c r="L197" s="318"/>
      <c r="M197" s="318"/>
      <c r="N197" s="318"/>
      <c r="O197" s="318"/>
      <c r="P197" s="318"/>
      <c r="Q197" s="318"/>
      <c r="R197" s="318"/>
      <c r="S197" s="318"/>
      <c r="T197" s="318"/>
    </row>
    <row r="198" spans="2:22" ht="150" customHeight="1">
      <c r="F198" s="318"/>
      <c r="G198" s="318"/>
      <c r="H198" s="318"/>
      <c r="I198" s="318"/>
      <c r="J198" s="318"/>
      <c r="K198" s="318"/>
      <c r="L198" s="318"/>
      <c r="M198" s="318"/>
      <c r="N198" s="318"/>
      <c r="O198" s="318"/>
      <c r="P198" s="318"/>
      <c r="Q198" s="318"/>
      <c r="R198" s="318"/>
      <c r="S198" s="318"/>
      <c r="T198" s="318"/>
    </row>
    <row r="199" spans="2:22" ht="18.75">
      <c r="B199" s="316"/>
      <c r="F199" s="318"/>
      <c r="G199" s="501" t="s">
        <v>278</v>
      </c>
      <c r="H199" s="501"/>
      <c r="I199" s="501"/>
      <c r="J199" s="501"/>
      <c r="K199" s="501"/>
      <c r="L199" s="501"/>
      <c r="M199" s="501"/>
      <c r="N199" s="501"/>
      <c r="O199" s="501"/>
      <c r="P199" s="501"/>
      <c r="Q199" s="501"/>
      <c r="R199" s="501"/>
      <c r="S199" s="501"/>
      <c r="T199" s="318"/>
      <c r="U199" s="120">
        <v>3</v>
      </c>
      <c r="V199" s="120">
        <v>1</v>
      </c>
    </row>
    <row r="200" spans="2:22" ht="7.5" customHeight="1">
      <c r="F200" s="318"/>
      <c r="G200" s="502"/>
      <c r="H200" s="502"/>
      <c r="I200" s="502"/>
      <c r="J200" s="502"/>
      <c r="K200" s="502"/>
      <c r="L200" s="502"/>
      <c r="M200" s="502"/>
      <c r="N200" s="502"/>
      <c r="O200" s="502"/>
      <c r="P200" s="502"/>
      <c r="Q200" s="502"/>
      <c r="R200" s="502"/>
      <c r="S200" s="502"/>
      <c r="T200" s="318"/>
    </row>
    <row r="201" spans="2:22" ht="240" customHeight="1">
      <c r="F201" s="318"/>
      <c r="G201" s="320"/>
      <c r="H201" s="498" t="s">
        <v>529</v>
      </c>
      <c r="I201" s="498"/>
      <c r="J201" s="498"/>
      <c r="K201" s="498"/>
      <c r="L201" s="498"/>
      <c r="M201" s="498"/>
      <c r="N201" s="498"/>
      <c r="O201" s="498"/>
      <c r="P201" s="498"/>
      <c r="Q201" s="498"/>
      <c r="R201" s="498"/>
      <c r="S201" s="321"/>
      <c r="T201" s="318"/>
    </row>
    <row r="202" spans="2:22">
      <c r="F202" s="318"/>
      <c r="G202" s="318"/>
      <c r="H202" s="318"/>
      <c r="I202" s="318"/>
      <c r="J202" s="318"/>
      <c r="K202" s="318"/>
      <c r="L202" s="318"/>
      <c r="M202" s="318"/>
      <c r="N202" s="318"/>
      <c r="O202" s="318"/>
      <c r="P202" s="318"/>
      <c r="Q202" s="318"/>
      <c r="R202" s="318"/>
      <c r="S202" s="318"/>
      <c r="T202" s="318"/>
    </row>
    <row r="203" spans="2:22" ht="320.10000000000002" customHeight="1">
      <c r="F203" s="318"/>
      <c r="G203" s="318"/>
      <c r="H203" s="318"/>
      <c r="I203" s="318"/>
      <c r="J203" s="318"/>
      <c r="K203" s="318"/>
      <c r="L203" s="318"/>
      <c r="M203" s="318"/>
      <c r="N203" s="318"/>
      <c r="O203" s="318"/>
      <c r="P203" s="318"/>
      <c r="Q203" s="318"/>
      <c r="R203" s="318"/>
      <c r="S203" s="318"/>
      <c r="T203" s="318"/>
    </row>
    <row r="204" spans="2:22" ht="150" customHeight="1">
      <c r="F204" s="318"/>
      <c r="G204" s="318"/>
      <c r="H204" s="318"/>
      <c r="I204" s="318"/>
      <c r="J204" s="318"/>
      <c r="K204" s="318"/>
      <c r="L204" s="318"/>
      <c r="M204" s="318"/>
      <c r="N204" s="318"/>
      <c r="O204" s="318"/>
      <c r="P204" s="318"/>
      <c r="Q204" s="318"/>
      <c r="R204" s="318"/>
      <c r="S204" s="318"/>
      <c r="T204" s="318"/>
    </row>
    <row r="205" spans="2:22" ht="18.75">
      <c r="B205" s="316"/>
      <c r="F205" s="318"/>
      <c r="G205" s="501" t="s">
        <v>262</v>
      </c>
      <c r="H205" s="501"/>
      <c r="I205" s="501"/>
      <c r="J205" s="501"/>
      <c r="K205" s="501"/>
      <c r="L205" s="501"/>
      <c r="M205" s="501"/>
      <c r="N205" s="501"/>
      <c r="O205" s="501"/>
      <c r="P205" s="501"/>
      <c r="Q205" s="501"/>
      <c r="R205" s="501"/>
      <c r="S205" s="501"/>
      <c r="T205" s="318"/>
      <c r="U205" s="120">
        <v>3</v>
      </c>
      <c r="V205" s="120">
        <v>2</v>
      </c>
    </row>
    <row r="206" spans="2:22" ht="7.5" customHeight="1">
      <c r="F206" s="318"/>
      <c r="G206" s="502"/>
      <c r="H206" s="502"/>
      <c r="I206" s="502"/>
      <c r="J206" s="502"/>
      <c r="K206" s="502"/>
      <c r="L206" s="502"/>
      <c r="M206" s="502"/>
      <c r="N206" s="502"/>
      <c r="O206" s="502"/>
      <c r="P206" s="502"/>
      <c r="Q206" s="502"/>
      <c r="R206" s="502"/>
      <c r="S206" s="502"/>
      <c r="T206" s="318"/>
    </row>
    <row r="207" spans="2:22" ht="205.5" customHeight="1">
      <c r="F207" s="318"/>
      <c r="G207" s="320"/>
      <c r="H207" s="498" t="s">
        <v>530</v>
      </c>
      <c r="I207" s="498"/>
      <c r="J207" s="498"/>
      <c r="K207" s="498"/>
      <c r="L207" s="498"/>
      <c r="M207" s="498"/>
      <c r="N207" s="498"/>
      <c r="O207" s="498"/>
      <c r="P207" s="498"/>
      <c r="Q207" s="498"/>
      <c r="R207" s="498"/>
      <c r="S207" s="321"/>
      <c r="T207" s="318"/>
    </row>
    <row r="208" spans="2:22">
      <c r="F208" s="318"/>
      <c r="G208" s="318"/>
      <c r="H208" s="318"/>
      <c r="I208" s="318"/>
      <c r="J208" s="318"/>
      <c r="K208" s="318"/>
      <c r="L208" s="318"/>
      <c r="M208" s="318"/>
      <c r="N208" s="318"/>
      <c r="O208" s="318"/>
      <c r="P208" s="318"/>
      <c r="Q208" s="318"/>
      <c r="R208" s="318"/>
      <c r="S208" s="318"/>
      <c r="T208" s="318"/>
    </row>
    <row r="209" spans="2:22" ht="320.10000000000002" customHeight="1">
      <c r="F209" s="318"/>
      <c r="G209" s="318"/>
      <c r="H209" s="318"/>
      <c r="I209" s="318"/>
      <c r="J209" s="318"/>
      <c r="K209" s="318"/>
      <c r="L209" s="318"/>
      <c r="M209" s="318"/>
      <c r="N209" s="318"/>
      <c r="O209" s="318"/>
      <c r="P209" s="318"/>
      <c r="Q209" s="318"/>
      <c r="R209" s="318"/>
      <c r="S209" s="318"/>
      <c r="T209" s="318"/>
    </row>
    <row r="210" spans="2:22" ht="150" customHeight="1">
      <c r="F210" s="318"/>
      <c r="G210" s="318"/>
      <c r="H210" s="318"/>
      <c r="I210" s="318"/>
      <c r="J210" s="318"/>
      <c r="K210" s="318"/>
      <c r="L210" s="318"/>
      <c r="M210" s="318"/>
      <c r="N210" s="318"/>
      <c r="O210" s="318"/>
      <c r="P210" s="318"/>
      <c r="Q210" s="318"/>
      <c r="R210" s="318"/>
      <c r="S210" s="318"/>
      <c r="T210" s="318"/>
    </row>
    <row r="211" spans="2:22" ht="18.75">
      <c r="B211" s="316"/>
      <c r="F211" s="318"/>
      <c r="G211" s="501" t="s">
        <v>0</v>
      </c>
      <c r="H211" s="501"/>
      <c r="I211" s="501"/>
      <c r="J211" s="501"/>
      <c r="K211" s="501"/>
      <c r="L211" s="501"/>
      <c r="M211" s="501"/>
      <c r="N211" s="501"/>
      <c r="O211" s="501"/>
      <c r="P211" s="501"/>
      <c r="Q211" s="501"/>
      <c r="R211" s="501"/>
      <c r="S211" s="501"/>
      <c r="T211" s="318"/>
      <c r="U211" s="120">
        <v>4</v>
      </c>
    </row>
    <row r="212" spans="2:22" ht="7.5" customHeight="1">
      <c r="F212" s="318"/>
      <c r="G212" s="502"/>
      <c r="H212" s="502"/>
      <c r="I212" s="502"/>
      <c r="J212" s="502"/>
      <c r="K212" s="502"/>
      <c r="L212" s="502"/>
      <c r="M212" s="502"/>
      <c r="N212" s="502"/>
      <c r="O212" s="502"/>
      <c r="P212" s="502"/>
      <c r="Q212" s="502"/>
      <c r="R212" s="502"/>
      <c r="S212" s="502"/>
      <c r="T212" s="318"/>
    </row>
    <row r="213" spans="2:22" ht="50.25" customHeight="1">
      <c r="F213" s="318"/>
      <c r="G213" s="320"/>
      <c r="H213" s="511"/>
      <c r="I213" s="511"/>
      <c r="J213" s="511"/>
      <c r="K213" s="511"/>
      <c r="L213" s="511"/>
      <c r="M213" s="511"/>
      <c r="N213" s="511"/>
      <c r="O213" s="511"/>
      <c r="P213" s="511"/>
      <c r="Q213" s="511"/>
      <c r="R213" s="511"/>
      <c r="S213" s="321"/>
      <c r="T213" s="318"/>
    </row>
    <row r="214" spans="2:22">
      <c r="F214" s="318"/>
      <c r="G214" s="318"/>
      <c r="H214" s="318"/>
      <c r="I214" s="318"/>
      <c r="J214" s="318"/>
      <c r="K214" s="318"/>
      <c r="L214" s="318"/>
      <c r="M214" s="318"/>
      <c r="N214" s="318"/>
      <c r="O214" s="318"/>
      <c r="P214" s="318"/>
      <c r="Q214" s="318"/>
      <c r="R214" s="318"/>
      <c r="S214" s="318"/>
      <c r="T214" s="318"/>
    </row>
    <row r="215" spans="2:22" ht="320.10000000000002" customHeight="1">
      <c r="F215" s="318"/>
      <c r="G215" s="318"/>
      <c r="H215" s="318"/>
      <c r="I215" s="318"/>
      <c r="J215" s="318"/>
      <c r="K215" s="318"/>
      <c r="L215" s="318"/>
      <c r="M215" s="318"/>
      <c r="N215" s="318"/>
      <c r="O215" s="318"/>
      <c r="P215" s="318"/>
      <c r="Q215" s="318"/>
      <c r="R215" s="318"/>
      <c r="S215" s="318"/>
      <c r="T215" s="318"/>
    </row>
    <row r="216" spans="2:22" ht="150" customHeight="1">
      <c r="F216" s="318"/>
      <c r="G216" s="318"/>
      <c r="H216" s="318"/>
      <c r="I216" s="318"/>
      <c r="J216" s="318"/>
      <c r="K216" s="318"/>
      <c r="L216" s="318"/>
      <c r="M216" s="318"/>
      <c r="N216" s="318"/>
      <c r="O216" s="318"/>
      <c r="P216" s="318"/>
      <c r="Q216" s="318"/>
      <c r="R216" s="318"/>
      <c r="S216" s="318"/>
      <c r="T216" s="318"/>
    </row>
    <row r="217" spans="2:22" ht="18.75">
      <c r="B217" s="316"/>
      <c r="F217" s="318"/>
      <c r="G217" s="501" t="s">
        <v>149</v>
      </c>
      <c r="H217" s="501"/>
      <c r="I217" s="501"/>
      <c r="J217" s="501"/>
      <c r="K217" s="501"/>
      <c r="L217" s="501"/>
      <c r="M217" s="501"/>
      <c r="N217" s="501"/>
      <c r="O217" s="501"/>
      <c r="P217" s="501"/>
      <c r="Q217" s="501"/>
      <c r="R217" s="501"/>
      <c r="S217" s="501"/>
      <c r="T217" s="318"/>
      <c r="U217" s="120">
        <v>4</v>
      </c>
      <c r="V217" s="120">
        <v>1</v>
      </c>
    </row>
    <row r="218" spans="2:22" ht="7.5" customHeight="1">
      <c r="F218" s="318"/>
      <c r="G218" s="502"/>
      <c r="H218" s="502"/>
      <c r="I218" s="502"/>
      <c r="J218" s="502"/>
      <c r="K218" s="502"/>
      <c r="L218" s="502"/>
      <c r="M218" s="502"/>
      <c r="N218" s="502"/>
      <c r="O218" s="502"/>
      <c r="P218" s="502"/>
      <c r="Q218" s="502"/>
      <c r="R218" s="502"/>
      <c r="S218" s="502"/>
      <c r="T218" s="318"/>
    </row>
    <row r="219" spans="2:22" ht="192" customHeight="1">
      <c r="F219" s="318"/>
      <c r="G219" s="320"/>
      <c r="H219" s="498" t="s">
        <v>531</v>
      </c>
      <c r="I219" s="498"/>
      <c r="J219" s="498"/>
      <c r="K219" s="498"/>
      <c r="L219" s="498"/>
      <c r="M219" s="498"/>
      <c r="N219" s="498"/>
      <c r="O219" s="498"/>
      <c r="P219" s="498"/>
      <c r="Q219" s="498"/>
      <c r="R219" s="498"/>
      <c r="S219" s="321"/>
      <c r="T219" s="318"/>
    </row>
    <row r="220" spans="2:22" ht="130.5" customHeight="1">
      <c r="F220" s="318"/>
      <c r="G220" s="320"/>
      <c r="H220" s="498" t="s">
        <v>532</v>
      </c>
      <c r="I220" s="498"/>
      <c r="J220" s="498"/>
      <c r="K220" s="498"/>
      <c r="L220" s="498"/>
      <c r="M220" s="498"/>
      <c r="N220" s="498"/>
      <c r="O220" s="498"/>
      <c r="P220" s="498"/>
      <c r="Q220" s="498"/>
      <c r="R220" s="498"/>
      <c r="S220" s="321"/>
      <c r="T220" s="318"/>
    </row>
    <row r="221" spans="2:22" ht="320.10000000000002" customHeight="1">
      <c r="F221" s="318"/>
      <c r="G221" s="318"/>
      <c r="H221" s="318"/>
      <c r="I221" s="318"/>
      <c r="J221" s="318"/>
      <c r="K221" s="318"/>
      <c r="L221" s="318"/>
      <c r="M221" s="318"/>
      <c r="N221" s="318"/>
      <c r="O221" s="318"/>
      <c r="P221" s="318"/>
      <c r="Q221" s="318"/>
      <c r="R221" s="318"/>
      <c r="S221" s="318"/>
      <c r="T221" s="318"/>
    </row>
    <row r="222" spans="2:22" ht="150" customHeight="1">
      <c r="F222" s="318"/>
      <c r="G222" s="318"/>
      <c r="H222" s="318"/>
      <c r="I222" s="318"/>
      <c r="J222" s="318"/>
      <c r="K222" s="318"/>
      <c r="L222" s="318"/>
      <c r="M222" s="318"/>
      <c r="N222" s="318"/>
      <c r="O222" s="318"/>
      <c r="P222" s="318"/>
      <c r="Q222" s="318"/>
      <c r="R222" s="318"/>
      <c r="S222" s="318"/>
      <c r="T222" s="318"/>
    </row>
    <row r="223" spans="2:22" ht="18.75">
      <c r="B223" s="316"/>
      <c r="F223" s="318"/>
      <c r="G223" s="501" t="s">
        <v>144</v>
      </c>
      <c r="H223" s="501"/>
      <c r="I223" s="501"/>
      <c r="J223" s="501"/>
      <c r="K223" s="501"/>
      <c r="L223" s="501"/>
      <c r="M223" s="501"/>
      <c r="N223" s="501"/>
      <c r="O223" s="501"/>
      <c r="P223" s="501"/>
      <c r="Q223" s="501"/>
      <c r="R223" s="501"/>
      <c r="S223" s="501"/>
      <c r="T223" s="318"/>
      <c r="U223" s="120">
        <v>4</v>
      </c>
      <c r="V223" s="120">
        <v>2</v>
      </c>
    </row>
    <row r="224" spans="2:22" ht="7.5" customHeight="1">
      <c r="F224" s="318"/>
      <c r="G224" s="502"/>
      <c r="H224" s="502"/>
      <c r="I224" s="502"/>
      <c r="J224" s="502"/>
      <c r="K224" s="502"/>
      <c r="L224" s="502"/>
      <c r="M224" s="502"/>
      <c r="N224" s="502"/>
      <c r="O224" s="502"/>
      <c r="P224" s="502"/>
      <c r="Q224" s="502"/>
      <c r="R224" s="502"/>
      <c r="S224" s="502"/>
      <c r="T224" s="318"/>
    </row>
    <row r="225" spans="2:22" ht="90" customHeight="1">
      <c r="F225" s="318"/>
      <c r="G225" s="320"/>
      <c r="H225" s="498" t="s">
        <v>145</v>
      </c>
      <c r="I225" s="498"/>
      <c r="J225" s="498"/>
      <c r="K225" s="498"/>
      <c r="L225" s="498"/>
      <c r="M225" s="498"/>
      <c r="N225" s="498"/>
      <c r="O225" s="498"/>
      <c r="P225" s="498"/>
      <c r="Q225" s="498"/>
      <c r="R225" s="498"/>
      <c r="S225" s="321"/>
      <c r="T225" s="318"/>
    </row>
    <row r="226" spans="2:22">
      <c r="F226" s="318"/>
      <c r="G226" s="318"/>
      <c r="H226" s="318"/>
      <c r="I226" s="318"/>
      <c r="J226" s="318"/>
      <c r="K226" s="318"/>
      <c r="L226" s="318"/>
      <c r="M226" s="318"/>
      <c r="N226" s="318"/>
      <c r="O226" s="318"/>
      <c r="P226" s="318"/>
      <c r="Q226" s="318"/>
      <c r="R226" s="318"/>
      <c r="S226" s="318"/>
      <c r="T226" s="318"/>
    </row>
    <row r="227" spans="2:22" ht="320.10000000000002" customHeight="1">
      <c r="F227" s="318"/>
      <c r="G227" s="318"/>
      <c r="H227" s="318"/>
      <c r="I227" s="318"/>
      <c r="J227" s="318"/>
      <c r="K227" s="318"/>
      <c r="L227" s="318"/>
      <c r="M227" s="318"/>
      <c r="N227" s="318"/>
      <c r="O227" s="318"/>
      <c r="P227" s="318"/>
      <c r="Q227" s="318"/>
      <c r="R227" s="318"/>
      <c r="S227" s="318"/>
      <c r="T227" s="318"/>
    </row>
    <row r="228" spans="2:22" ht="150" customHeight="1">
      <c r="F228" s="318"/>
      <c r="G228" s="318"/>
      <c r="H228" s="318"/>
      <c r="I228" s="318"/>
      <c r="J228" s="318"/>
      <c r="K228" s="318"/>
      <c r="L228" s="318"/>
      <c r="M228" s="318"/>
      <c r="N228" s="318"/>
      <c r="O228" s="318"/>
      <c r="P228" s="318"/>
      <c r="Q228" s="318"/>
      <c r="R228" s="318"/>
      <c r="S228" s="318"/>
      <c r="T228" s="318"/>
    </row>
    <row r="229" spans="2:22" ht="18.75">
      <c r="B229" s="316"/>
      <c r="F229" s="318"/>
      <c r="G229" s="501" t="s">
        <v>414</v>
      </c>
      <c r="H229" s="501"/>
      <c r="I229" s="501"/>
      <c r="J229" s="501"/>
      <c r="K229" s="501"/>
      <c r="L229" s="501"/>
      <c r="M229" s="501"/>
      <c r="N229" s="501"/>
      <c r="O229" s="501"/>
      <c r="P229" s="501"/>
      <c r="Q229" s="501"/>
      <c r="R229" s="501"/>
      <c r="S229" s="501"/>
      <c r="T229" s="318"/>
      <c r="U229" s="120">
        <v>4</v>
      </c>
      <c r="V229" s="120">
        <v>3</v>
      </c>
    </row>
    <row r="230" spans="2:22" ht="7.5" customHeight="1">
      <c r="F230" s="318"/>
      <c r="G230" s="502"/>
      <c r="H230" s="502"/>
      <c r="I230" s="502"/>
      <c r="J230" s="502"/>
      <c r="K230" s="502"/>
      <c r="L230" s="502"/>
      <c r="M230" s="502"/>
      <c r="N230" s="502"/>
      <c r="O230" s="502"/>
      <c r="P230" s="502"/>
      <c r="Q230" s="502"/>
      <c r="R230" s="502"/>
      <c r="S230" s="502"/>
      <c r="T230" s="318"/>
    </row>
    <row r="231" spans="2:22" ht="110.25" customHeight="1">
      <c r="F231" s="318"/>
      <c r="G231" s="320"/>
      <c r="H231" s="498" t="s">
        <v>415</v>
      </c>
      <c r="I231" s="498"/>
      <c r="J231" s="498"/>
      <c r="K231" s="498"/>
      <c r="L231" s="498"/>
      <c r="M231" s="498"/>
      <c r="N231" s="498"/>
      <c r="O231" s="498"/>
      <c r="P231" s="498"/>
      <c r="Q231" s="498"/>
      <c r="R231" s="498"/>
      <c r="S231" s="321"/>
      <c r="T231" s="318"/>
    </row>
    <row r="232" spans="2:22">
      <c r="F232" s="318"/>
      <c r="G232" s="318"/>
      <c r="H232" s="318"/>
      <c r="I232" s="318"/>
      <c r="J232" s="318"/>
      <c r="K232" s="318"/>
      <c r="L232" s="318"/>
      <c r="M232" s="318"/>
      <c r="N232" s="318"/>
      <c r="O232" s="318"/>
      <c r="P232" s="318"/>
      <c r="Q232" s="318"/>
      <c r="R232" s="318"/>
      <c r="S232" s="318"/>
      <c r="T232" s="318"/>
    </row>
    <row r="233" spans="2:22" ht="320.10000000000002" customHeight="1">
      <c r="F233" s="318"/>
      <c r="G233" s="318"/>
      <c r="H233" s="318"/>
      <c r="I233" s="318"/>
      <c r="J233" s="318"/>
      <c r="K233" s="318"/>
      <c r="L233" s="318"/>
      <c r="M233" s="318"/>
      <c r="N233" s="318"/>
      <c r="O233" s="318"/>
      <c r="P233" s="318"/>
      <c r="Q233" s="318"/>
      <c r="R233" s="318"/>
      <c r="S233" s="318"/>
      <c r="T233" s="318"/>
    </row>
    <row r="234" spans="2:22" ht="150" customHeight="1">
      <c r="F234" s="318"/>
      <c r="G234" s="318"/>
      <c r="H234" s="318"/>
      <c r="I234" s="318"/>
      <c r="J234" s="318"/>
      <c r="K234" s="318"/>
      <c r="L234" s="318"/>
      <c r="M234" s="318"/>
      <c r="N234" s="318"/>
      <c r="O234" s="318"/>
      <c r="P234" s="318"/>
      <c r="Q234" s="318"/>
      <c r="R234" s="318"/>
      <c r="S234" s="318"/>
      <c r="T234" s="318"/>
    </row>
    <row r="235" spans="2:22" ht="18.75">
      <c r="B235" s="316"/>
      <c r="F235" s="318"/>
      <c r="G235" s="501" t="s">
        <v>533</v>
      </c>
      <c r="H235" s="501"/>
      <c r="I235" s="501"/>
      <c r="J235" s="501"/>
      <c r="K235" s="501"/>
      <c r="L235" s="501"/>
      <c r="M235" s="501"/>
      <c r="N235" s="501"/>
      <c r="O235" s="501"/>
      <c r="P235" s="501"/>
      <c r="Q235" s="501"/>
      <c r="R235" s="501"/>
      <c r="S235" s="501"/>
      <c r="T235" s="318"/>
      <c r="U235" s="120">
        <v>4</v>
      </c>
      <c r="V235" s="120">
        <v>4</v>
      </c>
    </row>
    <row r="236" spans="2:22" ht="7.5" customHeight="1">
      <c r="F236" s="318"/>
      <c r="G236" s="502"/>
      <c r="H236" s="502"/>
      <c r="I236" s="502"/>
      <c r="J236" s="502"/>
      <c r="K236" s="502"/>
      <c r="L236" s="502"/>
      <c r="M236" s="502"/>
      <c r="N236" s="502"/>
      <c r="O236" s="502"/>
      <c r="P236" s="502"/>
      <c r="Q236" s="502"/>
      <c r="R236" s="502"/>
      <c r="S236" s="502"/>
      <c r="T236" s="318"/>
    </row>
    <row r="237" spans="2:22" ht="80.099999999999994" customHeight="1">
      <c r="F237" s="318"/>
      <c r="G237" s="320"/>
      <c r="H237" s="498" t="s">
        <v>263</v>
      </c>
      <c r="I237" s="498"/>
      <c r="J237" s="498"/>
      <c r="K237" s="498"/>
      <c r="L237" s="498"/>
      <c r="M237" s="498"/>
      <c r="N237" s="498"/>
      <c r="O237" s="498"/>
      <c r="P237" s="498"/>
      <c r="Q237" s="498"/>
      <c r="R237" s="498"/>
      <c r="S237" s="321"/>
      <c r="T237" s="318"/>
    </row>
    <row r="238" spans="2:22">
      <c r="F238" s="318"/>
      <c r="G238" s="318"/>
      <c r="H238" s="318"/>
      <c r="I238" s="318"/>
      <c r="J238" s="318"/>
      <c r="K238" s="318"/>
      <c r="L238" s="318"/>
      <c r="M238" s="318"/>
      <c r="N238" s="318"/>
      <c r="O238" s="318"/>
      <c r="P238" s="318"/>
      <c r="Q238" s="318"/>
      <c r="R238" s="318"/>
      <c r="S238" s="318"/>
      <c r="T238" s="318"/>
    </row>
    <row r="239" spans="2:22" ht="320.10000000000002" customHeight="1">
      <c r="F239" s="318"/>
      <c r="G239" s="318"/>
      <c r="H239" s="318"/>
      <c r="I239" s="318"/>
      <c r="J239" s="318"/>
      <c r="K239" s="318"/>
      <c r="L239" s="318"/>
      <c r="M239" s="318"/>
      <c r="N239" s="318"/>
      <c r="O239" s="318"/>
      <c r="P239" s="318"/>
      <c r="Q239" s="318"/>
      <c r="R239" s="318"/>
      <c r="S239" s="318"/>
      <c r="T239" s="318"/>
    </row>
    <row r="240" spans="2:22" ht="150" customHeight="1">
      <c r="F240" s="318"/>
      <c r="G240" s="318"/>
      <c r="H240" s="318"/>
      <c r="I240" s="318"/>
      <c r="J240" s="318"/>
      <c r="K240" s="318"/>
      <c r="L240" s="318"/>
      <c r="M240" s="318"/>
      <c r="N240" s="318"/>
      <c r="O240" s="318"/>
      <c r="P240" s="318"/>
      <c r="Q240" s="318"/>
      <c r="R240" s="318"/>
      <c r="S240" s="318"/>
      <c r="T240" s="318"/>
    </row>
    <row r="241" spans="2:22" ht="18.75">
      <c r="B241" s="316"/>
      <c r="F241" s="318"/>
      <c r="G241" s="501" t="s">
        <v>64</v>
      </c>
      <c r="H241" s="501"/>
      <c r="I241" s="501"/>
      <c r="J241" s="501"/>
      <c r="K241" s="501"/>
      <c r="L241" s="501"/>
      <c r="M241" s="501"/>
      <c r="N241" s="501"/>
      <c r="O241" s="501"/>
      <c r="P241" s="501"/>
      <c r="Q241" s="501"/>
      <c r="R241" s="501"/>
      <c r="S241" s="501"/>
      <c r="T241" s="318"/>
      <c r="U241" s="120">
        <v>5</v>
      </c>
    </row>
    <row r="242" spans="2:22" ht="7.5" customHeight="1">
      <c r="F242" s="318"/>
      <c r="G242" s="502"/>
      <c r="H242" s="502"/>
      <c r="I242" s="502"/>
      <c r="J242" s="502"/>
      <c r="K242" s="502"/>
      <c r="L242" s="502"/>
      <c r="M242" s="502"/>
      <c r="N242" s="502"/>
      <c r="O242" s="502"/>
      <c r="P242" s="502"/>
      <c r="Q242" s="502"/>
      <c r="R242" s="502"/>
      <c r="S242" s="502"/>
      <c r="T242" s="318"/>
    </row>
    <row r="243" spans="2:22" ht="50.1" customHeight="1">
      <c r="F243" s="318"/>
      <c r="G243" s="320"/>
      <c r="H243" s="498" t="s">
        <v>272</v>
      </c>
      <c r="I243" s="498"/>
      <c r="J243" s="498"/>
      <c r="K243" s="498"/>
      <c r="L243" s="498"/>
      <c r="M243" s="498"/>
      <c r="N243" s="498"/>
      <c r="O243" s="498"/>
      <c r="P243" s="498"/>
      <c r="Q243" s="498"/>
      <c r="R243" s="498"/>
      <c r="S243" s="321"/>
      <c r="T243" s="318"/>
    </row>
    <row r="244" spans="2:22">
      <c r="F244" s="318"/>
      <c r="G244" s="318"/>
      <c r="H244" s="318"/>
      <c r="I244" s="318"/>
      <c r="J244" s="318"/>
      <c r="K244" s="318"/>
      <c r="L244" s="318"/>
      <c r="M244" s="318"/>
      <c r="N244" s="318"/>
      <c r="O244" s="318"/>
      <c r="P244" s="318"/>
      <c r="Q244" s="318"/>
      <c r="R244" s="318"/>
      <c r="S244" s="318"/>
      <c r="T244" s="318"/>
    </row>
    <row r="245" spans="2:22" ht="320.10000000000002" customHeight="1">
      <c r="F245" s="318"/>
      <c r="G245" s="318"/>
      <c r="H245" s="318"/>
      <c r="I245" s="318"/>
      <c r="J245" s="318"/>
      <c r="K245" s="318"/>
      <c r="L245" s="318"/>
      <c r="M245" s="318"/>
      <c r="N245" s="318"/>
      <c r="O245" s="318"/>
      <c r="P245" s="318"/>
      <c r="Q245" s="318"/>
      <c r="R245" s="318"/>
      <c r="S245" s="318"/>
      <c r="T245" s="318"/>
    </row>
    <row r="246" spans="2:22" ht="150" customHeight="1">
      <c r="F246" s="318"/>
      <c r="G246" s="318"/>
      <c r="H246" s="318"/>
      <c r="I246" s="318"/>
      <c r="J246" s="318"/>
      <c r="K246" s="318"/>
      <c r="L246" s="318"/>
      <c r="M246" s="318"/>
      <c r="N246" s="318"/>
      <c r="O246" s="318"/>
      <c r="P246" s="318"/>
      <c r="Q246" s="318"/>
      <c r="R246" s="318"/>
      <c r="S246" s="318"/>
      <c r="T246" s="318"/>
    </row>
    <row r="247" spans="2:22" ht="18.75">
      <c r="B247" s="316"/>
      <c r="F247" s="318"/>
      <c r="G247" s="501" t="s">
        <v>65</v>
      </c>
      <c r="H247" s="501"/>
      <c r="I247" s="501"/>
      <c r="J247" s="501"/>
      <c r="K247" s="501"/>
      <c r="L247" s="501"/>
      <c r="M247" s="501"/>
      <c r="N247" s="501"/>
      <c r="O247" s="501"/>
      <c r="P247" s="501"/>
      <c r="Q247" s="501"/>
      <c r="R247" s="501"/>
      <c r="S247" s="501"/>
      <c r="T247" s="318"/>
      <c r="U247" s="120">
        <v>5</v>
      </c>
      <c r="V247" s="120">
        <v>1</v>
      </c>
    </row>
    <row r="248" spans="2:22" ht="7.5" customHeight="1">
      <c r="F248" s="318"/>
      <c r="G248" s="502"/>
      <c r="H248" s="502"/>
      <c r="I248" s="502"/>
      <c r="J248" s="502"/>
      <c r="K248" s="502"/>
      <c r="L248" s="502"/>
      <c r="M248" s="502"/>
      <c r="N248" s="502"/>
      <c r="O248" s="502"/>
      <c r="P248" s="502"/>
      <c r="Q248" s="502"/>
      <c r="R248" s="502"/>
      <c r="S248" s="502"/>
      <c r="T248" s="318"/>
    </row>
    <row r="249" spans="2:22" ht="220.5" customHeight="1">
      <c r="F249" s="318"/>
      <c r="G249" s="320"/>
      <c r="H249" s="498" t="s">
        <v>274</v>
      </c>
      <c r="I249" s="498"/>
      <c r="J249" s="498"/>
      <c r="K249" s="498"/>
      <c r="L249" s="498"/>
      <c r="M249" s="498"/>
      <c r="N249" s="498"/>
      <c r="O249" s="498"/>
      <c r="P249" s="498"/>
      <c r="Q249" s="498"/>
      <c r="R249" s="498"/>
      <c r="S249" s="321"/>
      <c r="T249" s="318"/>
    </row>
    <row r="250" spans="2:22">
      <c r="F250" s="318"/>
      <c r="G250" s="318"/>
      <c r="H250" s="318"/>
      <c r="I250" s="318"/>
      <c r="J250" s="318"/>
      <c r="K250" s="318"/>
      <c r="L250" s="318"/>
      <c r="M250" s="318"/>
      <c r="N250" s="318"/>
      <c r="O250" s="318"/>
      <c r="P250" s="318"/>
      <c r="Q250" s="318"/>
      <c r="R250" s="318"/>
      <c r="S250" s="318"/>
      <c r="T250" s="318"/>
    </row>
    <row r="251" spans="2:22" ht="320.10000000000002" customHeight="1">
      <c r="F251" s="318"/>
      <c r="G251" s="318"/>
      <c r="H251" s="318"/>
      <c r="I251" s="318"/>
      <c r="J251" s="318"/>
      <c r="K251" s="318"/>
      <c r="L251" s="318"/>
      <c r="M251" s="318"/>
      <c r="N251" s="318"/>
      <c r="O251" s="318"/>
      <c r="P251" s="318"/>
      <c r="Q251" s="318"/>
      <c r="R251" s="318"/>
      <c r="S251" s="318"/>
      <c r="T251" s="318"/>
    </row>
    <row r="252" spans="2:22" ht="150" customHeight="1">
      <c r="F252" s="318"/>
      <c r="G252" s="318"/>
      <c r="H252" s="318"/>
      <c r="I252" s="318"/>
      <c r="J252" s="318"/>
      <c r="K252" s="318"/>
      <c r="L252" s="318"/>
      <c r="M252" s="318"/>
      <c r="N252" s="318"/>
      <c r="O252" s="318"/>
      <c r="P252" s="318"/>
      <c r="Q252" s="318"/>
      <c r="R252" s="318"/>
      <c r="S252" s="318"/>
      <c r="T252" s="318"/>
    </row>
    <row r="253" spans="2:22" ht="18.75">
      <c r="B253" s="316"/>
      <c r="F253" s="318"/>
      <c r="G253" s="501" t="s">
        <v>66</v>
      </c>
      <c r="H253" s="501"/>
      <c r="I253" s="501"/>
      <c r="J253" s="501"/>
      <c r="K253" s="501"/>
      <c r="L253" s="501"/>
      <c r="M253" s="501"/>
      <c r="N253" s="501"/>
      <c r="O253" s="501"/>
      <c r="P253" s="501"/>
      <c r="Q253" s="501"/>
      <c r="R253" s="501"/>
      <c r="S253" s="501"/>
      <c r="T253" s="318"/>
      <c r="U253" s="120">
        <v>5</v>
      </c>
      <c r="V253" s="120">
        <v>2</v>
      </c>
    </row>
    <row r="254" spans="2:22" ht="7.5" customHeight="1">
      <c r="F254" s="318"/>
      <c r="G254" s="502"/>
      <c r="H254" s="502"/>
      <c r="I254" s="502"/>
      <c r="J254" s="502"/>
      <c r="K254" s="502"/>
      <c r="L254" s="502"/>
      <c r="M254" s="502"/>
      <c r="N254" s="502"/>
      <c r="O254" s="502"/>
      <c r="P254" s="502"/>
      <c r="Q254" s="502"/>
      <c r="R254" s="502"/>
      <c r="S254" s="502"/>
      <c r="T254" s="318"/>
    </row>
    <row r="255" spans="2:22" ht="69.95" customHeight="1">
      <c r="F255" s="318"/>
      <c r="G255" s="320"/>
      <c r="H255" s="498" t="s">
        <v>273</v>
      </c>
      <c r="I255" s="498"/>
      <c r="J255" s="498"/>
      <c r="K255" s="498"/>
      <c r="L255" s="498"/>
      <c r="M255" s="498"/>
      <c r="N255" s="498"/>
      <c r="O255" s="498"/>
      <c r="P255" s="498"/>
      <c r="Q255" s="498"/>
      <c r="R255" s="498"/>
      <c r="S255" s="321"/>
      <c r="T255" s="318"/>
    </row>
    <row r="256" spans="2:22">
      <c r="F256" s="318"/>
      <c r="G256" s="318"/>
      <c r="H256" s="318"/>
      <c r="I256" s="318"/>
      <c r="J256" s="318"/>
      <c r="K256" s="318"/>
      <c r="L256" s="318"/>
      <c r="M256" s="318"/>
      <c r="N256" s="318"/>
      <c r="O256" s="318"/>
      <c r="P256" s="318"/>
      <c r="Q256" s="318"/>
      <c r="R256" s="318"/>
      <c r="S256" s="318"/>
      <c r="T256" s="318"/>
    </row>
    <row r="257" spans="2:22" ht="320.10000000000002" customHeight="1">
      <c r="F257" s="318"/>
      <c r="G257" s="318"/>
      <c r="H257" s="318"/>
      <c r="I257" s="318"/>
      <c r="J257" s="318"/>
      <c r="K257" s="318"/>
      <c r="L257" s="318"/>
      <c r="M257" s="318"/>
      <c r="N257" s="318"/>
      <c r="O257" s="318"/>
      <c r="P257" s="318"/>
      <c r="Q257" s="318"/>
      <c r="R257" s="318"/>
      <c r="S257" s="318"/>
      <c r="T257" s="318"/>
    </row>
    <row r="258" spans="2:22" ht="150" customHeight="1">
      <c r="F258" s="318"/>
      <c r="G258" s="318"/>
      <c r="H258" s="318"/>
      <c r="I258" s="318"/>
      <c r="J258" s="318"/>
      <c r="K258" s="318"/>
      <c r="L258" s="318"/>
      <c r="M258" s="318"/>
      <c r="N258" s="318"/>
      <c r="O258" s="318"/>
      <c r="P258" s="318"/>
      <c r="Q258" s="318"/>
      <c r="R258" s="318"/>
      <c r="S258" s="318"/>
      <c r="T258" s="318"/>
    </row>
    <row r="259" spans="2:22" ht="18.75">
      <c r="B259" s="316"/>
      <c r="F259" s="318"/>
      <c r="G259" s="501" t="s">
        <v>534</v>
      </c>
      <c r="H259" s="501"/>
      <c r="I259" s="501"/>
      <c r="J259" s="501"/>
      <c r="K259" s="501"/>
      <c r="L259" s="501"/>
      <c r="M259" s="501"/>
      <c r="N259" s="501"/>
      <c r="O259" s="501"/>
      <c r="P259" s="501"/>
      <c r="Q259" s="501"/>
      <c r="R259" s="501"/>
      <c r="S259" s="501"/>
      <c r="T259" s="318"/>
      <c r="U259" s="120">
        <v>5</v>
      </c>
      <c r="V259" s="120">
        <v>3</v>
      </c>
    </row>
    <row r="260" spans="2:22" ht="7.5" customHeight="1">
      <c r="F260" s="318"/>
      <c r="G260" s="502"/>
      <c r="H260" s="502"/>
      <c r="I260" s="502"/>
      <c r="J260" s="502"/>
      <c r="K260" s="502"/>
      <c r="L260" s="502"/>
      <c r="M260" s="502"/>
      <c r="N260" s="502"/>
      <c r="O260" s="502"/>
      <c r="P260" s="502"/>
      <c r="Q260" s="502"/>
      <c r="R260" s="502"/>
      <c r="S260" s="502"/>
      <c r="T260" s="318"/>
    </row>
    <row r="261" spans="2:22" ht="125.25" customHeight="1">
      <c r="F261" s="318"/>
      <c r="G261" s="320"/>
      <c r="H261" s="498" t="s">
        <v>535</v>
      </c>
      <c r="I261" s="498"/>
      <c r="J261" s="498"/>
      <c r="K261" s="498"/>
      <c r="L261" s="498"/>
      <c r="M261" s="498"/>
      <c r="N261" s="498"/>
      <c r="O261" s="498"/>
      <c r="P261" s="498"/>
      <c r="Q261" s="498"/>
      <c r="R261" s="498"/>
      <c r="S261" s="321"/>
      <c r="T261" s="318"/>
    </row>
    <row r="262" spans="2:22">
      <c r="F262" s="318"/>
      <c r="G262" s="318"/>
      <c r="H262" s="318"/>
      <c r="I262" s="318"/>
      <c r="J262" s="318"/>
      <c r="K262" s="318"/>
      <c r="L262" s="318"/>
      <c r="M262" s="318"/>
      <c r="N262" s="318"/>
      <c r="O262" s="318"/>
      <c r="P262" s="318"/>
      <c r="Q262" s="318"/>
      <c r="R262" s="318"/>
      <c r="S262" s="318"/>
      <c r="T262" s="318"/>
    </row>
    <row r="263" spans="2:22" ht="320.10000000000002" customHeight="1">
      <c r="F263" s="318"/>
      <c r="G263" s="318"/>
      <c r="H263" s="318"/>
      <c r="I263" s="318"/>
      <c r="J263" s="318"/>
      <c r="K263" s="318"/>
      <c r="L263" s="318"/>
      <c r="M263" s="318"/>
      <c r="N263" s="318"/>
      <c r="O263" s="318"/>
      <c r="P263" s="318"/>
      <c r="Q263" s="318"/>
      <c r="R263" s="318"/>
      <c r="S263" s="318"/>
      <c r="T263" s="318"/>
    </row>
    <row r="264" spans="2:22" ht="150" customHeight="1">
      <c r="F264" s="318"/>
      <c r="G264" s="318"/>
      <c r="H264" s="318"/>
      <c r="I264" s="318"/>
      <c r="J264" s="318"/>
      <c r="K264" s="318"/>
      <c r="L264" s="318"/>
      <c r="M264" s="318"/>
      <c r="N264" s="318"/>
      <c r="O264" s="318"/>
      <c r="P264" s="318"/>
      <c r="Q264" s="318"/>
      <c r="R264" s="318"/>
      <c r="S264" s="318"/>
      <c r="T264" s="318"/>
    </row>
    <row r="265" spans="2:22" ht="18.75">
      <c r="B265" s="316"/>
      <c r="F265" s="318"/>
      <c r="G265" s="501" t="s">
        <v>67</v>
      </c>
      <c r="H265" s="501"/>
      <c r="I265" s="501"/>
      <c r="J265" s="501"/>
      <c r="K265" s="501"/>
      <c r="L265" s="501"/>
      <c r="M265" s="501"/>
      <c r="N265" s="501"/>
      <c r="O265" s="501"/>
      <c r="P265" s="501"/>
      <c r="Q265" s="501"/>
      <c r="R265" s="501"/>
      <c r="S265" s="501"/>
      <c r="T265" s="318"/>
      <c r="U265" s="120">
        <v>6</v>
      </c>
    </row>
    <row r="266" spans="2:22" ht="7.5" customHeight="1">
      <c r="F266" s="318"/>
      <c r="G266" s="502"/>
      <c r="H266" s="502"/>
      <c r="I266" s="502"/>
      <c r="J266" s="502"/>
      <c r="K266" s="502"/>
      <c r="L266" s="502"/>
      <c r="M266" s="502"/>
      <c r="N266" s="502"/>
      <c r="O266" s="502"/>
      <c r="P266" s="502"/>
      <c r="Q266" s="502"/>
      <c r="R266" s="502"/>
      <c r="S266" s="502"/>
      <c r="T266" s="318"/>
    </row>
    <row r="267" spans="2:22" ht="89.25" customHeight="1">
      <c r="F267" s="318"/>
      <c r="G267" s="320"/>
      <c r="H267" s="498" t="s">
        <v>536</v>
      </c>
      <c r="I267" s="498"/>
      <c r="J267" s="498"/>
      <c r="K267" s="498"/>
      <c r="L267" s="498"/>
      <c r="M267" s="498"/>
      <c r="N267" s="498"/>
      <c r="O267" s="498"/>
      <c r="P267" s="498"/>
      <c r="Q267" s="498"/>
      <c r="R267" s="498"/>
      <c r="S267" s="321"/>
      <c r="T267" s="318"/>
    </row>
    <row r="268" spans="2:22">
      <c r="F268" s="318"/>
      <c r="G268" s="318"/>
      <c r="H268" s="318"/>
      <c r="I268" s="318"/>
      <c r="J268" s="318"/>
      <c r="K268" s="318"/>
      <c r="L268" s="318"/>
      <c r="M268" s="318"/>
      <c r="N268" s="318"/>
      <c r="O268" s="318"/>
      <c r="P268" s="318"/>
      <c r="Q268" s="318"/>
      <c r="R268" s="318"/>
      <c r="S268" s="318"/>
      <c r="T268" s="318"/>
    </row>
    <row r="269" spans="2:22" ht="320.10000000000002" customHeight="1">
      <c r="F269" s="318"/>
      <c r="G269" s="318"/>
      <c r="H269" s="318"/>
      <c r="I269" s="318"/>
      <c r="J269" s="318"/>
      <c r="K269" s="318"/>
      <c r="L269" s="318"/>
      <c r="M269" s="318"/>
      <c r="N269" s="318"/>
      <c r="O269" s="318"/>
      <c r="P269" s="318"/>
      <c r="Q269" s="318"/>
      <c r="R269" s="318"/>
      <c r="S269" s="318"/>
      <c r="T269" s="318"/>
    </row>
    <row r="270" spans="2:22" ht="150" customHeight="1">
      <c r="F270" s="318"/>
      <c r="G270" s="318"/>
      <c r="H270" s="318"/>
      <c r="I270" s="318"/>
      <c r="J270" s="318"/>
      <c r="K270" s="318"/>
      <c r="L270" s="318"/>
      <c r="M270" s="318"/>
      <c r="N270" s="318"/>
      <c r="O270" s="318"/>
      <c r="P270" s="318"/>
      <c r="Q270" s="318"/>
      <c r="R270" s="318"/>
      <c r="S270" s="318"/>
      <c r="T270" s="318"/>
    </row>
    <row r="271" spans="2:22" ht="18.75">
      <c r="B271" s="316"/>
      <c r="F271" s="318"/>
      <c r="G271" s="501" t="s">
        <v>537</v>
      </c>
      <c r="H271" s="501"/>
      <c r="I271" s="501"/>
      <c r="J271" s="501"/>
      <c r="K271" s="501"/>
      <c r="L271" s="501"/>
      <c r="M271" s="501"/>
      <c r="N271" s="501"/>
      <c r="O271" s="501"/>
      <c r="P271" s="501"/>
      <c r="Q271" s="501"/>
      <c r="R271" s="501"/>
      <c r="S271" s="501"/>
      <c r="T271" s="318"/>
      <c r="U271" s="120">
        <v>6</v>
      </c>
      <c r="V271" s="120">
        <v>1</v>
      </c>
    </row>
    <row r="272" spans="2:22" ht="7.5" customHeight="1">
      <c r="F272" s="318"/>
      <c r="G272" s="504"/>
      <c r="H272" s="504"/>
      <c r="I272" s="504"/>
      <c r="J272" s="504"/>
      <c r="K272" s="504"/>
      <c r="L272" s="504"/>
      <c r="M272" s="504"/>
      <c r="N272" s="504"/>
      <c r="O272" s="504"/>
      <c r="P272" s="504"/>
      <c r="Q272" s="504"/>
      <c r="R272" s="504"/>
      <c r="S272" s="504"/>
      <c r="T272" s="318"/>
    </row>
    <row r="273" spans="2:22" ht="231" customHeight="1">
      <c r="F273" s="318"/>
      <c r="H273" s="498" t="s">
        <v>538</v>
      </c>
      <c r="I273" s="498"/>
      <c r="J273" s="498"/>
      <c r="K273" s="498"/>
      <c r="L273" s="498"/>
      <c r="M273" s="498"/>
      <c r="N273" s="498"/>
      <c r="O273" s="498"/>
      <c r="P273" s="498"/>
      <c r="Q273" s="498"/>
      <c r="R273" s="498"/>
      <c r="T273" s="318"/>
    </row>
    <row r="274" spans="2:22" ht="165" customHeight="1">
      <c r="F274" s="318"/>
      <c r="G274" s="320"/>
      <c r="H274" s="498" t="s">
        <v>539</v>
      </c>
      <c r="I274" s="498"/>
      <c r="J274" s="498"/>
      <c r="K274" s="498"/>
      <c r="L274" s="498"/>
      <c r="M274" s="498"/>
      <c r="N274" s="498"/>
      <c r="O274" s="498"/>
      <c r="P274" s="498"/>
      <c r="Q274" s="498"/>
      <c r="R274" s="498"/>
      <c r="S274" s="321"/>
      <c r="T274" s="318"/>
    </row>
    <row r="275" spans="2:22" ht="320.10000000000002" customHeight="1">
      <c r="F275" s="318"/>
      <c r="G275" s="318"/>
      <c r="H275" s="318"/>
      <c r="I275" s="318"/>
      <c r="J275" s="318"/>
      <c r="K275" s="318"/>
      <c r="L275" s="318"/>
      <c r="M275" s="318"/>
      <c r="N275" s="318"/>
      <c r="O275" s="318"/>
      <c r="P275" s="318"/>
      <c r="Q275" s="318"/>
      <c r="R275" s="318"/>
      <c r="S275" s="318"/>
      <c r="T275" s="318"/>
    </row>
    <row r="276" spans="2:22" ht="150" customHeight="1">
      <c r="F276" s="318"/>
      <c r="G276" s="318"/>
      <c r="H276" s="318"/>
      <c r="I276" s="318"/>
      <c r="J276" s="318"/>
      <c r="K276" s="318"/>
      <c r="L276" s="318"/>
      <c r="M276" s="318"/>
      <c r="N276" s="318"/>
      <c r="O276" s="318"/>
      <c r="P276" s="318"/>
      <c r="Q276" s="318"/>
      <c r="R276" s="318"/>
      <c r="S276" s="318"/>
      <c r="T276" s="318"/>
    </row>
    <row r="277" spans="2:22" ht="18.75">
      <c r="B277" s="316"/>
      <c r="F277" s="318"/>
      <c r="G277" s="501" t="s">
        <v>68</v>
      </c>
      <c r="H277" s="501"/>
      <c r="I277" s="501"/>
      <c r="J277" s="501"/>
      <c r="K277" s="501"/>
      <c r="L277" s="501"/>
      <c r="M277" s="501"/>
      <c r="N277" s="501"/>
      <c r="O277" s="501"/>
      <c r="P277" s="501"/>
      <c r="Q277" s="501"/>
      <c r="R277" s="501"/>
      <c r="S277" s="501"/>
      <c r="T277" s="318"/>
      <c r="U277" s="120">
        <v>6</v>
      </c>
      <c r="V277" s="120">
        <v>2</v>
      </c>
    </row>
    <row r="278" spans="2:22" ht="7.5" customHeight="1">
      <c r="F278" s="318"/>
      <c r="G278" s="505"/>
      <c r="H278" s="506"/>
      <c r="I278" s="506"/>
      <c r="J278" s="506"/>
      <c r="K278" s="506"/>
      <c r="L278" s="506"/>
      <c r="M278" s="506"/>
      <c r="N278" s="506"/>
      <c r="O278" s="506"/>
      <c r="P278" s="506"/>
      <c r="Q278" s="506"/>
      <c r="R278" s="506"/>
      <c r="S278" s="507"/>
      <c r="T278" s="318"/>
    </row>
    <row r="279" spans="2:22" ht="214.5" customHeight="1">
      <c r="F279" s="318"/>
      <c r="G279" s="327"/>
      <c r="H279" s="498" t="s">
        <v>540</v>
      </c>
      <c r="I279" s="498"/>
      <c r="J279" s="498"/>
      <c r="K279" s="498"/>
      <c r="L279" s="498"/>
      <c r="M279" s="498"/>
      <c r="N279" s="498"/>
      <c r="O279" s="498"/>
      <c r="P279" s="498"/>
      <c r="Q279" s="498"/>
      <c r="R279" s="498"/>
      <c r="S279" s="328"/>
      <c r="T279" s="318"/>
    </row>
    <row r="280" spans="2:22" ht="145.5" customHeight="1">
      <c r="F280" s="318"/>
      <c r="G280" s="329"/>
      <c r="H280" s="510" t="s">
        <v>541</v>
      </c>
      <c r="I280" s="510"/>
      <c r="J280" s="510"/>
      <c r="K280" s="510"/>
      <c r="L280" s="510"/>
      <c r="M280" s="510"/>
      <c r="N280" s="510"/>
      <c r="O280" s="510"/>
      <c r="P280" s="510"/>
      <c r="Q280" s="510"/>
      <c r="R280" s="510"/>
      <c r="S280" s="330"/>
      <c r="T280" s="318"/>
    </row>
    <row r="281" spans="2:22" ht="320.10000000000002" customHeight="1">
      <c r="F281" s="318"/>
      <c r="G281" s="318"/>
      <c r="H281" s="318"/>
      <c r="I281" s="318"/>
      <c r="J281" s="318"/>
      <c r="K281" s="318"/>
      <c r="L281" s="318"/>
      <c r="M281" s="318"/>
      <c r="N281" s="318"/>
      <c r="O281" s="318"/>
      <c r="P281" s="318"/>
      <c r="Q281" s="318"/>
      <c r="R281" s="318"/>
      <c r="S281" s="318"/>
      <c r="T281" s="318"/>
    </row>
    <row r="282" spans="2:22" ht="150" customHeight="1">
      <c r="F282" s="318"/>
      <c r="G282" s="318"/>
      <c r="H282" s="318"/>
      <c r="I282" s="318"/>
      <c r="J282" s="318"/>
      <c r="K282" s="318"/>
      <c r="L282" s="318"/>
      <c r="M282" s="318"/>
      <c r="N282" s="318"/>
      <c r="O282" s="318"/>
      <c r="P282" s="318"/>
      <c r="Q282" s="318"/>
      <c r="R282" s="318"/>
      <c r="S282" s="318"/>
      <c r="T282" s="318"/>
    </row>
    <row r="283" spans="2:22" ht="18.75">
      <c r="B283" s="316"/>
      <c r="F283" s="318"/>
      <c r="G283" s="501" t="s">
        <v>143</v>
      </c>
      <c r="H283" s="501"/>
      <c r="I283" s="501"/>
      <c r="J283" s="501"/>
      <c r="K283" s="501"/>
      <c r="L283" s="501"/>
      <c r="M283" s="501"/>
      <c r="N283" s="501"/>
      <c r="O283" s="501"/>
      <c r="P283" s="501"/>
      <c r="Q283" s="501"/>
      <c r="R283" s="501"/>
      <c r="S283" s="501"/>
      <c r="T283" s="318"/>
      <c r="U283" s="120">
        <v>6</v>
      </c>
      <c r="V283" s="120">
        <v>3</v>
      </c>
    </row>
    <row r="284" spans="2:22" ht="7.5" customHeight="1">
      <c r="F284" s="318"/>
      <c r="G284" s="504"/>
      <c r="H284" s="504"/>
      <c r="I284" s="504"/>
      <c r="J284" s="504"/>
      <c r="K284" s="504"/>
      <c r="L284" s="504"/>
      <c r="M284" s="504"/>
      <c r="N284" s="504"/>
      <c r="O284" s="504"/>
      <c r="P284" s="504"/>
      <c r="Q284" s="504"/>
      <c r="R284" s="504"/>
      <c r="S284" s="504"/>
      <c r="T284" s="318"/>
    </row>
    <row r="285" spans="2:22" ht="144.75" customHeight="1">
      <c r="F285" s="318"/>
      <c r="H285" s="498" t="s">
        <v>314</v>
      </c>
      <c r="I285" s="498"/>
      <c r="J285" s="498"/>
      <c r="K285" s="498"/>
      <c r="L285" s="498"/>
      <c r="M285" s="498"/>
      <c r="N285" s="498"/>
      <c r="O285" s="498"/>
      <c r="P285" s="498"/>
      <c r="Q285" s="498"/>
      <c r="R285" s="498"/>
      <c r="T285" s="318"/>
    </row>
    <row r="286" spans="2:22">
      <c r="F286" s="318"/>
      <c r="G286" s="318"/>
      <c r="H286" s="318"/>
      <c r="I286" s="318"/>
      <c r="J286" s="318"/>
      <c r="K286" s="318"/>
      <c r="L286" s="318"/>
      <c r="M286" s="318"/>
      <c r="N286" s="318"/>
      <c r="O286" s="318"/>
      <c r="P286" s="318"/>
      <c r="Q286" s="318"/>
      <c r="R286" s="318"/>
      <c r="S286" s="318"/>
      <c r="T286" s="318"/>
    </row>
    <row r="287" spans="2:22" ht="320.10000000000002" customHeight="1">
      <c r="F287" s="318"/>
      <c r="G287" s="318"/>
      <c r="H287" s="318"/>
      <c r="I287" s="318"/>
      <c r="J287" s="318"/>
      <c r="K287" s="318"/>
      <c r="L287" s="318"/>
      <c r="M287" s="318"/>
      <c r="N287" s="318"/>
      <c r="O287" s="318"/>
      <c r="P287" s="318"/>
      <c r="Q287" s="318"/>
      <c r="R287" s="318"/>
      <c r="S287" s="318"/>
      <c r="T287" s="318"/>
    </row>
    <row r="288" spans="2:22" ht="150" customHeight="1">
      <c r="F288" s="318"/>
      <c r="G288" s="318"/>
      <c r="H288" s="318"/>
      <c r="I288" s="318"/>
      <c r="J288" s="318"/>
      <c r="K288" s="318"/>
      <c r="L288" s="318"/>
      <c r="M288" s="318"/>
      <c r="N288" s="318"/>
      <c r="O288" s="318"/>
      <c r="P288" s="318"/>
      <c r="Q288" s="318"/>
      <c r="R288" s="318"/>
      <c r="S288" s="318"/>
      <c r="T288" s="318"/>
    </row>
    <row r="289" spans="2:22" ht="18.75">
      <c r="B289" s="316"/>
      <c r="F289" s="318"/>
      <c r="G289" s="501" t="s">
        <v>542</v>
      </c>
      <c r="H289" s="501"/>
      <c r="I289" s="501"/>
      <c r="J289" s="501"/>
      <c r="K289" s="501"/>
      <c r="L289" s="501"/>
      <c r="M289" s="501"/>
      <c r="N289" s="501"/>
      <c r="O289" s="501"/>
      <c r="P289" s="501"/>
      <c r="Q289" s="501"/>
      <c r="R289" s="501"/>
      <c r="S289" s="501"/>
      <c r="T289" s="318"/>
      <c r="U289" s="120">
        <v>6</v>
      </c>
      <c r="V289" s="120">
        <v>4</v>
      </c>
    </row>
    <row r="290" spans="2:22" ht="7.5" customHeight="1">
      <c r="F290" s="318"/>
      <c r="G290" s="504"/>
      <c r="H290" s="504"/>
      <c r="I290" s="504"/>
      <c r="J290" s="504"/>
      <c r="K290" s="504"/>
      <c r="L290" s="504"/>
      <c r="M290" s="504"/>
      <c r="N290" s="504"/>
      <c r="O290" s="504"/>
      <c r="P290" s="504"/>
      <c r="Q290" s="504"/>
      <c r="R290" s="504"/>
      <c r="S290" s="504"/>
      <c r="T290" s="318"/>
    </row>
    <row r="291" spans="2:22" ht="144.75" customHeight="1">
      <c r="F291" s="318"/>
      <c r="H291" s="498" t="s">
        <v>543</v>
      </c>
      <c r="I291" s="498"/>
      <c r="J291" s="498"/>
      <c r="K291" s="498"/>
      <c r="L291" s="498"/>
      <c r="M291" s="498"/>
      <c r="N291" s="498"/>
      <c r="O291" s="498"/>
      <c r="P291" s="498"/>
      <c r="Q291" s="498"/>
      <c r="R291" s="498"/>
      <c r="T291" s="318"/>
    </row>
    <row r="292" spans="2:22">
      <c r="F292" s="318"/>
      <c r="G292" s="318"/>
      <c r="H292" s="318"/>
      <c r="I292" s="318"/>
      <c r="J292" s="318"/>
      <c r="K292" s="318"/>
      <c r="L292" s="318"/>
      <c r="M292" s="318"/>
      <c r="N292" s="318"/>
      <c r="O292" s="318"/>
      <c r="P292" s="318"/>
      <c r="Q292" s="318"/>
      <c r="R292" s="318"/>
      <c r="S292" s="318"/>
      <c r="T292" s="318"/>
    </row>
    <row r="293" spans="2:22" ht="320.10000000000002" customHeight="1">
      <c r="F293" s="318"/>
      <c r="G293" s="318"/>
      <c r="H293" s="318"/>
      <c r="I293" s="318"/>
      <c r="J293" s="318"/>
      <c r="K293" s="318"/>
      <c r="L293" s="318"/>
      <c r="M293" s="318"/>
      <c r="N293" s="318"/>
      <c r="O293" s="318"/>
      <c r="P293" s="318"/>
      <c r="Q293" s="318"/>
      <c r="R293" s="318"/>
      <c r="S293" s="318"/>
      <c r="T293" s="318"/>
    </row>
    <row r="294" spans="2:22" ht="150" customHeight="1">
      <c r="F294" s="318"/>
      <c r="G294" s="318"/>
      <c r="H294" s="318"/>
      <c r="I294" s="318"/>
      <c r="J294" s="318"/>
      <c r="K294" s="318"/>
      <c r="L294" s="318"/>
      <c r="M294" s="318"/>
      <c r="N294" s="318"/>
      <c r="O294" s="318"/>
      <c r="P294" s="318"/>
      <c r="Q294" s="318"/>
      <c r="R294" s="318"/>
      <c r="S294" s="318"/>
      <c r="T294" s="318"/>
    </row>
    <row r="295" spans="2:22" ht="18.75">
      <c r="B295" s="316"/>
      <c r="F295" s="318"/>
      <c r="G295" s="501" t="s">
        <v>142</v>
      </c>
      <c r="H295" s="501"/>
      <c r="I295" s="501"/>
      <c r="J295" s="501"/>
      <c r="K295" s="501"/>
      <c r="L295" s="501"/>
      <c r="M295" s="501"/>
      <c r="N295" s="501"/>
      <c r="O295" s="501"/>
      <c r="P295" s="501"/>
      <c r="Q295" s="501"/>
      <c r="R295" s="501"/>
      <c r="S295" s="501"/>
      <c r="T295" s="318"/>
      <c r="U295" s="120">
        <v>6</v>
      </c>
      <c r="V295" s="120">
        <v>5</v>
      </c>
    </row>
    <row r="296" spans="2:22" ht="7.5" customHeight="1">
      <c r="F296" s="318"/>
      <c r="G296" s="504"/>
      <c r="H296" s="504"/>
      <c r="I296" s="504"/>
      <c r="J296" s="504"/>
      <c r="K296" s="504"/>
      <c r="L296" s="504"/>
      <c r="M296" s="504"/>
      <c r="N296" s="504"/>
      <c r="O296" s="504"/>
      <c r="P296" s="504"/>
      <c r="Q296" s="504"/>
      <c r="R296" s="504"/>
      <c r="S296" s="504"/>
      <c r="T296" s="318"/>
    </row>
    <row r="297" spans="2:22" ht="145.5" customHeight="1">
      <c r="F297" s="318"/>
      <c r="H297" s="498" t="s">
        <v>544</v>
      </c>
      <c r="I297" s="498"/>
      <c r="J297" s="498"/>
      <c r="K297" s="498"/>
      <c r="L297" s="498"/>
      <c r="M297" s="498"/>
      <c r="N297" s="498"/>
      <c r="O297" s="498"/>
      <c r="P297" s="498"/>
      <c r="Q297" s="498"/>
      <c r="R297" s="498"/>
      <c r="T297" s="318"/>
    </row>
    <row r="298" spans="2:22">
      <c r="F298" s="318"/>
      <c r="G298" s="318"/>
      <c r="H298" s="318"/>
      <c r="I298" s="318"/>
      <c r="J298" s="318"/>
      <c r="K298" s="318"/>
      <c r="L298" s="318"/>
      <c r="M298" s="318"/>
      <c r="N298" s="318"/>
      <c r="O298" s="318"/>
      <c r="P298" s="318"/>
      <c r="Q298" s="318"/>
      <c r="R298" s="318"/>
      <c r="S298" s="318"/>
      <c r="T298" s="318"/>
    </row>
    <row r="299" spans="2:22" ht="320.10000000000002" customHeight="1">
      <c r="F299" s="318"/>
      <c r="G299" s="318"/>
      <c r="H299" s="318"/>
      <c r="I299" s="318"/>
      <c r="J299" s="318"/>
      <c r="K299" s="318"/>
      <c r="L299" s="318"/>
      <c r="M299" s="318"/>
      <c r="N299" s="318"/>
      <c r="O299" s="318"/>
      <c r="P299" s="318"/>
      <c r="Q299" s="318"/>
      <c r="R299" s="318"/>
      <c r="S299" s="318"/>
      <c r="T299" s="318"/>
    </row>
    <row r="300" spans="2:22" ht="150" customHeight="1">
      <c r="F300" s="318"/>
      <c r="G300" s="318"/>
      <c r="H300" s="318"/>
      <c r="I300" s="318"/>
      <c r="J300" s="318"/>
      <c r="K300" s="318"/>
      <c r="L300" s="318"/>
      <c r="M300" s="318"/>
      <c r="N300" s="318"/>
      <c r="O300" s="318"/>
      <c r="P300" s="318"/>
      <c r="Q300" s="318"/>
      <c r="R300" s="318"/>
      <c r="S300" s="318"/>
      <c r="T300" s="318"/>
    </row>
    <row r="301" spans="2:22" ht="18.75">
      <c r="B301" s="316"/>
      <c r="F301" s="318"/>
      <c r="G301" s="501" t="s">
        <v>545</v>
      </c>
      <c r="H301" s="501"/>
      <c r="I301" s="501"/>
      <c r="J301" s="501"/>
      <c r="K301" s="501"/>
      <c r="L301" s="501"/>
      <c r="M301" s="501"/>
      <c r="N301" s="501"/>
      <c r="O301" s="501"/>
      <c r="P301" s="501"/>
      <c r="Q301" s="501"/>
      <c r="R301" s="501"/>
      <c r="S301" s="501"/>
      <c r="T301" s="318"/>
      <c r="U301" s="120">
        <v>6</v>
      </c>
      <c r="V301" s="120">
        <v>6</v>
      </c>
    </row>
    <row r="302" spans="2:22" ht="7.5" customHeight="1">
      <c r="F302" s="318"/>
      <c r="G302" s="504"/>
      <c r="H302" s="504"/>
      <c r="I302" s="504"/>
      <c r="J302" s="504"/>
      <c r="K302" s="504"/>
      <c r="L302" s="504"/>
      <c r="M302" s="504"/>
      <c r="N302" s="504"/>
      <c r="O302" s="504"/>
      <c r="P302" s="504"/>
      <c r="Q302" s="504"/>
      <c r="R302" s="504"/>
      <c r="S302" s="504"/>
      <c r="T302" s="318"/>
    </row>
    <row r="303" spans="2:22" ht="50.1" customHeight="1">
      <c r="F303" s="318"/>
      <c r="H303" s="498" t="s">
        <v>316</v>
      </c>
      <c r="I303" s="498"/>
      <c r="J303" s="498"/>
      <c r="K303" s="498"/>
      <c r="L303" s="498"/>
      <c r="M303" s="498"/>
      <c r="N303" s="498"/>
      <c r="O303" s="498"/>
      <c r="P303" s="498"/>
      <c r="Q303" s="498"/>
      <c r="R303" s="498"/>
      <c r="T303" s="318"/>
    </row>
    <row r="304" spans="2:22">
      <c r="F304" s="318"/>
      <c r="G304" s="318"/>
      <c r="H304" s="318"/>
      <c r="I304" s="318"/>
      <c r="J304" s="318"/>
      <c r="K304" s="318"/>
      <c r="L304" s="318"/>
      <c r="M304" s="318"/>
      <c r="N304" s="318"/>
      <c r="O304" s="318"/>
      <c r="P304" s="318"/>
      <c r="Q304" s="318"/>
      <c r="R304" s="318"/>
      <c r="S304" s="318"/>
      <c r="T304" s="318"/>
    </row>
    <row r="305" spans="2:22" ht="320.10000000000002" customHeight="1">
      <c r="F305" s="318"/>
      <c r="G305" s="318"/>
      <c r="H305" s="318"/>
      <c r="I305" s="318"/>
      <c r="J305" s="318"/>
      <c r="K305" s="318"/>
      <c r="L305" s="318"/>
      <c r="M305" s="318"/>
      <c r="N305" s="318"/>
      <c r="O305" s="318"/>
      <c r="P305" s="318"/>
      <c r="Q305" s="318"/>
      <c r="R305" s="318"/>
      <c r="S305" s="318"/>
      <c r="T305" s="318"/>
    </row>
    <row r="306" spans="2:22" ht="150" customHeight="1">
      <c r="F306" s="318"/>
      <c r="G306" s="318"/>
      <c r="H306" s="318"/>
      <c r="I306" s="318"/>
      <c r="J306" s="318"/>
      <c r="K306" s="318"/>
      <c r="L306" s="318"/>
      <c r="M306" s="318"/>
      <c r="N306" s="318"/>
      <c r="O306" s="318"/>
      <c r="P306" s="318"/>
      <c r="Q306" s="318"/>
      <c r="R306" s="318"/>
      <c r="S306" s="318"/>
      <c r="T306" s="318"/>
    </row>
    <row r="307" spans="2:22" ht="18.75">
      <c r="B307" s="316"/>
      <c r="F307" s="318"/>
      <c r="G307" s="501" t="s">
        <v>161</v>
      </c>
      <c r="H307" s="501"/>
      <c r="I307" s="501"/>
      <c r="J307" s="501"/>
      <c r="K307" s="501"/>
      <c r="L307" s="501"/>
      <c r="M307" s="501"/>
      <c r="N307" s="501"/>
      <c r="O307" s="501"/>
      <c r="P307" s="501"/>
      <c r="Q307" s="501"/>
      <c r="R307" s="501"/>
      <c r="S307" s="501"/>
      <c r="T307" s="318"/>
      <c r="U307" s="120">
        <v>6</v>
      </c>
      <c r="V307" s="120">
        <v>7</v>
      </c>
    </row>
    <row r="308" spans="2:22" ht="7.5" customHeight="1">
      <c r="F308" s="318"/>
      <c r="G308" s="504"/>
      <c r="H308" s="504"/>
      <c r="I308" s="504"/>
      <c r="J308" s="504"/>
      <c r="K308" s="504"/>
      <c r="L308" s="504"/>
      <c r="M308" s="504"/>
      <c r="N308" s="504"/>
      <c r="O308" s="504"/>
      <c r="P308" s="504"/>
      <c r="Q308" s="504"/>
      <c r="R308" s="504"/>
      <c r="S308" s="504"/>
      <c r="T308" s="318"/>
    </row>
    <row r="309" spans="2:22" ht="90" customHeight="1">
      <c r="F309" s="318"/>
      <c r="H309" s="498" t="s">
        <v>317</v>
      </c>
      <c r="I309" s="498"/>
      <c r="J309" s="498"/>
      <c r="K309" s="498"/>
      <c r="L309" s="498"/>
      <c r="M309" s="498"/>
      <c r="N309" s="498"/>
      <c r="O309" s="498"/>
      <c r="P309" s="498"/>
      <c r="Q309" s="498"/>
      <c r="R309" s="498"/>
      <c r="T309" s="318"/>
    </row>
    <row r="310" spans="2:22">
      <c r="F310" s="318"/>
      <c r="G310" s="318"/>
      <c r="H310" s="318"/>
      <c r="I310" s="318"/>
      <c r="J310" s="318"/>
      <c r="K310" s="318"/>
      <c r="L310" s="318"/>
      <c r="M310" s="318"/>
      <c r="N310" s="318"/>
      <c r="O310" s="318"/>
      <c r="P310" s="318"/>
      <c r="Q310" s="318"/>
      <c r="R310" s="318"/>
      <c r="S310" s="318"/>
      <c r="T310" s="318"/>
    </row>
    <row r="311" spans="2:22" ht="320.10000000000002" customHeight="1">
      <c r="F311" s="318"/>
      <c r="G311" s="318"/>
      <c r="H311" s="318"/>
      <c r="I311" s="318"/>
      <c r="J311" s="318"/>
      <c r="K311" s="318"/>
      <c r="L311" s="318"/>
      <c r="M311" s="318"/>
      <c r="N311" s="318"/>
      <c r="O311" s="318"/>
      <c r="P311" s="318"/>
      <c r="Q311" s="318"/>
      <c r="R311" s="318"/>
      <c r="S311" s="318"/>
      <c r="T311" s="318"/>
    </row>
    <row r="312" spans="2:22" ht="150" customHeight="1">
      <c r="F312" s="318"/>
      <c r="G312" s="318"/>
      <c r="H312" s="318"/>
      <c r="I312" s="318"/>
      <c r="J312" s="318"/>
      <c r="K312" s="318"/>
      <c r="L312" s="318"/>
      <c r="M312" s="318"/>
      <c r="N312" s="318"/>
      <c r="O312" s="318"/>
      <c r="P312" s="318"/>
      <c r="Q312" s="318"/>
      <c r="R312" s="318"/>
      <c r="S312" s="318"/>
      <c r="T312" s="318"/>
    </row>
    <row r="313" spans="2:22" ht="18.75">
      <c r="B313" s="316"/>
      <c r="F313" s="318"/>
      <c r="G313" s="501" t="s">
        <v>146</v>
      </c>
      <c r="H313" s="501"/>
      <c r="I313" s="501"/>
      <c r="J313" s="501"/>
      <c r="K313" s="501"/>
      <c r="L313" s="501"/>
      <c r="M313" s="501"/>
      <c r="N313" s="501"/>
      <c r="O313" s="501"/>
      <c r="P313" s="501"/>
      <c r="Q313" s="501"/>
      <c r="R313" s="501"/>
      <c r="S313" s="501"/>
      <c r="T313" s="318"/>
      <c r="U313" s="120">
        <v>6</v>
      </c>
      <c r="V313" s="120">
        <v>8</v>
      </c>
    </row>
    <row r="314" spans="2:22" ht="7.5" customHeight="1">
      <c r="F314" s="318"/>
      <c r="G314" s="505"/>
      <c r="H314" s="506"/>
      <c r="I314" s="506"/>
      <c r="J314" s="506"/>
      <c r="K314" s="506"/>
      <c r="L314" s="506"/>
      <c r="M314" s="506"/>
      <c r="N314" s="506"/>
      <c r="O314" s="506"/>
      <c r="P314" s="506"/>
      <c r="Q314" s="506"/>
      <c r="R314" s="506"/>
      <c r="S314" s="507"/>
      <c r="T314" s="318"/>
    </row>
    <row r="315" spans="2:22" ht="63.75" customHeight="1">
      <c r="F315" s="318"/>
      <c r="G315" s="327"/>
      <c r="H315" s="498" t="s">
        <v>336</v>
      </c>
      <c r="I315" s="498"/>
      <c r="J315" s="498"/>
      <c r="K315" s="498"/>
      <c r="L315" s="498"/>
      <c r="M315" s="498"/>
      <c r="N315" s="498"/>
      <c r="O315" s="498"/>
      <c r="P315" s="498"/>
      <c r="Q315" s="498"/>
      <c r="R315" s="498"/>
      <c r="S315" s="328"/>
      <c r="T315" s="318"/>
    </row>
    <row r="316" spans="2:22" ht="50.1" customHeight="1">
      <c r="F316" s="318"/>
      <c r="G316" s="329"/>
      <c r="H316" s="508" t="s">
        <v>335</v>
      </c>
      <c r="I316" s="509"/>
      <c r="J316" s="509"/>
      <c r="K316" s="509"/>
      <c r="L316" s="509"/>
      <c r="M316" s="509"/>
      <c r="N316" s="509"/>
      <c r="O316" s="509"/>
      <c r="P316" s="509"/>
      <c r="Q316" s="509"/>
      <c r="R316" s="509"/>
      <c r="S316" s="330"/>
      <c r="T316" s="318"/>
    </row>
    <row r="317" spans="2:22" ht="320.10000000000002" customHeight="1">
      <c r="F317" s="318"/>
      <c r="G317" s="318"/>
      <c r="H317" s="318"/>
      <c r="I317" s="318"/>
      <c r="J317" s="318"/>
      <c r="K317" s="318"/>
      <c r="L317" s="318"/>
      <c r="M317" s="318"/>
      <c r="N317" s="318"/>
      <c r="O317" s="318"/>
      <c r="P317" s="318"/>
      <c r="Q317" s="318"/>
      <c r="R317" s="318"/>
      <c r="S317" s="318"/>
      <c r="T317" s="318"/>
    </row>
    <row r="318" spans="2:22" ht="150" customHeight="1">
      <c r="F318" s="318"/>
      <c r="G318" s="318"/>
      <c r="H318" s="318"/>
      <c r="I318" s="318"/>
      <c r="J318" s="318"/>
      <c r="K318" s="318"/>
      <c r="L318" s="318"/>
      <c r="M318" s="318"/>
      <c r="N318" s="318"/>
      <c r="O318" s="318"/>
      <c r="P318" s="318"/>
      <c r="Q318" s="318"/>
      <c r="R318" s="318"/>
      <c r="S318" s="318"/>
      <c r="T318" s="318"/>
    </row>
    <row r="319" spans="2:22" ht="18.75">
      <c r="B319" s="316"/>
      <c r="F319" s="318"/>
      <c r="G319" s="501" t="s">
        <v>226</v>
      </c>
      <c r="H319" s="501"/>
      <c r="I319" s="501"/>
      <c r="J319" s="501"/>
      <c r="K319" s="501"/>
      <c r="L319" s="501"/>
      <c r="M319" s="501"/>
      <c r="N319" s="501"/>
      <c r="O319" s="501"/>
      <c r="P319" s="501"/>
      <c r="Q319" s="501"/>
      <c r="R319" s="501"/>
      <c r="S319" s="501"/>
      <c r="T319" s="318"/>
      <c r="U319" s="120">
        <v>6</v>
      </c>
      <c r="V319" s="120">
        <v>9</v>
      </c>
    </row>
    <row r="320" spans="2:22" ht="7.5" customHeight="1">
      <c r="F320" s="318"/>
      <c r="G320" s="504"/>
      <c r="H320" s="504"/>
      <c r="I320" s="504"/>
      <c r="J320" s="504"/>
      <c r="K320" s="504"/>
      <c r="L320" s="504"/>
      <c r="M320" s="504"/>
      <c r="N320" s="504"/>
      <c r="O320" s="504"/>
      <c r="P320" s="504"/>
      <c r="Q320" s="504"/>
      <c r="R320" s="504"/>
      <c r="S320" s="504"/>
      <c r="T320" s="318"/>
    </row>
    <row r="321" spans="2:22" ht="90" customHeight="1">
      <c r="F321" s="318"/>
      <c r="H321" s="498" t="s">
        <v>546</v>
      </c>
      <c r="I321" s="498"/>
      <c r="J321" s="498"/>
      <c r="K321" s="498"/>
      <c r="L321" s="498"/>
      <c r="M321" s="498"/>
      <c r="N321" s="498"/>
      <c r="O321" s="498"/>
      <c r="P321" s="498"/>
      <c r="Q321" s="498"/>
      <c r="R321" s="498"/>
      <c r="T321" s="318"/>
    </row>
    <row r="322" spans="2:22">
      <c r="F322" s="318"/>
      <c r="G322" s="318"/>
      <c r="H322" s="318"/>
      <c r="I322" s="318"/>
      <c r="J322" s="318"/>
      <c r="K322" s="318"/>
      <c r="L322" s="318"/>
      <c r="M322" s="318"/>
      <c r="N322" s="318"/>
      <c r="O322" s="318"/>
      <c r="P322" s="318"/>
      <c r="Q322" s="318"/>
      <c r="R322" s="318"/>
      <c r="S322" s="318"/>
      <c r="T322" s="318"/>
    </row>
    <row r="323" spans="2:22" ht="320.10000000000002" customHeight="1">
      <c r="F323" s="318"/>
      <c r="G323" s="318"/>
      <c r="H323" s="318"/>
      <c r="I323" s="318"/>
      <c r="J323" s="318"/>
      <c r="K323" s="318"/>
      <c r="L323" s="318"/>
      <c r="M323" s="318"/>
      <c r="N323" s="318"/>
      <c r="O323" s="318"/>
      <c r="P323" s="318"/>
      <c r="Q323" s="318"/>
      <c r="R323" s="318"/>
      <c r="S323" s="318"/>
      <c r="T323" s="318"/>
    </row>
    <row r="324" spans="2:22" ht="150" customHeight="1">
      <c r="F324" s="318"/>
      <c r="G324" s="318"/>
      <c r="H324" s="318"/>
      <c r="I324" s="318"/>
      <c r="J324" s="318"/>
      <c r="K324" s="318"/>
      <c r="L324" s="318"/>
      <c r="M324" s="318"/>
      <c r="N324" s="318"/>
      <c r="O324" s="318"/>
      <c r="P324" s="318"/>
      <c r="Q324" s="318"/>
      <c r="R324" s="318"/>
      <c r="S324" s="318"/>
      <c r="T324" s="318"/>
    </row>
    <row r="325" spans="2:22" ht="18.75">
      <c r="B325" s="316"/>
      <c r="F325" s="318"/>
      <c r="G325" s="501" t="s">
        <v>206</v>
      </c>
      <c r="H325" s="501"/>
      <c r="I325" s="501"/>
      <c r="J325" s="501"/>
      <c r="K325" s="501"/>
      <c r="L325" s="501"/>
      <c r="M325" s="501"/>
      <c r="N325" s="501"/>
      <c r="O325" s="501"/>
      <c r="P325" s="501"/>
      <c r="Q325" s="501"/>
      <c r="R325" s="501"/>
      <c r="S325" s="501"/>
      <c r="T325" s="318"/>
      <c r="U325" s="120">
        <v>6</v>
      </c>
      <c r="V325" s="120">
        <v>10</v>
      </c>
    </row>
    <row r="326" spans="2:22" ht="7.5" customHeight="1">
      <c r="F326" s="318"/>
      <c r="G326" s="504"/>
      <c r="H326" s="504"/>
      <c r="I326" s="504"/>
      <c r="J326" s="504"/>
      <c r="K326" s="504"/>
      <c r="L326" s="504"/>
      <c r="M326" s="504"/>
      <c r="N326" s="504"/>
      <c r="O326" s="504"/>
      <c r="P326" s="504"/>
      <c r="Q326" s="504"/>
      <c r="R326" s="504"/>
      <c r="S326" s="504"/>
      <c r="T326" s="318"/>
    </row>
    <row r="327" spans="2:22" ht="50.1" customHeight="1">
      <c r="F327" s="318"/>
      <c r="H327" s="498" t="s">
        <v>275</v>
      </c>
      <c r="I327" s="498"/>
      <c r="J327" s="498"/>
      <c r="K327" s="498"/>
      <c r="L327" s="498"/>
      <c r="M327" s="498"/>
      <c r="N327" s="498"/>
      <c r="O327" s="498"/>
      <c r="P327" s="498"/>
      <c r="Q327" s="498"/>
      <c r="R327" s="498"/>
      <c r="T327" s="318"/>
    </row>
    <row r="328" spans="2:22">
      <c r="F328" s="318"/>
      <c r="G328" s="318"/>
      <c r="H328" s="318"/>
      <c r="I328" s="318"/>
      <c r="J328" s="318"/>
      <c r="K328" s="318"/>
      <c r="L328" s="318"/>
      <c r="M328" s="318"/>
      <c r="N328" s="318"/>
      <c r="O328" s="318"/>
      <c r="P328" s="318"/>
      <c r="Q328" s="318"/>
      <c r="R328" s="318"/>
      <c r="S328" s="318"/>
      <c r="T328" s="318"/>
    </row>
    <row r="329" spans="2:22" ht="320.10000000000002" customHeight="1">
      <c r="F329" s="318"/>
      <c r="G329" s="318"/>
      <c r="H329" s="318"/>
      <c r="I329" s="318"/>
      <c r="J329" s="318"/>
      <c r="K329" s="318"/>
      <c r="L329" s="318"/>
      <c r="M329" s="318"/>
      <c r="N329" s="318"/>
      <c r="O329" s="318"/>
      <c r="P329" s="318"/>
      <c r="Q329" s="318"/>
      <c r="R329" s="318"/>
      <c r="S329" s="318"/>
      <c r="T329" s="318"/>
    </row>
    <row r="330" spans="2:22" ht="150" customHeight="1">
      <c r="F330" s="318"/>
      <c r="G330" s="318"/>
      <c r="H330" s="318"/>
      <c r="I330" s="318"/>
      <c r="J330" s="318"/>
      <c r="K330" s="318"/>
      <c r="L330" s="318"/>
      <c r="M330" s="318"/>
      <c r="N330" s="318"/>
      <c r="O330" s="318"/>
      <c r="P330" s="318"/>
      <c r="Q330" s="318"/>
      <c r="R330" s="318"/>
      <c r="S330" s="318"/>
      <c r="T330" s="318"/>
    </row>
    <row r="331" spans="2:22" ht="18.75">
      <c r="B331" s="316"/>
      <c r="F331" s="318"/>
      <c r="G331" s="501" t="s">
        <v>147</v>
      </c>
      <c r="H331" s="501"/>
      <c r="I331" s="501"/>
      <c r="J331" s="501"/>
      <c r="K331" s="501"/>
      <c r="L331" s="501"/>
      <c r="M331" s="501"/>
      <c r="N331" s="501"/>
      <c r="O331" s="501"/>
      <c r="P331" s="501"/>
      <c r="Q331" s="501"/>
      <c r="R331" s="501"/>
      <c r="S331" s="501"/>
      <c r="T331" s="318"/>
      <c r="U331" s="120">
        <v>7</v>
      </c>
    </row>
    <row r="332" spans="2:22" ht="7.5" customHeight="1">
      <c r="F332" s="318"/>
      <c r="G332" s="502"/>
      <c r="H332" s="502"/>
      <c r="I332" s="502"/>
      <c r="J332" s="502"/>
      <c r="K332" s="502"/>
      <c r="L332" s="502"/>
      <c r="M332" s="502"/>
      <c r="N332" s="502"/>
      <c r="O332" s="502"/>
      <c r="P332" s="502"/>
      <c r="Q332" s="502"/>
      <c r="R332" s="502"/>
      <c r="S332" s="502"/>
      <c r="T332" s="318"/>
    </row>
    <row r="333" spans="2:22" ht="69.95" customHeight="1">
      <c r="F333" s="318"/>
      <c r="G333" s="320"/>
      <c r="H333" s="498" t="s">
        <v>239</v>
      </c>
      <c r="I333" s="498"/>
      <c r="J333" s="498"/>
      <c r="K333" s="498"/>
      <c r="L333" s="498"/>
      <c r="M333" s="498"/>
      <c r="N333" s="498"/>
      <c r="O333" s="498"/>
      <c r="P333" s="498"/>
      <c r="Q333" s="498"/>
      <c r="R333" s="498"/>
      <c r="S333" s="321"/>
      <c r="T333" s="318"/>
    </row>
    <row r="334" spans="2:22">
      <c r="F334" s="318"/>
      <c r="G334" s="318"/>
      <c r="H334" s="318"/>
      <c r="I334" s="318"/>
      <c r="J334" s="318"/>
      <c r="K334" s="318"/>
      <c r="L334" s="318"/>
      <c r="M334" s="318"/>
      <c r="N334" s="318"/>
      <c r="O334" s="318"/>
      <c r="P334" s="318"/>
      <c r="Q334" s="318"/>
      <c r="R334" s="318"/>
      <c r="S334" s="318"/>
      <c r="T334" s="318"/>
    </row>
    <row r="335" spans="2:22" ht="320.10000000000002" customHeight="1">
      <c r="F335" s="318"/>
      <c r="G335" s="318"/>
      <c r="H335" s="318"/>
      <c r="I335" s="318"/>
      <c r="J335" s="318"/>
      <c r="K335" s="318"/>
      <c r="L335" s="318"/>
      <c r="M335" s="318"/>
      <c r="N335" s="318"/>
      <c r="O335" s="318"/>
      <c r="P335" s="318"/>
      <c r="Q335" s="318"/>
      <c r="R335" s="318"/>
      <c r="S335" s="318"/>
      <c r="T335" s="318"/>
    </row>
    <row r="336" spans="2:22" ht="150" customHeight="1">
      <c r="F336" s="318"/>
      <c r="G336" s="318"/>
      <c r="H336" s="318"/>
      <c r="I336" s="318"/>
      <c r="J336" s="318"/>
      <c r="K336" s="318"/>
      <c r="L336" s="318"/>
      <c r="M336" s="318"/>
      <c r="N336" s="318"/>
      <c r="O336" s="318"/>
      <c r="P336" s="318"/>
      <c r="Q336" s="318"/>
      <c r="R336" s="318"/>
      <c r="S336" s="318"/>
      <c r="T336" s="318"/>
    </row>
    <row r="337" spans="2:22" ht="18.75">
      <c r="B337" s="316"/>
      <c r="F337" s="318"/>
      <c r="G337" s="501" t="s">
        <v>69</v>
      </c>
      <c r="H337" s="501"/>
      <c r="I337" s="501"/>
      <c r="J337" s="501"/>
      <c r="K337" s="501"/>
      <c r="L337" s="501"/>
      <c r="M337" s="501"/>
      <c r="N337" s="501"/>
      <c r="O337" s="501"/>
      <c r="P337" s="501"/>
      <c r="Q337" s="501"/>
      <c r="R337" s="501"/>
      <c r="S337" s="501"/>
      <c r="T337" s="318"/>
      <c r="U337" s="120">
        <v>7</v>
      </c>
      <c r="V337" s="120">
        <v>1</v>
      </c>
    </row>
    <row r="338" spans="2:22" ht="7.5" customHeight="1">
      <c r="F338" s="318"/>
      <c r="G338" s="502"/>
      <c r="H338" s="502"/>
      <c r="I338" s="502"/>
      <c r="J338" s="502"/>
      <c r="K338" s="502"/>
      <c r="L338" s="502"/>
      <c r="M338" s="502"/>
      <c r="N338" s="502"/>
      <c r="O338" s="502"/>
      <c r="P338" s="502"/>
      <c r="Q338" s="502"/>
      <c r="R338" s="502"/>
      <c r="S338" s="502"/>
      <c r="T338" s="318"/>
    </row>
    <row r="339" spans="2:22" ht="297.75" customHeight="1">
      <c r="F339" s="318"/>
      <c r="G339" s="320"/>
      <c r="H339" s="498" t="s">
        <v>547</v>
      </c>
      <c r="I339" s="498"/>
      <c r="J339" s="498"/>
      <c r="K339" s="498"/>
      <c r="L339" s="498"/>
      <c r="M339" s="498"/>
      <c r="N339" s="498"/>
      <c r="O339" s="498"/>
      <c r="P339" s="498"/>
      <c r="Q339" s="498"/>
      <c r="R339" s="498"/>
      <c r="S339" s="321"/>
      <c r="T339" s="318"/>
    </row>
    <row r="340" spans="2:22" ht="375" customHeight="1">
      <c r="F340" s="318"/>
      <c r="G340" s="320"/>
      <c r="H340" s="498" t="s">
        <v>548</v>
      </c>
      <c r="I340" s="498"/>
      <c r="J340" s="498"/>
      <c r="K340" s="498"/>
      <c r="L340" s="498"/>
      <c r="M340" s="498"/>
      <c r="N340" s="498"/>
      <c r="O340" s="498"/>
      <c r="P340" s="498"/>
      <c r="Q340" s="498"/>
      <c r="R340" s="498"/>
      <c r="S340" s="321"/>
      <c r="T340" s="318"/>
    </row>
    <row r="341" spans="2:22" ht="320.10000000000002" customHeight="1">
      <c r="F341" s="318"/>
      <c r="G341" s="318"/>
      <c r="H341" s="318"/>
      <c r="I341" s="318"/>
      <c r="J341" s="318"/>
      <c r="K341" s="318"/>
      <c r="L341" s="318"/>
      <c r="M341" s="318"/>
      <c r="N341" s="318"/>
      <c r="O341" s="318"/>
      <c r="P341" s="318"/>
      <c r="Q341" s="318"/>
      <c r="R341" s="318"/>
      <c r="S341" s="318"/>
      <c r="T341" s="318"/>
    </row>
    <row r="342" spans="2:22" ht="150" customHeight="1">
      <c r="F342" s="318"/>
      <c r="G342" s="318"/>
      <c r="H342" s="318"/>
      <c r="I342" s="318"/>
      <c r="J342" s="318"/>
      <c r="K342" s="318"/>
      <c r="L342" s="318"/>
      <c r="M342" s="318"/>
      <c r="N342" s="318"/>
      <c r="O342" s="318"/>
      <c r="P342" s="318"/>
      <c r="Q342" s="318"/>
      <c r="R342" s="318"/>
      <c r="S342" s="318"/>
      <c r="T342" s="318"/>
    </row>
    <row r="343" spans="2:22" ht="18.75">
      <c r="B343" s="316"/>
      <c r="F343" s="318"/>
      <c r="G343" s="501" t="s">
        <v>141</v>
      </c>
      <c r="H343" s="501"/>
      <c r="I343" s="501"/>
      <c r="J343" s="501"/>
      <c r="K343" s="501"/>
      <c r="L343" s="501"/>
      <c r="M343" s="501"/>
      <c r="N343" s="501"/>
      <c r="O343" s="501"/>
      <c r="P343" s="501"/>
      <c r="Q343" s="501"/>
      <c r="R343" s="501"/>
      <c r="S343" s="501"/>
      <c r="T343" s="318"/>
      <c r="U343" s="120">
        <v>7</v>
      </c>
      <c r="V343" s="120">
        <v>2</v>
      </c>
    </row>
    <row r="344" spans="2:22" ht="7.5" customHeight="1">
      <c r="F344" s="318"/>
      <c r="G344" s="502"/>
      <c r="H344" s="502"/>
      <c r="I344" s="502"/>
      <c r="J344" s="502"/>
      <c r="K344" s="502"/>
      <c r="L344" s="502"/>
      <c r="M344" s="502"/>
      <c r="N344" s="502"/>
      <c r="O344" s="502"/>
      <c r="P344" s="502"/>
      <c r="Q344" s="502"/>
      <c r="R344" s="502"/>
      <c r="S344" s="502"/>
      <c r="T344" s="318"/>
    </row>
    <row r="345" spans="2:22" ht="69.95" customHeight="1">
      <c r="F345" s="318"/>
      <c r="G345" s="320"/>
      <c r="H345" s="498" t="s">
        <v>549</v>
      </c>
      <c r="I345" s="498"/>
      <c r="J345" s="498"/>
      <c r="K345" s="498"/>
      <c r="L345" s="498"/>
      <c r="M345" s="498"/>
      <c r="N345" s="498"/>
      <c r="O345" s="498"/>
      <c r="P345" s="498"/>
      <c r="Q345" s="498"/>
      <c r="R345" s="498"/>
      <c r="S345" s="321"/>
      <c r="T345" s="318"/>
    </row>
    <row r="346" spans="2:22">
      <c r="F346" s="318"/>
      <c r="G346" s="318"/>
      <c r="H346" s="318"/>
      <c r="I346" s="318"/>
      <c r="J346" s="318"/>
      <c r="K346" s="318"/>
      <c r="L346" s="318"/>
      <c r="M346" s="318"/>
      <c r="N346" s="318"/>
      <c r="O346" s="318"/>
      <c r="P346" s="318"/>
      <c r="Q346" s="318"/>
      <c r="R346" s="318"/>
      <c r="S346" s="318"/>
      <c r="T346" s="318"/>
    </row>
    <row r="347" spans="2:22" ht="320.10000000000002" customHeight="1">
      <c r="F347" s="318"/>
      <c r="G347" s="318"/>
      <c r="H347" s="318"/>
      <c r="I347" s="318"/>
      <c r="J347" s="318"/>
      <c r="K347" s="318"/>
      <c r="L347" s="318"/>
      <c r="M347" s="318"/>
      <c r="N347" s="318"/>
      <c r="O347" s="318"/>
      <c r="P347" s="318"/>
      <c r="Q347" s="318"/>
      <c r="R347" s="318"/>
      <c r="S347" s="318"/>
      <c r="T347" s="318"/>
    </row>
    <row r="348" spans="2:22" ht="150" customHeight="1">
      <c r="F348" s="318"/>
      <c r="G348" s="318"/>
      <c r="H348" s="318"/>
      <c r="I348" s="318"/>
      <c r="J348" s="318"/>
      <c r="K348" s="318"/>
      <c r="L348" s="318"/>
      <c r="M348" s="318"/>
      <c r="N348" s="318"/>
      <c r="O348" s="318"/>
      <c r="P348" s="318"/>
      <c r="Q348" s="318"/>
      <c r="R348" s="318"/>
      <c r="S348" s="318"/>
      <c r="T348" s="318"/>
    </row>
    <row r="349" spans="2:22" ht="18.75">
      <c r="B349" s="316"/>
      <c r="F349" s="318"/>
      <c r="G349" s="501" t="s">
        <v>156</v>
      </c>
      <c r="H349" s="501"/>
      <c r="I349" s="501"/>
      <c r="J349" s="501"/>
      <c r="K349" s="501"/>
      <c r="L349" s="501"/>
      <c r="M349" s="501"/>
      <c r="N349" s="501"/>
      <c r="O349" s="501"/>
      <c r="P349" s="501"/>
      <c r="Q349" s="501"/>
      <c r="R349" s="501"/>
      <c r="S349" s="501"/>
      <c r="T349" s="318"/>
      <c r="U349" s="120">
        <v>7</v>
      </c>
      <c r="V349" s="120">
        <v>3</v>
      </c>
    </row>
    <row r="350" spans="2:22" ht="7.5" customHeight="1">
      <c r="F350" s="318"/>
      <c r="G350" s="502"/>
      <c r="H350" s="502"/>
      <c r="I350" s="502"/>
      <c r="J350" s="502"/>
      <c r="K350" s="502"/>
      <c r="L350" s="502"/>
      <c r="M350" s="502"/>
      <c r="N350" s="502"/>
      <c r="O350" s="502"/>
      <c r="P350" s="502"/>
      <c r="Q350" s="502"/>
      <c r="R350" s="502"/>
      <c r="S350" s="502"/>
      <c r="T350" s="318"/>
    </row>
    <row r="351" spans="2:22" ht="111" customHeight="1">
      <c r="F351" s="318"/>
      <c r="G351" s="320"/>
      <c r="H351" s="498" t="s">
        <v>242</v>
      </c>
      <c r="I351" s="498"/>
      <c r="J351" s="498"/>
      <c r="K351" s="498"/>
      <c r="L351" s="498"/>
      <c r="M351" s="498"/>
      <c r="N351" s="498"/>
      <c r="O351" s="498"/>
      <c r="P351" s="498"/>
      <c r="Q351" s="498"/>
      <c r="R351" s="498"/>
      <c r="S351" s="321"/>
      <c r="T351" s="318"/>
    </row>
    <row r="352" spans="2:22">
      <c r="F352" s="318"/>
      <c r="G352" s="318"/>
      <c r="H352" s="318"/>
      <c r="I352" s="318"/>
      <c r="J352" s="318"/>
      <c r="K352" s="318"/>
      <c r="L352" s="318"/>
      <c r="M352" s="318"/>
      <c r="N352" s="318"/>
      <c r="O352" s="318"/>
      <c r="P352" s="318"/>
      <c r="Q352" s="318"/>
      <c r="R352" s="318"/>
      <c r="S352" s="318"/>
      <c r="T352" s="318"/>
    </row>
    <row r="353" spans="2:22" ht="320.10000000000002" customHeight="1">
      <c r="F353" s="318"/>
      <c r="G353" s="318"/>
      <c r="H353" s="318"/>
      <c r="I353" s="318"/>
      <c r="J353" s="318"/>
      <c r="K353" s="318"/>
      <c r="L353" s="318"/>
      <c r="M353" s="318"/>
      <c r="N353" s="318"/>
      <c r="O353" s="318"/>
      <c r="P353" s="318"/>
      <c r="Q353" s="318"/>
      <c r="R353" s="318"/>
      <c r="S353" s="318"/>
      <c r="T353" s="318"/>
    </row>
    <row r="354" spans="2:22" ht="150" customHeight="1">
      <c r="F354" s="318"/>
      <c r="G354" s="318"/>
      <c r="H354" s="318"/>
      <c r="I354" s="318"/>
      <c r="J354" s="318"/>
      <c r="K354" s="318"/>
      <c r="L354" s="318"/>
      <c r="M354" s="318"/>
      <c r="N354" s="318"/>
      <c r="O354" s="318"/>
      <c r="P354" s="318"/>
      <c r="Q354" s="318"/>
      <c r="R354" s="318"/>
      <c r="S354" s="318"/>
      <c r="T354" s="318"/>
    </row>
    <row r="355" spans="2:22" ht="18.75">
      <c r="B355" s="316"/>
      <c r="F355" s="318"/>
      <c r="G355" s="501" t="s">
        <v>70</v>
      </c>
      <c r="H355" s="501"/>
      <c r="I355" s="501"/>
      <c r="J355" s="501"/>
      <c r="K355" s="501"/>
      <c r="L355" s="501"/>
      <c r="M355" s="501"/>
      <c r="N355" s="501"/>
      <c r="O355" s="501"/>
      <c r="P355" s="501"/>
      <c r="Q355" s="501"/>
      <c r="R355" s="501"/>
      <c r="S355" s="501"/>
      <c r="T355" s="318"/>
      <c r="U355" s="120">
        <v>8</v>
      </c>
    </row>
    <row r="356" spans="2:22" ht="7.5" customHeight="1">
      <c r="F356" s="318"/>
      <c r="G356" s="502"/>
      <c r="H356" s="502"/>
      <c r="I356" s="502"/>
      <c r="J356" s="502"/>
      <c r="K356" s="502"/>
      <c r="L356" s="502"/>
      <c r="M356" s="502"/>
      <c r="N356" s="502"/>
      <c r="O356" s="502"/>
      <c r="P356" s="502"/>
      <c r="Q356" s="502"/>
      <c r="R356" s="502"/>
      <c r="S356" s="502"/>
      <c r="T356" s="318"/>
    </row>
    <row r="357" spans="2:22" ht="90" customHeight="1">
      <c r="F357" s="318"/>
      <c r="G357" s="320"/>
      <c r="H357" s="498" t="s">
        <v>550</v>
      </c>
      <c r="I357" s="498"/>
      <c r="J357" s="498"/>
      <c r="K357" s="498"/>
      <c r="L357" s="498"/>
      <c r="M357" s="498"/>
      <c r="N357" s="498"/>
      <c r="O357" s="498"/>
      <c r="P357" s="498"/>
      <c r="Q357" s="498"/>
      <c r="R357" s="498"/>
      <c r="S357" s="321"/>
      <c r="T357" s="318"/>
    </row>
    <row r="358" spans="2:22">
      <c r="F358" s="318"/>
      <c r="G358" s="318"/>
      <c r="H358" s="318"/>
      <c r="I358" s="318"/>
      <c r="J358" s="318"/>
      <c r="K358" s="318"/>
      <c r="L358" s="318"/>
      <c r="M358" s="318"/>
      <c r="N358" s="318"/>
      <c r="O358" s="318"/>
      <c r="P358" s="318"/>
      <c r="Q358" s="318"/>
      <c r="R358" s="318"/>
      <c r="S358" s="318"/>
      <c r="T358" s="318"/>
    </row>
    <row r="359" spans="2:22" ht="320.10000000000002" customHeight="1">
      <c r="F359" s="318"/>
      <c r="G359" s="318"/>
      <c r="H359" s="318"/>
      <c r="I359" s="318"/>
      <c r="J359" s="318"/>
      <c r="K359" s="318"/>
      <c r="L359" s="318"/>
      <c r="M359" s="318"/>
      <c r="N359" s="318"/>
      <c r="O359" s="318"/>
      <c r="P359" s="318"/>
      <c r="Q359" s="318"/>
      <c r="R359" s="318"/>
      <c r="S359" s="318"/>
      <c r="T359" s="318"/>
    </row>
    <row r="360" spans="2:22" ht="150" customHeight="1">
      <c r="F360" s="318"/>
      <c r="G360" s="318"/>
      <c r="H360" s="318"/>
      <c r="I360" s="318"/>
      <c r="J360" s="318"/>
      <c r="K360" s="318"/>
      <c r="L360" s="318"/>
      <c r="M360" s="318"/>
      <c r="N360" s="318"/>
      <c r="O360" s="318"/>
      <c r="P360" s="318"/>
      <c r="Q360" s="318"/>
      <c r="R360" s="318"/>
      <c r="S360" s="318"/>
      <c r="T360" s="318"/>
    </row>
    <row r="361" spans="2:22" ht="18.75">
      <c r="B361" s="316"/>
      <c r="F361" s="318"/>
      <c r="G361" s="501" t="s">
        <v>128</v>
      </c>
      <c r="H361" s="501"/>
      <c r="I361" s="501"/>
      <c r="J361" s="501"/>
      <c r="K361" s="501"/>
      <c r="L361" s="501"/>
      <c r="M361" s="501"/>
      <c r="N361" s="501"/>
      <c r="O361" s="501"/>
      <c r="P361" s="501"/>
      <c r="Q361" s="501"/>
      <c r="R361" s="501"/>
      <c r="S361" s="501"/>
      <c r="T361" s="318"/>
      <c r="U361" s="120">
        <v>8</v>
      </c>
      <c r="V361" s="120">
        <v>1</v>
      </c>
    </row>
    <row r="362" spans="2:22" ht="7.5" customHeight="1">
      <c r="F362" s="318"/>
      <c r="G362" s="502"/>
      <c r="H362" s="502"/>
      <c r="I362" s="502"/>
      <c r="J362" s="502"/>
      <c r="K362" s="502"/>
      <c r="L362" s="502"/>
      <c r="M362" s="502"/>
      <c r="N362" s="502"/>
      <c r="O362" s="502"/>
      <c r="P362" s="502"/>
      <c r="Q362" s="502"/>
      <c r="R362" s="502"/>
      <c r="S362" s="502"/>
      <c r="T362" s="318"/>
    </row>
    <row r="363" spans="2:22" ht="87" customHeight="1">
      <c r="F363" s="318"/>
      <c r="G363" s="320"/>
      <c r="H363" s="498" t="s">
        <v>363</v>
      </c>
      <c r="I363" s="498"/>
      <c r="J363" s="498"/>
      <c r="K363" s="498"/>
      <c r="L363" s="498"/>
      <c r="M363" s="498"/>
      <c r="N363" s="498"/>
      <c r="O363" s="498"/>
      <c r="P363" s="498"/>
      <c r="Q363" s="498"/>
      <c r="R363" s="498"/>
      <c r="S363" s="321"/>
      <c r="T363" s="318"/>
    </row>
    <row r="364" spans="2:22">
      <c r="F364" s="318"/>
      <c r="G364" s="318"/>
      <c r="H364" s="318"/>
      <c r="I364" s="318"/>
      <c r="J364" s="318"/>
      <c r="K364" s="318"/>
      <c r="L364" s="318"/>
      <c r="M364" s="318"/>
      <c r="N364" s="318"/>
      <c r="O364" s="318"/>
      <c r="P364" s="318"/>
      <c r="Q364" s="318"/>
      <c r="R364" s="318"/>
      <c r="S364" s="318"/>
      <c r="T364" s="318"/>
    </row>
    <row r="365" spans="2:22" ht="320.10000000000002" customHeight="1">
      <c r="F365" s="318"/>
      <c r="G365" s="318"/>
      <c r="H365" s="318"/>
      <c r="I365" s="318"/>
      <c r="J365" s="318"/>
      <c r="K365" s="318"/>
      <c r="L365" s="318"/>
      <c r="M365" s="318"/>
      <c r="N365" s="318"/>
      <c r="O365" s="318"/>
      <c r="P365" s="318"/>
      <c r="Q365" s="318"/>
      <c r="R365" s="318"/>
      <c r="S365" s="318"/>
      <c r="T365" s="318"/>
    </row>
    <row r="366" spans="2:22" ht="150" customHeight="1">
      <c r="F366" s="318"/>
      <c r="G366" s="318"/>
      <c r="H366" s="318"/>
      <c r="I366" s="318"/>
      <c r="J366" s="318"/>
      <c r="K366" s="318"/>
      <c r="L366" s="318"/>
      <c r="M366" s="318"/>
      <c r="N366" s="318"/>
      <c r="O366" s="318"/>
      <c r="P366" s="318"/>
      <c r="Q366" s="318"/>
      <c r="R366" s="318"/>
      <c r="S366" s="318"/>
      <c r="T366" s="318"/>
    </row>
    <row r="367" spans="2:22" ht="18.75">
      <c r="B367" s="316"/>
      <c r="F367" s="318"/>
      <c r="G367" s="501" t="s">
        <v>129</v>
      </c>
      <c r="H367" s="501"/>
      <c r="I367" s="501"/>
      <c r="J367" s="501"/>
      <c r="K367" s="501"/>
      <c r="L367" s="501"/>
      <c r="M367" s="501"/>
      <c r="N367" s="501"/>
      <c r="O367" s="501"/>
      <c r="P367" s="501"/>
      <c r="Q367" s="501"/>
      <c r="R367" s="501"/>
      <c r="S367" s="501"/>
      <c r="T367" s="318"/>
      <c r="U367" s="120">
        <v>8</v>
      </c>
      <c r="V367" s="120">
        <v>2</v>
      </c>
    </row>
    <row r="368" spans="2:22" ht="7.5" customHeight="1">
      <c r="F368" s="318"/>
      <c r="G368" s="502"/>
      <c r="H368" s="502"/>
      <c r="I368" s="502"/>
      <c r="J368" s="502"/>
      <c r="K368" s="502"/>
      <c r="L368" s="502"/>
      <c r="M368" s="502"/>
      <c r="N368" s="502"/>
      <c r="O368" s="502"/>
      <c r="P368" s="502"/>
      <c r="Q368" s="502"/>
      <c r="R368" s="502"/>
      <c r="S368" s="502"/>
      <c r="T368" s="318"/>
    </row>
    <row r="369" spans="2:22" ht="90" customHeight="1">
      <c r="F369" s="318"/>
      <c r="G369" s="320"/>
      <c r="H369" s="498" t="s">
        <v>243</v>
      </c>
      <c r="I369" s="498"/>
      <c r="J369" s="498"/>
      <c r="K369" s="498"/>
      <c r="L369" s="498"/>
      <c r="M369" s="498"/>
      <c r="N369" s="498"/>
      <c r="O369" s="498"/>
      <c r="P369" s="498"/>
      <c r="Q369" s="498"/>
      <c r="R369" s="498"/>
      <c r="S369" s="321"/>
      <c r="T369" s="318"/>
    </row>
    <row r="370" spans="2:22">
      <c r="F370" s="318"/>
      <c r="G370" s="318"/>
      <c r="H370" s="318"/>
      <c r="I370" s="318"/>
      <c r="J370" s="318"/>
      <c r="K370" s="318"/>
      <c r="L370" s="318"/>
      <c r="M370" s="318"/>
      <c r="N370" s="318"/>
      <c r="O370" s="318"/>
      <c r="P370" s="318"/>
      <c r="Q370" s="318"/>
      <c r="R370" s="318"/>
      <c r="S370" s="318"/>
      <c r="T370" s="318"/>
    </row>
    <row r="371" spans="2:22" ht="320.10000000000002" customHeight="1">
      <c r="F371" s="318"/>
      <c r="G371" s="318"/>
      <c r="H371" s="318"/>
      <c r="I371" s="318"/>
      <c r="J371" s="318"/>
      <c r="K371" s="318"/>
      <c r="L371" s="318"/>
      <c r="M371" s="318"/>
      <c r="N371" s="318"/>
      <c r="O371" s="318"/>
      <c r="P371" s="318"/>
      <c r="Q371" s="318"/>
      <c r="R371" s="318"/>
      <c r="S371" s="318"/>
      <c r="T371" s="318"/>
    </row>
    <row r="372" spans="2:22" ht="150" customHeight="1">
      <c r="F372" s="331"/>
      <c r="G372" s="332"/>
      <c r="H372" s="332"/>
      <c r="I372" s="332"/>
      <c r="J372" s="332"/>
      <c r="K372" s="332"/>
      <c r="L372" s="332"/>
      <c r="M372" s="332"/>
      <c r="N372" s="332"/>
      <c r="O372" s="332"/>
      <c r="P372" s="332"/>
      <c r="Q372" s="332"/>
      <c r="R372" s="332"/>
      <c r="S372" s="332"/>
      <c r="T372" s="332"/>
    </row>
    <row r="373" spans="2:22" ht="18.75">
      <c r="B373" s="316"/>
      <c r="F373" s="332"/>
      <c r="G373" s="501" t="s">
        <v>493</v>
      </c>
      <c r="H373" s="501"/>
      <c r="I373" s="501"/>
      <c r="J373" s="501"/>
      <c r="K373" s="501"/>
      <c r="L373" s="501"/>
      <c r="M373" s="501"/>
      <c r="N373" s="501"/>
      <c r="O373" s="501"/>
      <c r="P373" s="501"/>
      <c r="Q373" s="501"/>
      <c r="R373" s="501"/>
      <c r="S373" s="501"/>
      <c r="T373" s="332"/>
      <c r="U373" s="120">
        <v>8</v>
      </c>
      <c r="V373" s="120">
        <v>3</v>
      </c>
    </row>
    <row r="374" spans="2:22" ht="7.5" customHeight="1">
      <c r="F374" s="332"/>
      <c r="G374" s="502"/>
      <c r="H374" s="502"/>
      <c r="I374" s="502"/>
      <c r="J374" s="502"/>
      <c r="K374" s="502"/>
      <c r="L374" s="502"/>
      <c r="M374" s="502"/>
      <c r="N374" s="502"/>
      <c r="O374" s="502"/>
      <c r="P374" s="502"/>
      <c r="Q374" s="502"/>
      <c r="R374" s="502"/>
      <c r="S374" s="502"/>
      <c r="T374" s="332"/>
    </row>
    <row r="375" spans="2:22" ht="259.5" customHeight="1">
      <c r="F375" s="332"/>
      <c r="G375" s="320"/>
      <c r="H375" s="498" t="s">
        <v>551</v>
      </c>
      <c r="I375" s="498"/>
      <c r="J375" s="498"/>
      <c r="K375" s="498"/>
      <c r="L375" s="498"/>
      <c r="M375" s="498"/>
      <c r="N375" s="498"/>
      <c r="O375" s="498"/>
      <c r="P375" s="498"/>
      <c r="Q375" s="498"/>
      <c r="R375" s="498"/>
      <c r="S375" s="321"/>
      <c r="T375" s="332"/>
    </row>
    <row r="376" spans="2:22" ht="339.75" customHeight="1">
      <c r="F376" s="332"/>
      <c r="G376" s="320"/>
      <c r="H376" s="498" t="s">
        <v>345</v>
      </c>
      <c r="I376" s="498"/>
      <c r="J376" s="498"/>
      <c r="K376" s="498"/>
      <c r="L376" s="498"/>
      <c r="M376" s="498"/>
      <c r="N376" s="498"/>
      <c r="O376" s="498"/>
      <c r="P376" s="498"/>
      <c r="Q376" s="498"/>
      <c r="R376" s="498"/>
      <c r="S376" s="321"/>
      <c r="T376" s="332"/>
    </row>
    <row r="377" spans="2:22" ht="368.25" customHeight="1">
      <c r="F377" s="332"/>
      <c r="G377" s="320"/>
      <c r="H377" s="498" t="s">
        <v>377</v>
      </c>
      <c r="I377" s="498"/>
      <c r="J377" s="498"/>
      <c r="K377" s="498"/>
      <c r="L377" s="498"/>
      <c r="M377" s="498"/>
      <c r="N377" s="498"/>
      <c r="O377" s="498"/>
      <c r="P377" s="498"/>
      <c r="Q377" s="498"/>
      <c r="R377" s="498"/>
      <c r="S377" s="321"/>
      <c r="T377" s="332"/>
    </row>
    <row r="378" spans="2:22" ht="320.10000000000002" customHeight="1">
      <c r="F378" s="332"/>
      <c r="G378" s="332"/>
      <c r="H378" s="332"/>
      <c r="I378" s="332"/>
      <c r="J378" s="332"/>
      <c r="K378" s="332"/>
      <c r="L378" s="332"/>
      <c r="M378" s="332"/>
      <c r="N378" s="332"/>
      <c r="O378" s="332"/>
      <c r="P378" s="332"/>
      <c r="Q378" s="332"/>
      <c r="R378" s="332"/>
      <c r="S378" s="332"/>
      <c r="T378" s="332"/>
    </row>
    <row r="379" spans="2:22" ht="150" customHeight="1">
      <c r="F379" s="318"/>
      <c r="G379" s="318"/>
      <c r="H379" s="318"/>
      <c r="I379" s="318"/>
      <c r="J379" s="318"/>
      <c r="K379" s="318"/>
      <c r="L379" s="318"/>
      <c r="M379" s="318"/>
      <c r="N379" s="318"/>
      <c r="O379" s="318"/>
      <c r="P379" s="318"/>
      <c r="Q379" s="318"/>
      <c r="R379" s="318"/>
      <c r="S379" s="318"/>
      <c r="T379" s="318"/>
    </row>
    <row r="380" spans="2:22" ht="18.75">
      <c r="B380" s="316"/>
      <c r="F380" s="318"/>
      <c r="G380" s="501" t="s">
        <v>76</v>
      </c>
      <c r="H380" s="501"/>
      <c r="I380" s="501"/>
      <c r="J380" s="501"/>
      <c r="K380" s="501"/>
      <c r="L380" s="501"/>
      <c r="M380" s="501"/>
      <c r="N380" s="501"/>
      <c r="O380" s="501"/>
      <c r="P380" s="501"/>
      <c r="Q380" s="501"/>
      <c r="R380" s="501"/>
      <c r="S380" s="501"/>
      <c r="T380" s="318"/>
      <c r="U380" s="120">
        <v>8</v>
      </c>
      <c r="V380" s="120">
        <v>4</v>
      </c>
    </row>
    <row r="381" spans="2:22" ht="7.5" customHeight="1">
      <c r="F381" s="318"/>
      <c r="G381" s="502"/>
      <c r="H381" s="502"/>
      <c r="I381" s="502"/>
      <c r="J381" s="502"/>
      <c r="K381" s="502"/>
      <c r="L381" s="502"/>
      <c r="M381" s="502"/>
      <c r="N381" s="502"/>
      <c r="O381" s="502"/>
      <c r="P381" s="502"/>
      <c r="Q381" s="502"/>
      <c r="R381" s="502"/>
      <c r="S381" s="502"/>
      <c r="T381" s="318"/>
    </row>
    <row r="382" spans="2:22" ht="75" customHeight="1">
      <c r="F382" s="318"/>
      <c r="G382" s="320"/>
      <c r="H382" s="498" t="s">
        <v>552</v>
      </c>
      <c r="I382" s="498"/>
      <c r="J382" s="498"/>
      <c r="K382" s="498"/>
      <c r="L382" s="498"/>
      <c r="M382" s="498"/>
      <c r="N382" s="498"/>
      <c r="O382" s="498"/>
      <c r="P382" s="498"/>
      <c r="Q382" s="498"/>
      <c r="R382" s="498"/>
      <c r="S382" s="321"/>
      <c r="T382" s="318"/>
    </row>
    <row r="383" spans="2:22">
      <c r="F383" s="318"/>
      <c r="G383" s="318"/>
      <c r="H383" s="318"/>
      <c r="I383" s="318"/>
      <c r="J383" s="318"/>
      <c r="K383" s="318"/>
      <c r="L383" s="318"/>
      <c r="M383" s="318"/>
      <c r="N383" s="318"/>
      <c r="O383" s="318"/>
      <c r="P383" s="318"/>
      <c r="Q383" s="318"/>
      <c r="R383" s="318"/>
      <c r="S383" s="318"/>
      <c r="T383" s="318"/>
    </row>
    <row r="384" spans="2:22" ht="320.10000000000002" customHeight="1">
      <c r="F384" s="318"/>
      <c r="G384" s="318"/>
      <c r="H384" s="318"/>
      <c r="I384" s="318"/>
      <c r="J384" s="318"/>
      <c r="K384" s="318"/>
      <c r="L384" s="318"/>
      <c r="M384" s="318"/>
      <c r="N384" s="318"/>
      <c r="O384" s="318"/>
      <c r="P384" s="318"/>
      <c r="Q384" s="318"/>
      <c r="R384" s="318"/>
      <c r="S384" s="318"/>
      <c r="T384" s="318"/>
    </row>
    <row r="385" spans="2:22" ht="150" customHeight="1">
      <c r="F385" s="318"/>
      <c r="G385" s="318"/>
      <c r="H385" s="318"/>
      <c r="I385" s="318"/>
      <c r="J385" s="318"/>
      <c r="K385" s="318"/>
      <c r="L385" s="318"/>
      <c r="M385" s="318"/>
      <c r="N385" s="318"/>
      <c r="O385" s="318"/>
      <c r="P385" s="318"/>
      <c r="Q385" s="318"/>
      <c r="R385" s="318"/>
      <c r="S385" s="318"/>
      <c r="T385" s="318"/>
    </row>
    <row r="386" spans="2:22" ht="18.75">
      <c r="B386" s="316"/>
      <c r="F386" s="318"/>
      <c r="G386" s="501" t="s">
        <v>77</v>
      </c>
      <c r="H386" s="501"/>
      <c r="I386" s="501"/>
      <c r="J386" s="501"/>
      <c r="K386" s="501"/>
      <c r="L386" s="501"/>
      <c r="M386" s="501"/>
      <c r="N386" s="501"/>
      <c r="O386" s="501"/>
      <c r="P386" s="501"/>
      <c r="Q386" s="501"/>
      <c r="R386" s="501"/>
      <c r="S386" s="501"/>
      <c r="T386" s="318"/>
      <c r="U386" s="120">
        <v>8</v>
      </c>
      <c r="V386" s="120">
        <v>5</v>
      </c>
    </row>
    <row r="387" spans="2:22" ht="7.5" customHeight="1">
      <c r="F387" s="318"/>
      <c r="G387" s="502"/>
      <c r="H387" s="502"/>
      <c r="I387" s="502"/>
      <c r="J387" s="502"/>
      <c r="K387" s="502"/>
      <c r="L387" s="502"/>
      <c r="M387" s="502"/>
      <c r="N387" s="502"/>
      <c r="O387" s="502"/>
      <c r="P387" s="502"/>
      <c r="Q387" s="502"/>
      <c r="R387" s="502"/>
      <c r="S387" s="502"/>
      <c r="T387" s="318"/>
    </row>
    <row r="388" spans="2:22" ht="234" customHeight="1">
      <c r="F388" s="318"/>
      <c r="G388" s="320"/>
      <c r="H388" s="498" t="s">
        <v>553</v>
      </c>
      <c r="I388" s="498"/>
      <c r="J388" s="498"/>
      <c r="K388" s="498"/>
      <c r="L388" s="498"/>
      <c r="M388" s="498"/>
      <c r="N388" s="498"/>
      <c r="O388" s="498"/>
      <c r="P388" s="498"/>
      <c r="Q388" s="498"/>
      <c r="R388" s="498"/>
      <c r="S388" s="321"/>
      <c r="T388" s="318"/>
    </row>
    <row r="389" spans="2:22">
      <c r="F389" s="318"/>
      <c r="G389" s="318"/>
      <c r="H389" s="318"/>
      <c r="I389" s="318"/>
      <c r="J389" s="318"/>
      <c r="K389" s="318"/>
      <c r="L389" s="318"/>
      <c r="M389" s="318"/>
      <c r="N389" s="318"/>
      <c r="O389" s="318"/>
      <c r="P389" s="318"/>
      <c r="Q389" s="318"/>
      <c r="R389" s="318"/>
      <c r="S389" s="318"/>
      <c r="T389" s="318"/>
    </row>
    <row r="390" spans="2:22" ht="320.10000000000002" customHeight="1">
      <c r="F390" s="318"/>
      <c r="G390" s="318"/>
      <c r="H390" s="318"/>
      <c r="I390" s="318"/>
      <c r="J390" s="318"/>
      <c r="K390" s="318"/>
      <c r="L390" s="318"/>
      <c r="M390" s="318"/>
      <c r="N390" s="318"/>
      <c r="O390" s="318"/>
      <c r="P390" s="318"/>
      <c r="Q390" s="318"/>
      <c r="R390" s="318"/>
      <c r="S390" s="318"/>
      <c r="T390" s="318"/>
    </row>
    <row r="391" spans="2:22" ht="150" customHeight="1">
      <c r="F391" s="318"/>
      <c r="G391" s="318"/>
      <c r="H391" s="318"/>
      <c r="I391" s="318"/>
      <c r="J391" s="318"/>
      <c r="K391" s="318"/>
      <c r="L391" s="318"/>
      <c r="M391" s="318"/>
      <c r="N391" s="318"/>
      <c r="O391" s="318"/>
      <c r="P391" s="318"/>
      <c r="Q391" s="318"/>
      <c r="R391" s="318"/>
      <c r="S391" s="318"/>
      <c r="T391" s="318"/>
    </row>
    <row r="392" spans="2:22" ht="18.75">
      <c r="B392" s="316"/>
      <c r="F392" s="318"/>
      <c r="G392" s="501" t="s">
        <v>217</v>
      </c>
      <c r="H392" s="501"/>
      <c r="I392" s="501"/>
      <c r="J392" s="501"/>
      <c r="K392" s="501"/>
      <c r="L392" s="501"/>
      <c r="M392" s="501"/>
      <c r="N392" s="501"/>
      <c r="O392" s="501"/>
      <c r="P392" s="501"/>
      <c r="Q392" s="501"/>
      <c r="R392" s="501"/>
      <c r="S392" s="501"/>
      <c r="T392" s="318"/>
      <c r="U392" s="120">
        <v>8</v>
      </c>
      <c r="V392" s="120">
        <v>6</v>
      </c>
    </row>
    <row r="393" spans="2:22" ht="7.5" customHeight="1">
      <c r="F393" s="318"/>
      <c r="G393" s="502"/>
      <c r="H393" s="502"/>
      <c r="I393" s="502"/>
      <c r="J393" s="502"/>
      <c r="K393" s="502"/>
      <c r="L393" s="502"/>
      <c r="M393" s="502"/>
      <c r="N393" s="502"/>
      <c r="O393" s="502"/>
      <c r="P393" s="502"/>
      <c r="Q393" s="502"/>
      <c r="R393" s="502"/>
      <c r="S393" s="502"/>
      <c r="T393" s="318"/>
    </row>
    <row r="394" spans="2:22" ht="125.25" customHeight="1">
      <c r="F394" s="318"/>
      <c r="G394" s="320"/>
      <c r="H394" s="498" t="s">
        <v>244</v>
      </c>
      <c r="I394" s="498"/>
      <c r="J394" s="498"/>
      <c r="K394" s="498"/>
      <c r="L394" s="498"/>
      <c r="M394" s="498"/>
      <c r="N394" s="498"/>
      <c r="O394" s="498"/>
      <c r="P394" s="498"/>
      <c r="Q394" s="498"/>
      <c r="R394" s="498"/>
      <c r="S394" s="321"/>
      <c r="T394" s="318"/>
    </row>
    <row r="395" spans="2:22">
      <c r="F395" s="318"/>
      <c r="G395" s="318"/>
      <c r="H395" s="318"/>
      <c r="I395" s="318"/>
      <c r="J395" s="318"/>
      <c r="K395" s="318"/>
      <c r="L395" s="318"/>
      <c r="M395" s="318"/>
      <c r="N395" s="318"/>
      <c r="O395" s="318"/>
      <c r="P395" s="318"/>
      <c r="Q395" s="318"/>
      <c r="R395" s="318"/>
      <c r="S395" s="318"/>
      <c r="T395" s="318"/>
    </row>
    <row r="396" spans="2:22" ht="320.10000000000002" customHeight="1">
      <c r="F396" s="318"/>
      <c r="G396" s="318"/>
      <c r="H396" s="318"/>
      <c r="I396" s="318"/>
      <c r="J396" s="318"/>
      <c r="K396" s="318"/>
      <c r="L396" s="318"/>
      <c r="M396" s="318"/>
      <c r="N396" s="318"/>
      <c r="O396" s="318"/>
      <c r="P396" s="318"/>
      <c r="Q396" s="318"/>
      <c r="R396" s="318"/>
      <c r="S396" s="318"/>
      <c r="T396" s="318"/>
    </row>
    <row r="397" spans="2:22" ht="150" customHeight="1">
      <c r="F397" s="318"/>
      <c r="G397" s="318"/>
      <c r="H397" s="318"/>
      <c r="I397" s="318"/>
      <c r="J397" s="318"/>
      <c r="K397" s="318"/>
      <c r="L397" s="318"/>
      <c r="M397" s="318"/>
      <c r="N397" s="318"/>
      <c r="O397" s="318"/>
      <c r="P397" s="318"/>
      <c r="Q397" s="318"/>
      <c r="R397" s="318"/>
      <c r="S397" s="318"/>
      <c r="T397" s="318"/>
    </row>
    <row r="398" spans="2:22" ht="18.75">
      <c r="B398" s="316"/>
      <c r="F398" s="318"/>
      <c r="G398" s="501" t="s">
        <v>218</v>
      </c>
      <c r="H398" s="501"/>
      <c r="I398" s="501"/>
      <c r="J398" s="501"/>
      <c r="K398" s="501"/>
      <c r="L398" s="501"/>
      <c r="M398" s="501"/>
      <c r="N398" s="501"/>
      <c r="O398" s="501"/>
      <c r="P398" s="501"/>
      <c r="Q398" s="501"/>
      <c r="R398" s="501"/>
      <c r="S398" s="501"/>
      <c r="T398" s="318"/>
      <c r="U398" s="120">
        <v>8</v>
      </c>
      <c r="V398" s="120">
        <v>7</v>
      </c>
    </row>
    <row r="399" spans="2:22" ht="7.5" customHeight="1">
      <c r="F399" s="318"/>
      <c r="G399" s="502"/>
      <c r="H399" s="502"/>
      <c r="I399" s="502"/>
      <c r="J399" s="502"/>
      <c r="K399" s="502"/>
      <c r="L399" s="502"/>
      <c r="M399" s="502"/>
      <c r="N399" s="502"/>
      <c r="O399" s="502"/>
      <c r="P399" s="502"/>
      <c r="Q399" s="502"/>
      <c r="R399" s="502"/>
      <c r="S399" s="502"/>
      <c r="T399" s="318"/>
    </row>
    <row r="400" spans="2:22" ht="125.25" customHeight="1">
      <c r="F400" s="318"/>
      <c r="G400" s="320"/>
      <c r="H400" s="498" t="s">
        <v>554</v>
      </c>
      <c r="I400" s="498"/>
      <c r="J400" s="498"/>
      <c r="K400" s="498"/>
      <c r="L400" s="498"/>
      <c r="M400" s="498"/>
      <c r="N400" s="498"/>
      <c r="O400" s="498"/>
      <c r="P400" s="498"/>
      <c r="Q400" s="498"/>
      <c r="R400" s="498"/>
      <c r="S400" s="321"/>
      <c r="T400" s="318"/>
    </row>
    <row r="401" spans="2:22">
      <c r="F401" s="318"/>
      <c r="G401" s="318"/>
      <c r="H401" s="318"/>
      <c r="I401" s="318"/>
      <c r="J401" s="318"/>
      <c r="K401" s="318"/>
      <c r="L401" s="318"/>
      <c r="M401" s="318"/>
      <c r="N401" s="318"/>
      <c r="O401" s="318"/>
      <c r="P401" s="318"/>
      <c r="Q401" s="318"/>
      <c r="R401" s="318"/>
      <c r="S401" s="318"/>
      <c r="T401" s="318"/>
    </row>
    <row r="402" spans="2:22" ht="320.10000000000002" customHeight="1">
      <c r="F402" s="318"/>
      <c r="G402" s="318"/>
      <c r="H402" s="318"/>
      <c r="I402" s="318"/>
      <c r="J402" s="318"/>
      <c r="K402" s="318"/>
      <c r="L402" s="318"/>
      <c r="M402" s="318"/>
      <c r="N402" s="318"/>
      <c r="O402" s="318"/>
      <c r="P402" s="318"/>
      <c r="Q402" s="318"/>
      <c r="R402" s="318"/>
      <c r="S402" s="318"/>
      <c r="T402" s="318"/>
    </row>
    <row r="403" spans="2:22" ht="150" customHeight="1">
      <c r="F403" s="318"/>
      <c r="G403" s="318"/>
      <c r="H403" s="318"/>
      <c r="I403" s="318"/>
      <c r="J403" s="318"/>
      <c r="K403" s="318"/>
      <c r="L403" s="318"/>
      <c r="M403" s="318"/>
      <c r="N403" s="318"/>
      <c r="O403" s="318"/>
      <c r="P403" s="318"/>
      <c r="Q403" s="318"/>
      <c r="R403" s="318"/>
      <c r="S403" s="318"/>
      <c r="T403" s="318"/>
    </row>
    <row r="404" spans="2:22" ht="18.75">
      <c r="B404" s="316"/>
      <c r="F404" s="318"/>
      <c r="G404" s="501" t="s">
        <v>219</v>
      </c>
      <c r="H404" s="501"/>
      <c r="I404" s="501"/>
      <c r="J404" s="501"/>
      <c r="K404" s="501"/>
      <c r="L404" s="501"/>
      <c r="M404" s="501"/>
      <c r="N404" s="501"/>
      <c r="O404" s="501"/>
      <c r="P404" s="501"/>
      <c r="Q404" s="501"/>
      <c r="R404" s="501"/>
      <c r="S404" s="501"/>
      <c r="T404" s="318"/>
      <c r="U404" s="120">
        <v>8</v>
      </c>
      <c r="V404" s="120">
        <v>8</v>
      </c>
    </row>
    <row r="405" spans="2:22" ht="7.5" customHeight="1">
      <c r="F405" s="318"/>
      <c r="G405" s="502"/>
      <c r="H405" s="502"/>
      <c r="I405" s="502"/>
      <c r="J405" s="502"/>
      <c r="K405" s="502"/>
      <c r="L405" s="502"/>
      <c r="M405" s="502"/>
      <c r="N405" s="502"/>
      <c r="O405" s="502"/>
      <c r="P405" s="502"/>
      <c r="Q405" s="502"/>
      <c r="R405" s="502"/>
      <c r="S405" s="502"/>
      <c r="T405" s="318"/>
    </row>
    <row r="406" spans="2:22" ht="165" customHeight="1">
      <c r="F406" s="318"/>
      <c r="G406" s="320"/>
      <c r="H406" s="498" t="s">
        <v>555</v>
      </c>
      <c r="I406" s="498"/>
      <c r="J406" s="498"/>
      <c r="K406" s="498"/>
      <c r="L406" s="498"/>
      <c r="M406" s="498"/>
      <c r="N406" s="498"/>
      <c r="O406" s="498"/>
      <c r="P406" s="498"/>
      <c r="Q406" s="498"/>
      <c r="R406" s="498"/>
      <c r="S406" s="321"/>
      <c r="T406" s="318"/>
    </row>
    <row r="407" spans="2:22">
      <c r="F407" s="318"/>
      <c r="G407" s="318"/>
      <c r="H407" s="318"/>
      <c r="I407" s="318"/>
      <c r="J407" s="318"/>
      <c r="K407" s="318"/>
      <c r="L407" s="318"/>
      <c r="M407" s="318"/>
      <c r="N407" s="318"/>
      <c r="O407" s="318"/>
      <c r="P407" s="318"/>
      <c r="Q407" s="318"/>
      <c r="R407" s="318"/>
      <c r="S407" s="318"/>
      <c r="T407" s="318"/>
    </row>
    <row r="408" spans="2:22" ht="320.10000000000002" customHeight="1">
      <c r="F408" s="318"/>
      <c r="G408" s="318"/>
      <c r="H408" s="318"/>
      <c r="I408" s="318"/>
      <c r="J408" s="318"/>
      <c r="K408" s="318"/>
      <c r="L408" s="318"/>
      <c r="M408" s="318"/>
      <c r="N408" s="318"/>
      <c r="O408" s="318"/>
      <c r="P408" s="318"/>
      <c r="Q408" s="318"/>
      <c r="R408" s="318"/>
      <c r="S408" s="318"/>
      <c r="T408" s="318"/>
    </row>
    <row r="409" spans="2:22" ht="150" customHeight="1">
      <c r="F409" s="318"/>
      <c r="G409" s="318"/>
      <c r="H409" s="318"/>
      <c r="I409" s="318"/>
      <c r="J409" s="318"/>
      <c r="K409" s="318"/>
      <c r="L409" s="318"/>
      <c r="M409" s="318"/>
      <c r="N409" s="318"/>
      <c r="O409" s="318"/>
      <c r="P409" s="318"/>
      <c r="Q409" s="318"/>
      <c r="R409" s="318"/>
      <c r="S409" s="318"/>
      <c r="T409" s="318"/>
    </row>
    <row r="410" spans="2:22" ht="18.75">
      <c r="B410" s="316"/>
      <c r="F410" s="318"/>
      <c r="G410" s="501" t="s">
        <v>157</v>
      </c>
      <c r="H410" s="501"/>
      <c r="I410" s="501"/>
      <c r="J410" s="501"/>
      <c r="K410" s="501"/>
      <c r="L410" s="501"/>
      <c r="M410" s="501"/>
      <c r="N410" s="501"/>
      <c r="O410" s="501"/>
      <c r="P410" s="501"/>
      <c r="Q410" s="501"/>
      <c r="R410" s="501"/>
      <c r="S410" s="501"/>
      <c r="T410" s="318"/>
      <c r="U410" s="120">
        <v>8</v>
      </c>
      <c r="V410" s="120">
        <v>9</v>
      </c>
    </row>
    <row r="411" spans="2:22" ht="7.5" customHeight="1">
      <c r="F411" s="318"/>
      <c r="G411" s="502"/>
      <c r="H411" s="502"/>
      <c r="I411" s="502"/>
      <c r="J411" s="502"/>
      <c r="K411" s="502"/>
      <c r="L411" s="502"/>
      <c r="M411" s="502"/>
      <c r="N411" s="502"/>
      <c r="O411" s="502"/>
      <c r="P411" s="502"/>
      <c r="Q411" s="502"/>
      <c r="R411" s="502"/>
      <c r="S411" s="502"/>
      <c r="T411" s="318"/>
    </row>
    <row r="412" spans="2:22" ht="75" customHeight="1">
      <c r="F412" s="318"/>
      <c r="G412" s="320"/>
      <c r="H412" s="498" t="s">
        <v>350</v>
      </c>
      <c r="I412" s="498"/>
      <c r="J412" s="498"/>
      <c r="K412" s="498"/>
      <c r="L412" s="498"/>
      <c r="M412" s="498"/>
      <c r="N412" s="498"/>
      <c r="O412" s="498"/>
      <c r="P412" s="498"/>
      <c r="Q412" s="498"/>
      <c r="R412" s="498"/>
      <c r="S412" s="321"/>
      <c r="T412" s="318"/>
    </row>
    <row r="413" spans="2:22">
      <c r="F413" s="318"/>
      <c r="G413" s="318"/>
      <c r="H413" s="318"/>
      <c r="I413" s="318"/>
      <c r="J413" s="318"/>
      <c r="K413" s="318"/>
      <c r="L413" s="318"/>
      <c r="M413" s="318"/>
      <c r="N413" s="318"/>
      <c r="O413" s="318"/>
      <c r="P413" s="318"/>
      <c r="Q413" s="318"/>
      <c r="R413" s="318"/>
      <c r="S413" s="318"/>
      <c r="T413" s="318"/>
    </row>
    <row r="414" spans="2:22" ht="320.10000000000002" customHeight="1">
      <c r="F414" s="318"/>
      <c r="G414" s="318"/>
      <c r="H414" s="318"/>
      <c r="I414" s="318"/>
      <c r="J414" s="318"/>
      <c r="K414" s="318"/>
      <c r="L414" s="318"/>
      <c r="M414" s="318"/>
      <c r="N414" s="318"/>
      <c r="O414" s="318"/>
      <c r="P414" s="318"/>
      <c r="Q414" s="318"/>
      <c r="R414" s="318"/>
      <c r="S414" s="318"/>
      <c r="T414" s="318"/>
    </row>
    <row r="415" spans="2:22" ht="150" customHeight="1">
      <c r="F415" s="318"/>
      <c r="G415" s="318"/>
      <c r="H415" s="318"/>
      <c r="I415" s="318"/>
      <c r="J415" s="318"/>
      <c r="K415" s="318"/>
      <c r="L415" s="318"/>
      <c r="M415" s="318"/>
      <c r="N415" s="318"/>
      <c r="O415" s="318"/>
      <c r="P415" s="318"/>
      <c r="Q415" s="318"/>
      <c r="R415" s="318"/>
      <c r="S415" s="318"/>
      <c r="T415" s="318"/>
    </row>
    <row r="416" spans="2:22" ht="18.75">
      <c r="B416" s="316"/>
      <c r="F416" s="318"/>
      <c r="G416" s="501" t="s">
        <v>75</v>
      </c>
      <c r="H416" s="501"/>
      <c r="I416" s="501"/>
      <c r="J416" s="501"/>
      <c r="K416" s="501"/>
      <c r="L416" s="501"/>
      <c r="M416" s="501"/>
      <c r="N416" s="501"/>
      <c r="O416" s="501"/>
      <c r="P416" s="501"/>
      <c r="Q416" s="501"/>
      <c r="R416" s="501"/>
      <c r="S416" s="501"/>
      <c r="T416" s="318"/>
      <c r="U416" s="120">
        <v>8</v>
      </c>
      <c r="V416" s="120">
        <v>10</v>
      </c>
    </row>
    <row r="417" spans="2:22" ht="7.5" customHeight="1">
      <c r="F417" s="318"/>
      <c r="G417" s="502"/>
      <c r="H417" s="502"/>
      <c r="I417" s="502"/>
      <c r="J417" s="502"/>
      <c r="K417" s="502"/>
      <c r="L417" s="502"/>
      <c r="M417" s="502"/>
      <c r="N417" s="502"/>
      <c r="O417" s="502"/>
      <c r="P417" s="502"/>
      <c r="Q417" s="502"/>
      <c r="R417" s="502"/>
      <c r="S417" s="502"/>
      <c r="T417" s="318"/>
    </row>
    <row r="418" spans="2:22" ht="132.75" customHeight="1">
      <c r="F418" s="318"/>
      <c r="G418" s="320"/>
      <c r="H418" s="498" t="s">
        <v>556</v>
      </c>
      <c r="I418" s="498"/>
      <c r="J418" s="498"/>
      <c r="K418" s="498"/>
      <c r="L418" s="498"/>
      <c r="M418" s="498"/>
      <c r="N418" s="498"/>
      <c r="O418" s="498"/>
      <c r="P418" s="498"/>
      <c r="Q418" s="498"/>
      <c r="R418" s="498"/>
      <c r="S418" s="321"/>
      <c r="T418" s="318"/>
    </row>
    <row r="419" spans="2:22">
      <c r="F419" s="318"/>
      <c r="G419" s="318"/>
      <c r="H419" s="318"/>
      <c r="I419" s="318"/>
      <c r="J419" s="318"/>
      <c r="K419" s="318"/>
      <c r="L419" s="318"/>
      <c r="M419" s="318"/>
      <c r="N419" s="318"/>
      <c r="O419" s="318"/>
      <c r="P419" s="318"/>
      <c r="Q419" s="318"/>
      <c r="R419" s="318"/>
      <c r="S419" s="318"/>
      <c r="T419" s="318"/>
    </row>
    <row r="420" spans="2:22" ht="320.10000000000002" customHeight="1">
      <c r="F420" s="318"/>
      <c r="G420" s="318"/>
      <c r="H420" s="318"/>
      <c r="I420" s="318"/>
      <c r="J420" s="318"/>
      <c r="K420" s="318"/>
      <c r="L420" s="318"/>
      <c r="M420" s="318"/>
      <c r="N420" s="318"/>
      <c r="O420" s="318"/>
      <c r="P420" s="318"/>
      <c r="Q420" s="318"/>
      <c r="R420" s="318"/>
      <c r="S420" s="318"/>
      <c r="T420" s="318"/>
    </row>
    <row r="421" spans="2:22" ht="150" customHeight="1">
      <c r="F421" s="318"/>
      <c r="G421" s="318"/>
      <c r="H421" s="318"/>
      <c r="I421" s="318"/>
      <c r="J421" s="318"/>
      <c r="K421" s="318"/>
      <c r="L421" s="318"/>
      <c r="M421" s="318"/>
      <c r="N421" s="318"/>
      <c r="O421" s="318"/>
      <c r="P421" s="318"/>
      <c r="Q421" s="318"/>
      <c r="R421" s="318"/>
      <c r="S421" s="318"/>
      <c r="T421" s="318"/>
    </row>
    <row r="422" spans="2:22" ht="18.75">
      <c r="B422" s="316"/>
      <c r="F422" s="318"/>
      <c r="G422" s="501" t="s">
        <v>71</v>
      </c>
      <c r="H422" s="501"/>
      <c r="I422" s="501"/>
      <c r="J422" s="501"/>
      <c r="K422" s="501"/>
      <c r="L422" s="501"/>
      <c r="M422" s="501"/>
      <c r="N422" s="501"/>
      <c r="O422" s="501"/>
      <c r="P422" s="501"/>
      <c r="Q422" s="501"/>
      <c r="R422" s="501"/>
      <c r="S422" s="501"/>
      <c r="T422" s="318"/>
      <c r="U422" s="120">
        <v>8</v>
      </c>
      <c r="V422" s="120">
        <v>11</v>
      </c>
    </row>
    <row r="423" spans="2:22" ht="7.5" customHeight="1">
      <c r="F423" s="318"/>
      <c r="G423" s="502"/>
      <c r="H423" s="502"/>
      <c r="I423" s="502"/>
      <c r="J423" s="502"/>
      <c r="K423" s="502"/>
      <c r="L423" s="502"/>
      <c r="M423" s="502"/>
      <c r="N423" s="502"/>
      <c r="O423" s="502"/>
      <c r="P423" s="502"/>
      <c r="Q423" s="502"/>
      <c r="R423" s="502"/>
      <c r="S423" s="502"/>
      <c r="T423" s="318"/>
    </row>
    <row r="424" spans="2:22" ht="243.75" customHeight="1">
      <c r="F424" s="318"/>
      <c r="G424" s="320"/>
      <c r="H424" s="498" t="s">
        <v>364</v>
      </c>
      <c r="I424" s="498"/>
      <c r="J424" s="498"/>
      <c r="K424" s="498"/>
      <c r="L424" s="498"/>
      <c r="M424" s="498"/>
      <c r="N424" s="498"/>
      <c r="O424" s="498"/>
      <c r="P424" s="498"/>
      <c r="Q424" s="498"/>
      <c r="R424" s="498"/>
      <c r="S424" s="321"/>
      <c r="T424" s="318"/>
    </row>
    <row r="425" spans="2:22">
      <c r="F425" s="318"/>
      <c r="G425" s="318"/>
      <c r="H425" s="318"/>
      <c r="I425" s="318"/>
      <c r="J425" s="318"/>
      <c r="K425" s="318"/>
      <c r="L425" s="318"/>
      <c r="M425" s="318"/>
      <c r="N425" s="318"/>
      <c r="O425" s="318"/>
      <c r="P425" s="318"/>
      <c r="Q425" s="318"/>
      <c r="R425" s="318"/>
      <c r="S425" s="318"/>
      <c r="T425" s="318"/>
    </row>
    <row r="426" spans="2:22" ht="320.10000000000002" customHeight="1">
      <c r="F426" s="318"/>
      <c r="G426" s="318"/>
      <c r="H426" s="318"/>
      <c r="I426" s="318"/>
      <c r="J426" s="318"/>
      <c r="K426" s="318"/>
      <c r="L426" s="318"/>
      <c r="M426" s="318"/>
      <c r="N426" s="318"/>
      <c r="O426" s="318"/>
      <c r="P426" s="318"/>
      <c r="Q426" s="318"/>
      <c r="R426" s="318"/>
      <c r="S426" s="318"/>
      <c r="T426" s="318"/>
    </row>
    <row r="427" spans="2:22" ht="150" customHeight="1">
      <c r="F427" s="318"/>
      <c r="G427" s="318"/>
      <c r="H427" s="318"/>
      <c r="I427" s="318"/>
      <c r="J427" s="318"/>
      <c r="K427" s="318"/>
      <c r="L427" s="318"/>
      <c r="M427" s="318"/>
      <c r="N427" s="318"/>
      <c r="O427" s="318"/>
      <c r="P427" s="318"/>
      <c r="Q427" s="318"/>
      <c r="R427" s="318"/>
      <c r="S427" s="318"/>
      <c r="T427" s="318"/>
    </row>
    <row r="428" spans="2:22" ht="18.75">
      <c r="B428" s="316"/>
      <c r="F428" s="318"/>
      <c r="G428" s="501" t="s">
        <v>72</v>
      </c>
      <c r="H428" s="501"/>
      <c r="I428" s="501"/>
      <c r="J428" s="501"/>
      <c r="K428" s="501"/>
      <c r="L428" s="501"/>
      <c r="M428" s="501"/>
      <c r="N428" s="501"/>
      <c r="O428" s="501"/>
      <c r="P428" s="501"/>
      <c r="Q428" s="501"/>
      <c r="R428" s="501"/>
      <c r="S428" s="501"/>
      <c r="T428" s="318"/>
      <c r="U428" s="120">
        <v>8</v>
      </c>
      <c r="V428" s="120">
        <v>12</v>
      </c>
    </row>
    <row r="429" spans="2:22" ht="7.5" customHeight="1">
      <c r="F429" s="318"/>
      <c r="G429" s="502"/>
      <c r="H429" s="502"/>
      <c r="I429" s="502"/>
      <c r="J429" s="502"/>
      <c r="K429" s="502"/>
      <c r="L429" s="502"/>
      <c r="M429" s="502"/>
      <c r="N429" s="502"/>
      <c r="O429" s="502"/>
      <c r="P429" s="502"/>
      <c r="Q429" s="502"/>
      <c r="R429" s="502"/>
      <c r="S429" s="502"/>
      <c r="T429" s="318"/>
    </row>
    <row r="430" spans="2:22" ht="254.25" customHeight="1">
      <c r="F430" s="318"/>
      <c r="G430" s="320"/>
      <c r="H430" s="498" t="s">
        <v>557</v>
      </c>
      <c r="I430" s="498"/>
      <c r="J430" s="498"/>
      <c r="K430" s="498"/>
      <c r="L430" s="498"/>
      <c r="M430" s="498"/>
      <c r="N430" s="498"/>
      <c r="O430" s="498"/>
      <c r="P430" s="498"/>
      <c r="Q430" s="498"/>
      <c r="R430" s="498"/>
      <c r="S430" s="321"/>
      <c r="T430" s="318"/>
    </row>
    <row r="431" spans="2:22">
      <c r="F431" s="318"/>
      <c r="G431" s="318"/>
      <c r="H431" s="318"/>
      <c r="I431" s="318"/>
      <c r="J431" s="318"/>
      <c r="K431" s="318"/>
      <c r="L431" s="318"/>
      <c r="M431" s="318"/>
      <c r="N431" s="318"/>
      <c r="O431" s="318"/>
      <c r="P431" s="318"/>
      <c r="Q431" s="318"/>
      <c r="R431" s="318"/>
      <c r="S431" s="318"/>
      <c r="T431" s="318"/>
    </row>
    <row r="432" spans="2:22" ht="320.10000000000002" customHeight="1">
      <c r="F432" s="318"/>
      <c r="G432" s="318"/>
      <c r="H432" s="318"/>
      <c r="I432" s="318"/>
      <c r="J432" s="318"/>
      <c r="K432" s="318"/>
      <c r="L432" s="318"/>
      <c r="M432" s="318"/>
      <c r="N432" s="318"/>
      <c r="O432" s="318"/>
      <c r="P432" s="318"/>
      <c r="Q432" s="318"/>
      <c r="R432" s="318"/>
      <c r="S432" s="318"/>
      <c r="T432" s="318"/>
    </row>
    <row r="433" spans="2:22" ht="150" customHeight="1">
      <c r="F433" s="318"/>
      <c r="G433" s="318"/>
      <c r="H433" s="318"/>
      <c r="I433" s="318"/>
      <c r="J433" s="318"/>
      <c r="K433" s="318"/>
      <c r="L433" s="318"/>
      <c r="M433" s="318"/>
      <c r="N433" s="318"/>
      <c r="O433" s="318"/>
      <c r="P433" s="318"/>
      <c r="Q433" s="318"/>
      <c r="R433" s="318"/>
      <c r="S433" s="318"/>
      <c r="T433" s="318"/>
    </row>
    <row r="434" spans="2:22" ht="18.75">
      <c r="B434" s="316"/>
      <c r="F434" s="318"/>
      <c r="G434" s="501" t="s">
        <v>73</v>
      </c>
      <c r="H434" s="501"/>
      <c r="I434" s="501"/>
      <c r="J434" s="501"/>
      <c r="K434" s="501"/>
      <c r="L434" s="501"/>
      <c r="M434" s="501"/>
      <c r="N434" s="501"/>
      <c r="O434" s="501"/>
      <c r="P434" s="501"/>
      <c r="Q434" s="501"/>
      <c r="R434" s="501"/>
      <c r="S434" s="501"/>
      <c r="T434" s="318"/>
      <c r="U434" s="120">
        <v>8</v>
      </c>
      <c r="V434" s="120">
        <v>13</v>
      </c>
    </row>
    <row r="435" spans="2:22" ht="7.5" customHeight="1">
      <c r="F435" s="318"/>
      <c r="G435" s="502"/>
      <c r="H435" s="502"/>
      <c r="I435" s="502"/>
      <c r="J435" s="502"/>
      <c r="K435" s="502"/>
      <c r="L435" s="502"/>
      <c r="M435" s="502"/>
      <c r="N435" s="502"/>
      <c r="O435" s="502"/>
      <c r="P435" s="502"/>
      <c r="Q435" s="502"/>
      <c r="R435" s="502"/>
      <c r="S435" s="502"/>
      <c r="T435" s="318"/>
    </row>
    <row r="436" spans="2:22" ht="187.5" customHeight="1">
      <c r="F436" s="318"/>
      <c r="G436" s="320"/>
      <c r="H436" s="498" t="s">
        <v>367</v>
      </c>
      <c r="I436" s="498"/>
      <c r="J436" s="498"/>
      <c r="K436" s="498"/>
      <c r="L436" s="498"/>
      <c r="M436" s="498"/>
      <c r="N436" s="498"/>
      <c r="O436" s="498"/>
      <c r="P436" s="498"/>
      <c r="Q436" s="498"/>
      <c r="R436" s="498"/>
      <c r="S436" s="321"/>
      <c r="T436" s="318"/>
    </row>
    <row r="437" spans="2:22">
      <c r="F437" s="318"/>
      <c r="G437" s="318"/>
      <c r="H437" s="318"/>
      <c r="I437" s="318"/>
      <c r="J437" s="318"/>
      <c r="K437" s="318"/>
      <c r="L437" s="318"/>
      <c r="M437" s="318"/>
      <c r="N437" s="318"/>
      <c r="O437" s="318"/>
      <c r="P437" s="318"/>
      <c r="Q437" s="318"/>
      <c r="R437" s="318"/>
      <c r="S437" s="318"/>
      <c r="T437" s="318"/>
    </row>
    <row r="438" spans="2:22" ht="320.10000000000002" customHeight="1">
      <c r="F438" s="318"/>
      <c r="G438" s="318"/>
      <c r="H438" s="318"/>
      <c r="I438" s="318"/>
      <c r="J438" s="318"/>
      <c r="K438" s="318"/>
      <c r="L438" s="318"/>
      <c r="M438" s="318"/>
      <c r="N438" s="318"/>
      <c r="O438" s="318"/>
      <c r="P438" s="318"/>
      <c r="Q438" s="318"/>
      <c r="R438" s="318"/>
      <c r="S438" s="318"/>
      <c r="T438" s="318"/>
    </row>
    <row r="439" spans="2:22" ht="150" customHeight="1">
      <c r="F439" s="318"/>
      <c r="G439" s="318"/>
      <c r="H439" s="318"/>
      <c r="I439" s="318"/>
      <c r="J439" s="318"/>
      <c r="K439" s="318"/>
      <c r="L439" s="318"/>
      <c r="M439" s="318"/>
      <c r="N439" s="318"/>
      <c r="O439" s="318"/>
      <c r="P439" s="318"/>
      <c r="Q439" s="318"/>
      <c r="R439" s="318"/>
      <c r="S439" s="318"/>
      <c r="T439" s="318"/>
    </row>
    <row r="440" spans="2:22" ht="18.75">
      <c r="B440" s="316"/>
      <c r="F440" s="318"/>
      <c r="G440" s="501" t="s">
        <v>158</v>
      </c>
      <c r="H440" s="501"/>
      <c r="I440" s="501"/>
      <c r="J440" s="501"/>
      <c r="K440" s="501"/>
      <c r="L440" s="501"/>
      <c r="M440" s="501"/>
      <c r="N440" s="501"/>
      <c r="O440" s="501"/>
      <c r="P440" s="501"/>
      <c r="Q440" s="501"/>
      <c r="R440" s="501"/>
      <c r="S440" s="501"/>
      <c r="T440" s="318"/>
      <c r="U440" s="120">
        <v>8</v>
      </c>
      <c r="V440" s="120">
        <v>14</v>
      </c>
    </row>
    <row r="441" spans="2:22" ht="7.5" customHeight="1">
      <c r="F441" s="318"/>
      <c r="G441" s="502"/>
      <c r="H441" s="502"/>
      <c r="I441" s="502"/>
      <c r="J441" s="502"/>
      <c r="K441" s="502"/>
      <c r="L441" s="502"/>
      <c r="M441" s="502"/>
      <c r="N441" s="502"/>
      <c r="O441" s="502"/>
      <c r="P441" s="502"/>
      <c r="Q441" s="502"/>
      <c r="R441" s="502"/>
      <c r="S441" s="502"/>
      <c r="T441" s="318"/>
    </row>
    <row r="442" spans="2:22" ht="198" customHeight="1">
      <c r="F442" s="318"/>
      <c r="G442" s="320"/>
      <c r="H442" s="498" t="s">
        <v>367</v>
      </c>
      <c r="I442" s="498"/>
      <c r="J442" s="498"/>
      <c r="K442" s="498"/>
      <c r="L442" s="498"/>
      <c r="M442" s="498"/>
      <c r="N442" s="498"/>
      <c r="O442" s="498"/>
      <c r="P442" s="498"/>
      <c r="Q442" s="498"/>
      <c r="R442" s="498"/>
      <c r="S442" s="321"/>
      <c r="T442" s="318"/>
    </row>
    <row r="443" spans="2:22">
      <c r="F443" s="318"/>
      <c r="G443" s="318"/>
      <c r="H443" s="318"/>
      <c r="I443" s="318"/>
      <c r="J443" s="318"/>
      <c r="K443" s="318"/>
      <c r="L443" s="318"/>
      <c r="M443" s="318"/>
      <c r="N443" s="318"/>
      <c r="O443" s="318"/>
      <c r="P443" s="318"/>
      <c r="Q443" s="318"/>
      <c r="R443" s="318"/>
      <c r="S443" s="318"/>
      <c r="T443" s="318"/>
    </row>
    <row r="444" spans="2:22" ht="320.10000000000002" customHeight="1">
      <c r="F444" s="318"/>
      <c r="G444" s="318"/>
      <c r="H444" s="318"/>
      <c r="I444" s="318"/>
      <c r="J444" s="318"/>
      <c r="K444" s="318"/>
      <c r="L444" s="318"/>
      <c r="M444" s="318"/>
      <c r="N444" s="318"/>
      <c r="O444" s="318"/>
      <c r="P444" s="318"/>
      <c r="Q444" s="318"/>
      <c r="R444" s="318"/>
      <c r="S444" s="318"/>
      <c r="T444" s="318"/>
    </row>
    <row r="445" spans="2:22" ht="150" customHeight="1">
      <c r="F445" s="318"/>
      <c r="G445" s="318"/>
      <c r="H445" s="318"/>
      <c r="I445" s="318"/>
      <c r="J445" s="318"/>
      <c r="K445" s="318"/>
      <c r="L445" s="318"/>
      <c r="M445" s="318"/>
      <c r="N445" s="318"/>
      <c r="O445" s="318"/>
      <c r="P445" s="318"/>
      <c r="Q445" s="318"/>
      <c r="R445" s="318"/>
      <c r="S445" s="318"/>
      <c r="T445" s="318"/>
    </row>
    <row r="446" spans="2:22" ht="18.75">
      <c r="B446" s="316"/>
      <c r="F446" s="318"/>
      <c r="G446" s="501" t="s">
        <v>74</v>
      </c>
      <c r="H446" s="501"/>
      <c r="I446" s="501"/>
      <c r="J446" s="501"/>
      <c r="K446" s="501"/>
      <c r="L446" s="501"/>
      <c r="M446" s="501"/>
      <c r="N446" s="501"/>
      <c r="O446" s="501"/>
      <c r="P446" s="501"/>
      <c r="Q446" s="501"/>
      <c r="R446" s="501"/>
      <c r="S446" s="501"/>
      <c r="T446" s="318"/>
      <c r="U446" s="120">
        <v>8</v>
      </c>
      <c r="V446" s="120">
        <v>15</v>
      </c>
    </row>
    <row r="447" spans="2:22" ht="7.5" customHeight="1">
      <c r="F447" s="318"/>
      <c r="G447" s="502"/>
      <c r="H447" s="502"/>
      <c r="I447" s="502"/>
      <c r="J447" s="502"/>
      <c r="K447" s="502"/>
      <c r="L447" s="502"/>
      <c r="M447" s="502"/>
      <c r="N447" s="502"/>
      <c r="O447" s="502"/>
      <c r="P447" s="502"/>
      <c r="Q447" s="502"/>
      <c r="R447" s="502"/>
      <c r="S447" s="502"/>
      <c r="T447" s="318"/>
    </row>
    <row r="448" spans="2:22" ht="199.5" customHeight="1">
      <c r="F448" s="318"/>
      <c r="G448" s="320"/>
      <c r="H448" s="498" t="s">
        <v>367</v>
      </c>
      <c r="I448" s="498"/>
      <c r="J448" s="498"/>
      <c r="K448" s="498"/>
      <c r="L448" s="498"/>
      <c r="M448" s="498"/>
      <c r="N448" s="498"/>
      <c r="O448" s="498"/>
      <c r="P448" s="498"/>
      <c r="Q448" s="498"/>
      <c r="R448" s="498"/>
      <c r="S448" s="321"/>
      <c r="T448" s="318"/>
    </row>
    <row r="449" spans="2:22">
      <c r="F449" s="318"/>
      <c r="G449" s="318"/>
      <c r="H449" s="318"/>
      <c r="I449" s="318"/>
      <c r="J449" s="318"/>
      <c r="K449" s="318"/>
      <c r="L449" s="318"/>
      <c r="M449" s="318"/>
      <c r="N449" s="318"/>
      <c r="O449" s="318"/>
      <c r="P449" s="318"/>
      <c r="Q449" s="318"/>
      <c r="R449" s="318"/>
      <c r="S449" s="318"/>
      <c r="T449" s="318"/>
    </row>
    <row r="450" spans="2:22" ht="320.10000000000002" customHeight="1">
      <c r="F450" s="318"/>
      <c r="G450" s="318"/>
      <c r="H450" s="318"/>
      <c r="I450" s="318"/>
      <c r="J450" s="318"/>
      <c r="K450" s="318"/>
      <c r="L450" s="318"/>
      <c r="M450" s="318"/>
      <c r="N450" s="318"/>
      <c r="O450" s="318"/>
      <c r="P450" s="318"/>
      <c r="Q450" s="318"/>
      <c r="R450" s="318"/>
      <c r="S450" s="318"/>
      <c r="T450" s="318"/>
    </row>
    <row r="451" spans="2:22" ht="150" customHeight="1">
      <c r="F451" s="318"/>
      <c r="G451" s="318"/>
      <c r="H451" s="318"/>
      <c r="I451" s="318"/>
      <c r="J451" s="318"/>
      <c r="K451" s="318"/>
      <c r="L451" s="318"/>
      <c r="M451" s="318"/>
      <c r="N451" s="318"/>
      <c r="O451" s="318"/>
      <c r="P451" s="318"/>
      <c r="Q451" s="318"/>
      <c r="R451" s="318"/>
      <c r="S451" s="318"/>
      <c r="T451" s="318"/>
    </row>
    <row r="452" spans="2:22" ht="18.75">
      <c r="B452" s="316"/>
      <c r="F452" s="318"/>
      <c r="G452" s="501" t="s">
        <v>381</v>
      </c>
      <c r="H452" s="501"/>
      <c r="I452" s="501"/>
      <c r="J452" s="501"/>
      <c r="K452" s="501"/>
      <c r="L452" s="501"/>
      <c r="M452" s="501"/>
      <c r="N452" s="501"/>
      <c r="O452" s="501"/>
      <c r="P452" s="501"/>
      <c r="Q452" s="501"/>
      <c r="R452" s="501"/>
      <c r="S452" s="501"/>
      <c r="T452" s="318"/>
      <c r="U452" s="120">
        <v>8</v>
      </c>
      <c r="V452" s="120">
        <v>16</v>
      </c>
    </row>
    <row r="453" spans="2:22" ht="7.5" customHeight="1">
      <c r="F453" s="318"/>
      <c r="G453" s="502"/>
      <c r="H453" s="502"/>
      <c r="I453" s="502"/>
      <c r="J453" s="502"/>
      <c r="K453" s="502"/>
      <c r="L453" s="502"/>
      <c r="M453" s="502"/>
      <c r="N453" s="502"/>
      <c r="O453" s="502"/>
      <c r="P453" s="502"/>
      <c r="Q453" s="502"/>
      <c r="R453" s="502"/>
      <c r="S453" s="502"/>
      <c r="T453" s="318"/>
    </row>
    <row r="454" spans="2:22" ht="206.25" customHeight="1">
      <c r="F454" s="318"/>
      <c r="G454" s="320"/>
      <c r="H454" s="498" t="s">
        <v>383</v>
      </c>
      <c r="I454" s="498"/>
      <c r="J454" s="498"/>
      <c r="K454" s="498"/>
      <c r="L454" s="498"/>
      <c r="M454" s="498"/>
      <c r="N454" s="498"/>
      <c r="O454" s="498"/>
      <c r="P454" s="498"/>
      <c r="Q454" s="498"/>
      <c r="R454" s="498"/>
      <c r="S454" s="321"/>
      <c r="T454" s="318"/>
    </row>
    <row r="455" spans="2:22">
      <c r="F455" s="318"/>
      <c r="G455" s="318"/>
      <c r="H455" s="318"/>
      <c r="I455" s="318"/>
      <c r="J455" s="318"/>
      <c r="K455" s="318"/>
      <c r="L455" s="318"/>
      <c r="M455" s="318"/>
      <c r="N455" s="318"/>
      <c r="O455" s="318"/>
      <c r="P455" s="318"/>
      <c r="Q455" s="318"/>
      <c r="R455" s="318"/>
      <c r="S455" s="318"/>
      <c r="T455" s="318"/>
    </row>
    <row r="456" spans="2:22" ht="320.10000000000002" customHeight="1">
      <c r="F456" s="318"/>
      <c r="G456" s="318"/>
      <c r="H456" s="318"/>
      <c r="I456" s="318"/>
      <c r="J456" s="318"/>
      <c r="K456" s="318"/>
      <c r="L456" s="318"/>
      <c r="M456" s="318"/>
      <c r="N456" s="318"/>
      <c r="O456" s="318"/>
      <c r="P456" s="318"/>
      <c r="Q456" s="318"/>
      <c r="R456" s="318"/>
      <c r="S456" s="318"/>
      <c r="T456" s="318"/>
    </row>
    <row r="457" spans="2:22" ht="150" customHeight="1">
      <c r="F457" s="318"/>
      <c r="G457" s="318"/>
      <c r="H457" s="318"/>
      <c r="I457" s="318"/>
      <c r="J457" s="318"/>
      <c r="K457" s="318"/>
      <c r="L457" s="318"/>
      <c r="M457" s="318"/>
      <c r="N457" s="318"/>
      <c r="O457" s="318"/>
      <c r="P457" s="318"/>
      <c r="Q457" s="318"/>
      <c r="R457" s="318"/>
      <c r="S457" s="318"/>
      <c r="T457" s="318"/>
    </row>
    <row r="458" spans="2:22" ht="18.75">
      <c r="B458" s="316"/>
      <c r="F458" s="318"/>
      <c r="G458" s="501" t="s">
        <v>380</v>
      </c>
      <c r="H458" s="501"/>
      <c r="I458" s="501"/>
      <c r="J458" s="501"/>
      <c r="K458" s="501"/>
      <c r="L458" s="501"/>
      <c r="M458" s="501"/>
      <c r="N458" s="501"/>
      <c r="O458" s="501"/>
      <c r="P458" s="501"/>
      <c r="Q458" s="501"/>
      <c r="R458" s="501"/>
      <c r="S458" s="501"/>
      <c r="T458" s="318"/>
      <c r="U458" s="120">
        <v>8</v>
      </c>
      <c r="V458" s="120">
        <v>17</v>
      </c>
    </row>
    <row r="459" spans="2:22" ht="7.5" customHeight="1">
      <c r="F459" s="318"/>
      <c r="G459" s="502"/>
      <c r="H459" s="502"/>
      <c r="I459" s="502"/>
      <c r="J459" s="502"/>
      <c r="K459" s="502"/>
      <c r="L459" s="502"/>
      <c r="M459" s="502"/>
      <c r="N459" s="502"/>
      <c r="O459" s="502"/>
      <c r="P459" s="502"/>
      <c r="Q459" s="502"/>
      <c r="R459" s="502"/>
      <c r="S459" s="502"/>
      <c r="T459" s="318"/>
    </row>
    <row r="460" spans="2:22" ht="253.5" customHeight="1">
      <c r="F460" s="318"/>
      <c r="G460" s="320"/>
      <c r="H460" s="498" t="s">
        <v>382</v>
      </c>
      <c r="I460" s="498"/>
      <c r="J460" s="498"/>
      <c r="K460" s="498"/>
      <c r="L460" s="498"/>
      <c r="M460" s="498"/>
      <c r="N460" s="498"/>
      <c r="O460" s="498"/>
      <c r="P460" s="498"/>
      <c r="Q460" s="498"/>
      <c r="R460" s="498"/>
      <c r="S460" s="321"/>
      <c r="T460" s="318"/>
    </row>
    <row r="461" spans="2:22">
      <c r="F461" s="318"/>
      <c r="G461" s="318"/>
      <c r="H461" s="318"/>
      <c r="I461" s="318"/>
      <c r="J461" s="318"/>
      <c r="K461" s="318"/>
      <c r="L461" s="318"/>
      <c r="M461" s="318"/>
      <c r="N461" s="318"/>
      <c r="O461" s="318"/>
      <c r="P461" s="318"/>
      <c r="Q461" s="318"/>
      <c r="R461" s="318"/>
      <c r="S461" s="318"/>
      <c r="T461" s="318"/>
    </row>
    <row r="462" spans="2:22" ht="320.10000000000002" customHeight="1">
      <c r="F462" s="318"/>
      <c r="G462" s="318"/>
      <c r="H462" s="318"/>
      <c r="I462" s="318"/>
      <c r="J462" s="318"/>
      <c r="K462" s="318"/>
      <c r="L462" s="318"/>
      <c r="M462" s="318"/>
      <c r="N462" s="318"/>
      <c r="O462" s="318"/>
      <c r="P462" s="318"/>
      <c r="Q462" s="318"/>
      <c r="R462" s="318"/>
      <c r="S462" s="318"/>
      <c r="T462" s="318"/>
    </row>
    <row r="463" spans="2:22" ht="150" customHeight="1">
      <c r="F463" s="318"/>
      <c r="G463" s="318"/>
      <c r="H463" s="318"/>
      <c r="I463" s="318"/>
      <c r="J463" s="318"/>
      <c r="K463" s="318"/>
      <c r="L463" s="318"/>
      <c r="M463" s="318"/>
      <c r="N463" s="318"/>
      <c r="O463" s="318"/>
      <c r="P463" s="318"/>
      <c r="Q463" s="318"/>
      <c r="R463" s="318"/>
      <c r="S463" s="318"/>
      <c r="T463" s="318"/>
    </row>
    <row r="464" spans="2:22" ht="18.75">
      <c r="B464" s="316"/>
      <c r="F464" s="318"/>
      <c r="G464" s="501" t="s">
        <v>393</v>
      </c>
      <c r="H464" s="501"/>
      <c r="I464" s="501"/>
      <c r="J464" s="501"/>
      <c r="K464" s="501"/>
      <c r="L464" s="501"/>
      <c r="M464" s="501"/>
      <c r="N464" s="501"/>
      <c r="O464" s="501"/>
      <c r="P464" s="501"/>
      <c r="Q464" s="501"/>
      <c r="R464" s="501"/>
      <c r="S464" s="501"/>
      <c r="T464" s="318"/>
      <c r="U464" s="120">
        <v>9</v>
      </c>
    </row>
    <row r="465" spans="2:22" ht="7.5" customHeight="1">
      <c r="F465" s="318"/>
      <c r="G465" s="502"/>
      <c r="H465" s="502"/>
      <c r="I465" s="502"/>
      <c r="J465" s="502"/>
      <c r="K465" s="502"/>
      <c r="L465" s="502"/>
      <c r="M465" s="502"/>
      <c r="N465" s="502"/>
      <c r="O465" s="502"/>
      <c r="P465" s="502"/>
      <c r="Q465" s="502"/>
      <c r="R465" s="502"/>
      <c r="S465" s="502"/>
      <c r="T465" s="318"/>
    </row>
    <row r="466" spans="2:22" ht="50.25" customHeight="1">
      <c r="F466" s="318"/>
      <c r="G466" s="320"/>
      <c r="H466" s="498" t="s">
        <v>416</v>
      </c>
      <c r="I466" s="498"/>
      <c r="J466" s="498"/>
      <c r="K466" s="498"/>
      <c r="L466" s="498"/>
      <c r="M466" s="498"/>
      <c r="N466" s="498"/>
      <c r="O466" s="498"/>
      <c r="P466" s="498"/>
      <c r="Q466" s="498"/>
      <c r="R466" s="498"/>
      <c r="S466" s="321"/>
      <c r="T466" s="318"/>
    </row>
    <row r="467" spans="2:22">
      <c r="F467" s="318"/>
      <c r="G467" s="318"/>
      <c r="H467" s="318"/>
      <c r="I467" s="318"/>
      <c r="J467" s="318"/>
      <c r="K467" s="318"/>
      <c r="L467" s="318"/>
      <c r="M467" s="318"/>
      <c r="N467" s="318"/>
      <c r="O467" s="318"/>
      <c r="P467" s="318"/>
      <c r="Q467" s="318"/>
      <c r="R467" s="318"/>
      <c r="S467" s="318"/>
      <c r="T467" s="318"/>
    </row>
    <row r="468" spans="2:22" ht="320.10000000000002" customHeight="1">
      <c r="F468" s="318"/>
      <c r="G468" s="318"/>
      <c r="H468" s="318"/>
      <c r="I468" s="318"/>
      <c r="J468" s="318"/>
      <c r="K468" s="318"/>
      <c r="L468" s="318"/>
      <c r="M468" s="318"/>
      <c r="N468" s="318"/>
      <c r="O468" s="318"/>
      <c r="P468" s="318"/>
      <c r="Q468" s="318"/>
      <c r="R468" s="318"/>
      <c r="S468" s="318"/>
      <c r="T468" s="318"/>
    </row>
    <row r="469" spans="2:22" ht="150" customHeight="1">
      <c r="F469" s="318"/>
      <c r="G469" s="318"/>
      <c r="H469" s="318"/>
      <c r="I469" s="318"/>
      <c r="J469" s="318"/>
      <c r="K469" s="318"/>
      <c r="L469" s="318"/>
      <c r="M469" s="318"/>
      <c r="N469" s="318"/>
      <c r="O469" s="318"/>
      <c r="P469" s="318"/>
      <c r="Q469" s="318"/>
      <c r="R469" s="318"/>
      <c r="S469" s="318"/>
      <c r="T469" s="318"/>
    </row>
    <row r="470" spans="2:22" ht="18.75">
      <c r="B470" s="316"/>
      <c r="F470" s="318"/>
      <c r="G470" s="501" t="s">
        <v>417</v>
      </c>
      <c r="H470" s="501"/>
      <c r="I470" s="501"/>
      <c r="J470" s="501"/>
      <c r="K470" s="501"/>
      <c r="L470" s="501"/>
      <c r="M470" s="501"/>
      <c r="N470" s="501"/>
      <c r="O470" s="501"/>
      <c r="P470" s="501"/>
      <c r="Q470" s="501"/>
      <c r="R470" s="501"/>
      <c r="S470" s="501"/>
      <c r="T470" s="318"/>
      <c r="U470" s="120">
        <v>9</v>
      </c>
      <c r="V470" s="120">
        <v>1</v>
      </c>
    </row>
    <row r="471" spans="2:22" ht="7.5" customHeight="1">
      <c r="F471" s="318"/>
      <c r="G471" s="502"/>
      <c r="H471" s="502"/>
      <c r="I471" s="502"/>
      <c r="J471" s="502"/>
      <c r="K471" s="502"/>
      <c r="L471" s="502"/>
      <c r="M471" s="502"/>
      <c r="N471" s="502"/>
      <c r="O471" s="502"/>
      <c r="P471" s="502"/>
      <c r="Q471" s="502"/>
      <c r="R471" s="502"/>
      <c r="S471" s="502"/>
      <c r="T471" s="318"/>
    </row>
    <row r="472" spans="2:22" ht="70.5" customHeight="1">
      <c r="F472" s="318"/>
      <c r="G472" s="320"/>
      <c r="H472" s="498" t="s">
        <v>418</v>
      </c>
      <c r="I472" s="498"/>
      <c r="J472" s="498"/>
      <c r="K472" s="498"/>
      <c r="L472" s="498"/>
      <c r="M472" s="498"/>
      <c r="N472" s="498"/>
      <c r="O472" s="498"/>
      <c r="P472" s="498"/>
      <c r="Q472" s="498"/>
      <c r="R472" s="498"/>
      <c r="S472" s="321"/>
      <c r="T472" s="318"/>
    </row>
    <row r="473" spans="2:22">
      <c r="F473" s="318"/>
      <c r="G473" s="318"/>
      <c r="H473" s="318"/>
      <c r="I473" s="318"/>
      <c r="J473" s="318"/>
      <c r="K473" s="318"/>
      <c r="L473" s="318"/>
      <c r="M473" s="318"/>
      <c r="N473" s="318"/>
      <c r="O473" s="318"/>
      <c r="P473" s="318"/>
      <c r="Q473" s="318"/>
      <c r="R473" s="318"/>
      <c r="S473" s="318"/>
      <c r="T473" s="318"/>
    </row>
    <row r="474" spans="2:22" ht="320.10000000000002" customHeight="1">
      <c r="F474" s="318"/>
      <c r="G474" s="318"/>
      <c r="H474" s="318"/>
      <c r="I474" s="318"/>
      <c r="J474" s="318"/>
      <c r="K474" s="318"/>
      <c r="L474" s="318"/>
      <c r="M474" s="318"/>
      <c r="N474" s="318"/>
      <c r="O474" s="318"/>
      <c r="P474" s="318"/>
      <c r="Q474" s="318"/>
      <c r="R474" s="318"/>
      <c r="S474" s="318"/>
      <c r="T474" s="318"/>
    </row>
    <row r="475" spans="2:22" ht="150" customHeight="1">
      <c r="F475" s="318"/>
      <c r="G475" s="318"/>
      <c r="H475" s="318"/>
      <c r="I475" s="318"/>
      <c r="J475" s="318"/>
      <c r="K475" s="318"/>
      <c r="L475" s="318"/>
      <c r="M475" s="318"/>
      <c r="N475" s="318"/>
      <c r="O475" s="318"/>
      <c r="P475" s="318"/>
      <c r="Q475" s="318"/>
      <c r="R475" s="318"/>
      <c r="S475" s="318"/>
      <c r="T475" s="318"/>
    </row>
    <row r="476" spans="2:22" ht="18.75">
      <c r="B476" s="316"/>
      <c r="F476" s="318"/>
      <c r="G476" s="501" t="s">
        <v>419</v>
      </c>
      <c r="H476" s="501"/>
      <c r="I476" s="501"/>
      <c r="J476" s="501"/>
      <c r="K476" s="501"/>
      <c r="L476" s="501"/>
      <c r="M476" s="501"/>
      <c r="N476" s="501"/>
      <c r="O476" s="501"/>
      <c r="P476" s="501"/>
      <c r="Q476" s="501"/>
      <c r="R476" s="501"/>
      <c r="S476" s="501"/>
      <c r="T476" s="318"/>
      <c r="U476" s="120">
        <v>9</v>
      </c>
      <c r="V476" s="120">
        <v>2</v>
      </c>
    </row>
    <row r="477" spans="2:22" ht="7.5" customHeight="1">
      <c r="F477" s="318"/>
      <c r="G477" s="502"/>
      <c r="H477" s="502"/>
      <c r="I477" s="502"/>
      <c r="J477" s="502"/>
      <c r="K477" s="502"/>
      <c r="L477" s="502"/>
      <c r="M477" s="502"/>
      <c r="N477" s="502"/>
      <c r="O477" s="502"/>
      <c r="P477" s="502"/>
      <c r="Q477" s="502"/>
      <c r="R477" s="502"/>
      <c r="S477" s="502"/>
      <c r="T477" s="318"/>
    </row>
    <row r="478" spans="2:22" ht="50.25" customHeight="1">
      <c r="F478" s="318"/>
      <c r="G478" s="320"/>
      <c r="H478" s="498" t="s">
        <v>297</v>
      </c>
      <c r="I478" s="498"/>
      <c r="J478" s="498"/>
      <c r="K478" s="498"/>
      <c r="L478" s="498"/>
      <c r="M478" s="498"/>
      <c r="N478" s="498"/>
      <c r="O478" s="498"/>
      <c r="P478" s="498"/>
      <c r="Q478" s="498"/>
      <c r="R478" s="498"/>
      <c r="S478" s="321"/>
      <c r="T478" s="318"/>
    </row>
    <row r="479" spans="2:22">
      <c r="F479" s="318"/>
      <c r="G479" s="318"/>
      <c r="H479" s="318"/>
      <c r="I479" s="318"/>
      <c r="J479" s="318"/>
      <c r="K479" s="318"/>
      <c r="L479" s="318"/>
      <c r="M479" s="318"/>
      <c r="N479" s="318"/>
      <c r="O479" s="318"/>
      <c r="P479" s="318"/>
      <c r="Q479" s="318"/>
      <c r="R479" s="318"/>
      <c r="S479" s="318"/>
      <c r="T479" s="318"/>
    </row>
    <row r="480" spans="2:22" ht="320.10000000000002" customHeight="1">
      <c r="F480" s="318"/>
      <c r="G480" s="318"/>
      <c r="H480" s="318"/>
      <c r="I480" s="318"/>
      <c r="J480" s="318"/>
      <c r="K480" s="318"/>
      <c r="L480" s="318"/>
      <c r="M480" s="318"/>
      <c r="N480" s="318"/>
      <c r="O480" s="318"/>
      <c r="P480" s="318"/>
      <c r="Q480" s="318"/>
      <c r="R480" s="318"/>
      <c r="S480" s="318"/>
      <c r="T480" s="318"/>
    </row>
    <row r="481" spans="2:22" ht="150" customHeight="1">
      <c r="F481" s="318"/>
      <c r="G481" s="318"/>
      <c r="H481" s="318"/>
      <c r="I481" s="318"/>
      <c r="J481" s="318"/>
      <c r="K481" s="318"/>
      <c r="L481" s="318"/>
      <c r="M481" s="318"/>
      <c r="N481" s="318"/>
      <c r="O481" s="318"/>
      <c r="P481" s="318"/>
      <c r="Q481" s="318"/>
      <c r="R481" s="318"/>
      <c r="S481" s="318"/>
      <c r="T481" s="318"/>
    </row>
    <row r="482" spans="2:22" ht="18.75">
      <c r="B482" s="316"/>
      <c r="F482" s="318"/>
      <c r="G482" s="501" t="s">
        <v>420</v>
      </c>
      <c r="H482" s="501"/>
      <c r="I482" s="501"/>
      <c r="J482" s="501"/>
      <c r="K482" s="501"/>
      <c r="L482" s="501"/>
      <c r="M482" s="501"/>
      <c r="N482" s="501"/>
      <c r="O482" s="501"/>
      <c r="P482" s="501"/>
      <c r="Q482" s="501"/>
      <c r="R482" s="501"/>
      <c r="S482" s="501"/>
      <c r="T482" s="318"/>
      <c r="U482" s="120">
        <v>9</v>
      </c>
      <c r="V482" s="120">
        <v>3</v>
      </c>
    </row>
    <row r="483" spans="2:22" ht="7.5" customHeight="1">
      <c r="F483" s="318"/>
      <c r="G483" s="502"/>
      <c r="H483" s="502"/>
      <c r="I483" s="502"/>
      <c r="J483" s="502"/>
      <c r="K483" s="502"/>
      <c r="L483" s="502"/>
      <c r="M483" s="502"/>
      <c r="N483" s="502"/>
      <c r="O483" s="502"/>
      <c r="P483" s="502"/>
      <c r="Q483" s="502"/>
      <c r="R483" s="502"/>
      <c r="S483" s="502"/>
      <c r="T483" s="318"/>
    </row>
    <row r="484" spans="2:22" ht="50.25" customHeight="1">
      <c r="F484" s="318"/>
      <c r="G484" s="320"/>
      <c r="H484" s="498" t="s">
        <v>297</v>
      </c>
      <c r="I484" s="498"/>
      <c r="J484" s="498"/>
      <c r="K484" s="498"/>
      <c r="L484" s="498"/>
      <c r="M484" s="498"/>
      <c r="N484" s="498"/>
      <c r="O484" s="498"/>
      <c r="P484" s="498"/>
      <c r="Q484" s="498"/>
      <c r="R484" s="498"/>
      <c r="S484" s="321"/>
      <c r="T484" s="318"/>
    </row>
    <row r="485" spans="2:22">
      <c r="F485" s="318"/>
      <c r="G485" s="318"/>
      <c r="H485" s="318"/>
      <c r="I485" s="318"/>
      <c r="J485" s="318"/>
      <c r="K485" s="318"/>
      <c r="L485" s="318"/>
      <c r="M485" s="318"/>
      <c r="N485" s="318"/>
      <c r="O485" s="318"/>
      <c r="P485" s="318"/>
      <c r="Q485" s="318"/>
      <c r="R485" s="318"/>
      <c r="S485" s="318"/>
      <c r="T485" s="318"/>
    </row>
    <row r="486" spans="2:22" ht="320.10000000000002" customHeight="1">
      <c r="F486" s="318"/>
      <c r="G486" s="318"/>
      <c r="H486" s="318"/>
      <c r="I486" s="318"/>
      <c r="J486" s="318"/>
      <c r="K486" s="318"/>
      <c r="L486" s="318"/>
      <c r="M486" s="318"/>
      <c r="N486" s="318"/>
      <c r="O486" s="318"/>
      <c r="P486" s="318"/>
      <c r="Q486" s="318"/>
      <c r="R486" s="318"/>
      <c r="S486" s="318"/>
      <c r="T486" s="318"/>
    </row>
    <row r="487" spans="2:22" ht="150" customHeight="1">
      <c r="F487" s="318"/>
      <c r="G487" s="318"/>
      <c r="H487" s="318"/>
      <c r="I487" s="318"/>
      <c r="J487" s="318"/>
      <c r="K487" s="318"/>
      <c r="L487" s="318"/>
      <c r="M487" s="318"/>
      <c r="N487" s="318"/>
      <c r="O487" s="318"/>
      <c r="P487" s="318"/>
      <c r="Q487" s="318"/>
      <c r="R487" s="318"/>
      <c r="S487" s="318"/>
      <c r="T487" s="318"/>
    </row>
    <row r="488" spans="2:22" ht="18.75">
      <c r="B488" s="316"/>
      <c r="F488" s="318"/>
      <c r="G488" s="501" t="s">
        <v>421</v>
      </c>
      <c r="H488" s="501"/>
      <c r="I488" s="501"/>
      <c r="J488" s="501"/>
      <c r="K488" s="501"/>
      <c r="L488" s="501"/>
      <c r="M488" s="501"/>
      <c r="N488" s="501"/>
      <c r="O488" s="501"/>
      <c r="P488" s="501"/>
      <c r="Q488" s="501"/>
      <c r="R488" s="501"/>
      <c r="S488" s="501"/>
      <c r="T488" s="318"/>
      <c r="U488" s="120">
        <v>9</v>
      </c>
      <c r="V488" s="120">
        <v>4</v>
      </c>
    </row>
    <row r="489" spans="2:22" ht="7.5" customHeight="1">
      <c r="F489" s="318"/>
      <c r="G489" s="502"/>
      <c r="H489" s="502"/>
      <c r="I489" s="502"/>
      <c r="J489" s="502"/>
      <c r="K489" s="502"/>
      <c r="L489" s="502"/>
      <c r="M489" s="502"/>
      <c r="N489" s="502"/>
      <c r="O489" s="502"/>
      <c r="P489" s="502"/>
      <c r="Q489" s="502"/>
      <c r="R489" s="502"/>
      <c r="S489" s="502"/>
      <c r="T489" s="318"/>
    </row>
    <row r="490" spans="2:22" ht="50.25" customHeight="1">
      <c r="F490" s="318"/>
      <c r="G490" s="320"/>
      <c r="H490" s="498" t="s">
        <v>297</v>
      </c>
      <c r="I490" s="498"/>
      <c r="J490" s="498"/>
      <c r="K490" s="498"/>
      <c r="L490" s="498"/>
      <c r="M490" s="498"/>
      <c r="N490" s="498"/>
      <c r="O490" s="498"/>
      <c r="P490" s="498"/>
      <c r="Q490" s="498"/>
      <c r="R490" s="498"/>
      <c r="S490" s="321"/>
      <c r="T490" s="318"/>
    </row>
    <row r="491" spans="2:22">
      <c r="F491" s="318"/>
      <c r="G491" s="318"/>
      <c r="H491" s="318"/>
      <c r="I491" s="318"/>
      <c r="J491" s="318"/>
      <c r="K491" s="318"/>
      <c r="L491" s="318"/>
      <c r="M491" s="318"/>
      <c r="N491" s="318"/>
      <c r="O491" s="318"/>
      <c r="P491" s="318"/>
      <c r="Q491" s="318"/>
      <c r="R491" s="318"/>
      <c r="S491" s="318"/>
      <c r="T491" s="318"/>
    </row>
    <row r="492" spans="2:22" ht="320.10000000000002" customHeight="1">
      <c r="F492" s="318"/>
      <c r="G492" s="318"/>
      <c r="H492" s="318"/>
      <c r="I492" s="318"/>
      <c r="J492" s="318"/>
      <c r="K492" s="318"/>
      <c r="L492" s="318"/>
      <c r="M492" s="318"/>
      <c r="N492" s="318"/>
      <c r="O492" s="318"/>
      <c r="P492" s="318"/>
      <c r="Q492" s="318"/>
      <c r="R492" s="318"/>
      <c r="S492" s="318"/>
      <c r="T492" s="318"/>
    </row>
    <row r="493" spans="2:22" ht="150" customHeight="1">
      <c r="F493" s="318"/>
      <c r="G493" s="318"/>
      <c r="H493" s="318"/>
      <c r="I493" s="318"/>
      <c r="J493" s="318"/>
      <c r="K493" s="318"/>
      <c r="L493" s="318"/>
      <c r="M493" s="318"/>
      <c r="N493" s="318"/>
      <c r="O493" s="318"/>
      <c r="P493" s="318"/>
      <c r="Q493" s="318"/>
      <c r="R493" s="318"/>
      <c r="S493" s="318"/>
      <c r="T493" s="318"/>
    </row>
    <row r="494" spans="2:22" ht="18.75">
      <c r="B494" s="316"/>
      <c r="F494" s="318"/>
      <c r="G494" s="501" t="s">
        <v>422</v>
      </c>
      <c r="H494" s="501"/>
      <c r="I494" s="501"/>
      <c r="J494" s="501"/>
      <c r="K494" s="501"/>
      <c r="L494" s="501"/>
      <c r="M494" s="501"/>
      <c r="N494" s="501"/>
      <c r="O494" s="501"/>
      <c r="P494" s="501"/>
      <c r="Q494" s="501"/>
      <c r="R494" s="501"/>
      <c r="S494" s="501"/>
      <c r="T494" s="318"/>
      <c r="U494" s="120">
        <v>9</v>
      </c>
      <c r="V494" s="120">
        <v>5</v>
      </c>
    </row>
    <row r="495" spans="2:22" ht="7.5" customHeight="1">
      <c r="F495" s="318"/>
      <c r="G495" s="502"/>
      <c r="H495" s="502"/>
      <c r="I495" s="502"/>
      <c r="J495" s="502"/>
      <c r="K495" s="502"/>
      <c r="L495" s="502"/>
      <c r="M495" s="502"/>
      <c r="N495" s="502"/>
      <c r="O495" s="502"/>
      <c r="P495" s="502"/>
      <c r="Q495" s="502"/>
      <c r="R495" s="502"/>
      <c r="S495" s="502"/>
      <c r="T495" s="318"/>
    </row>
    <row r="496" spans="2:22" ht="50.25" customHeight="1">
      <c r="F496" s="318"/>
      <c r="G496" s="320"/>
      <c r="H496" s="498" t="s">
        <v>297</v>
      </c>
      <c r="I496" s="498"/>
      <c r="J496" s="498"/>
      <c r="K496" s="498"/>
      <c r="L496" s="498"/>
      <c r="M496" s="498"/>
      <c r="N496" s="498"/>
      <c r="O496" s="498"/>
      <c r="P496" s="498"/>
      <c r="Q496" s="498"/>
      <c r="R496" s="498"/>
      <c r="S496" s="321"/>
      <c r="T496" s="318"/>
    </row>
    <row r="497" spans="2:22">
      <c r="F497" s="318"/>
      <c r="G497" s="318"/>
      <c r="H497" s="318"/>
      <c r="I497" s="318"/>
      <c r="J497" s="318"/>
      <c r="K497" s="318"/>
      <c r="L497" s="318"/>
      <c r="M497" s="318"/>
      <c r="N497" s="318"/>
      <c r="O497" s="318"/>
      <c r="P497" s="318"/>
      <c r="Q497" s="318"/>
      <c r="R497" s="318"/>
      <c r="S497" s="318"/>
      <c r="T497" s="318"/>
    </row>
    <row r="498" spans="2:22" ht="320.10000000000002" customHeight="1">
      <c r="F498" s="318"/>
      <c r="G498" s="318"/>
      <c r="H498" s="318"/>
      <c r="I498" s="318"/>
      <c r="J498" s="318"/>
      <c r="K498" s="318"/>
      <c r="L498" s="318"/>
      <c r="M498" s="318"/>
      <c r="N498" s="318"/>
      <c r="O498" s="318"/>
      <c r="P498" s="318"/>
      <c r="Q498" s="318"/>
      <c r="R498" s="318"/>
      <c r="S498" s="318"/>
      <c r="T498" s="318"/>
    </row>
    <row r="499" spans="2:22" ht="150" customHeight="1">
      <c r="F499" s="318"/>
      <c r="G499" s="318"/>
      <c r="H499" s="318"/>
      <c r="I499" s="318"/>
      <c r="J499" s="318"/>
      <c r="K499" s="318"/>
      <c r="L499" s="318"/>
      <c r="M499" s="318"/>
      <c r="N499" s="318"/>
      <c r="O499" s="318"/>
      <c r="P499" s="318"/>
      <c r="Q499" s="318"/>
      <c r="R499" s="318"/>
      <c r="S499" s="318"/>
      <c r="T499" s="318"/>
    </row>
    <row r="500" spans="2:22" ht="18.75">
      <c r="B500" s="316"/>
      <c r="F500" s="318"/>
      <c r="G500" s="501" t="s">
        <v>423</v>
      </c>
      <c r="H500" s="501"/>
      <c r="I500" s="501"/>
      <c r="J500" s="501"/>
      <c r="K500" s="501"/>
      <c r="L500" s="501"/>
      <c r="M500" s="501"/>
      <c r="N500" s="501"/>
      <c r="O500" s="501"/>
      <c r="P500" s="501"/>
      <c r="Q500" s="501"/>
      <c r="R500" s="501"/>
      <c r="S500" s="501"/>
      <c r="T500" s="318"/>
      <c r="U500" s="120">
        <v>9</v>
      </c>
      <c r="V500" s="120">
        <v>6</v>
      </c>
    </row>
    <row r="501" spans="2:22" ht="7.5" customHeight="1">
      <c r="F501" s="318"/>
      <c r="G501" s="502"/>
      <c r="H501" s="502"/>
      <c r="I501" s="502"/>
      <c r="J501" s="502"/>
      <c r="K501" s="502"/>
      <c r="L501" s="502"/>
      <c r="M501" s="502"/>
      <c r="N501" s="502"/>
      <c r="O501" s="502"/>
      <c r="P501" s="502"/>
      <c r="Q501" s="502"/>
      <c r="R501" s="502"/>
      <c r="S501" s="502"/>
      <c r="T501" s="318"/>
    </row>
    <row r="502" spans="2:22" ht="50.25" customHeight="1">
      <c r="F502" s="318"/>
      <c r="G502" s="320"/>
      <c r="H502" s="498" t="s">
        <v>297</v>
      </c>
      <c r="I502" s="498"/>
      <c r="J502" s="498"/>
      <c r="K502" s="498"/>
      <c r="L502" s="498"/>
      <c r="M502" s="498"/>
      <c r="N502" s="498"/>
      <c r="O502" s="498"/>
      <c r="P502" s="498"/>
      <c r="Q502" s="498"/>
      <c r="R502" s="498"/>
      <c r="S502" s="321"/>
      <c r="T502" s="318"/>
    </row>
    <row r="503" spans="2:22">
      <c r="F503" s="318"/>
      <c r="G503" s="318"/>
      <c r="H503" s="318"/>
      <c r="I503" s="318"/>
      <c r="J503" s="318"/>
      <c r="K503" s="318"/>
      <c r="L503" s="318"/>
      <c r="M503" s="318"/>
      <c r="N503" s="318"/>
      <c r="O503" s="318"/>
      <c r="P503" s="318"/>
      <c r="Q503" s="318"/>
      <c r="R503" s="318"/>
      <c r="S503" s="318"/>
      <c r="T503" s="318"/>
    </row>
    <row r="504" spans="2:22" ht="320.10000000000002" customHeight="1">
      <c r="F504" s="318"/>
      <c r="G504" s="318"/>
      <c r="H504" s="318"/>
      <c r="I504" s="318"/>
      <c r="J504" s="318"/>
      <c r="K504" s="318"/>
      <c r="L504" s="318"/>
      <c r="M504" s="318"/>
      <c r="N504" s="318"/>
      <c r="O504" s="318"/>
      <c r="P504" s="318"/>
      <c r="Q504" s="318"/>
      <c r="R504" s="318"/>
      <c r="S504" s="318"/>
      <c r="T504" s="318"/>
    </row>
    <row r="505" spans="2:22" ht="150" customHeight="1">
      <c r="F505" s="318"/>
      <c r="G505" s="318"/>
      <c r="H505" s="318"/>
      <c r="I505" s="318"/>
      <c r="J505" s="318"/>
      <c r="K505" s="318"/>
      <c r="L505" s="318"/>
      <c r="M505" s="318"/>
      <c r="N505" s="318"/>
      <c r="O505" s="318"/>
      <c r="P505" s="318"/>
      <c r="Q505" s="318"/>
      <c r="R505" s="318"/>
      <c r="S505" s="318"/>
      <c r="T505" s="318"/>
    </row>
    <row r="506" spans="2:22" ht="18.75">
      <c r="B506" s="316"/>
      <c r="F506" s="318"/>
      <c r="G506" s="501" t="s">
        <v>424</v>
      </c>
      <c r="H506" s="501"/>
      <c r="I506" s="501"/>
      <c r="J506" s="501"/>
      <c r="K506" s="501"/>
      <c r="L506" s="501"/>
      <c r="M506" s="501"/>
      <c r="N506" s="501"/>
      <c r="O506" s="501"/>
      <c r="P506" s="501"/>
      <c r="Q506" s="501"/>
      <c r="R506" s="501"/>
      <c r="S506" s="501"/>
      <c r="T506" s="318"/>
      <c r="U506" s="120">
        <v>9</v>
      </c>
      <c r="V506" s="120">
        <v>7</v>
      </c>
    </row>
    <row r="507" spans="2:22" ht="7.5" customHeight="1">
      <c r="F507" s="318"/>
      <c r="G507" s="502"/>
      <c r="H507" s="502"/>
      <c r="I507" s="502"/>
      <c r="J507" s="502"/>
      <c r="K507" s="502"/>
      <c r="L507" s="502"/>
      <c r="M507" s="502"/>
      <c r="N507" s="502"/>
      <c r="O507" s="502"/>
      <c r="P507" s="502"/>
      <c r="Q507" s="502"/>
      <c r="R507" s="502"/>
      <c r="S507" s="502"/>
      <c r="T507" s="318"/>
    </row>
    <row r="508" spans="2:22" ht="50.25" customHeight="1">
      <c r="F508" s="318"/>
      <c r="G508" s="320"/>
      <c r="H508" s="498" t="s">
        <v>297</v>
      </c>
      <c r="I508" s="498"/>
      <c r="J508" s="498"/>
      <c r="K508" s="498"/>
      <c r="L508" s="498"/>
      <c r="M508" s="498"/>
      <c r="N508" s="498"/>
      <c r="O508" s="498"/>
      <c r="P508" s="498"/>
      <c r="Q508" s="498"/>
      <c r="R508" s="498"/>
      <c r="S508" s="321"/>
      <c r="T508" s="318"/>
    </row>
    <row r="509" spans="2:22">
      <c r="F509" s="318"/>
      <c r="G509" s="318"/>
      <c r="H509" s="318"/>
      <c r="I509" s="318"/>
      <c r="J509" s="318"/>
      <c r="K509" s="318"/>
      <c r="L509" s="318"/>
      <c r="M509" s="318"/>
      <c r="N509" s="318"/>
      <c r="O509" s="318"/>
      <c r="P509" s="318"/>
      <c r="Q509" s="318"/>
      <c r="R509" s="318"/>
      <c r="S509" s="318"/>
      <c r="T509" s="318"/>
    </row>
    <row r="510" spans="2:22" ht="320.10000000000002" customHeight="1">
      <c r="F510" s="318"/>
      <c r="G510" s="318"/>
      <c r="H510" s="318"/>
      <c r="I510" s="318"/>
      <c r="J510" s="318"/>
      <c r="K510" s="318"/>
      <c r="L510" s="318"/>
      <c r="M510" s="318"/>
      <c r="N510" s="318"/>
      <c r="O510" s="318"/>
      <c r="P510" s="318"/>
      <c r="Q510" s="318"/>
      <c r="R510" s="318"/>
      <c r="S510" s="318"/>
      <c r="T510" s="318"/>
    </row>
    <row r="511" spans="2:22" ht="150" customHeight="1">
      <c r="F511" s="318"/>
      <c r="G511" s="318"/>
      <c r="H511" s="318"/>
      <c r="I511" s="318"/>
      <c r="J511" s="318"/>
      <c r="K511" s="318"/>
      <c r="L511" s="318"/>
      <c r="M511" s="318"/>
      <c r="N511" s="318"/>
      <c r="O511" s="318"/>
      <c r="P511" s="318"/>
      <c r="Q511" s="318"/>
      <c r="R511" s="318"/>
      <c r="S511" s="318"/>
      <c r="T511" s="318"/>
    </row>
    <row r="512" spans="2:22" ht="18.75">
      <c r="B512" s="316"/>
      <c r="F512" s="318"/>
      <c r="G512" s="501" t="s">
        <v>558</v>
      </c>
      <c r="H512" s="501"/>
      <c r="I512" s="501"/>
      <c r="J512" s="501"/>
      <c r="K512" s="501"/>
      <c r="L512" s="501"/>
      <c r="M512" s="501"/>
      <c r="N512" s="501"/>
      <c r="O512" s="501"/>
      <c r="P512" s="501"/>
      <c r="Q512" s="501"/>
      <c r="R512" s="501"/>
      <c r="S512" s="501"/>
      <c r="T512" s="318"/>
      <c r="U512" s="120">
        <v>9</v>
      </c>
      <c r="V512" s="120">
        <v>8</v>
      </c>
    </row>
    <row r="513" spans="2:22" ht="7.5" customHeight="1">
      <c r="F513" s="318"/>
      <c r="G513" s="502"/>
      <c r="H513" s="502"/>
      <c r="I513" s="502"/>
      <c r="J513" s="502"/>
      <c r="K513" s="502"/>
      <c r="L513" s="502"/>
      <c r="M513" s="502"/>
      <c r="N513" s="502"/>
      <c r="O513" s="502"/>
      <c r="P513" s="502"/>
      <c r="Q513" s="502"/>
      <c r="R513" s="502"/>
      <c r="S513" s="502"/>
      <c r="T513" s="318"/>
    </row>
    <row r="514" spans="2:22" ht="50.25" customHeight="1">
      <c r="F514" s="318"/>
      <c r="G514" s="320"/>
      <c r="H514" s="498" t="s">
        <v>297</v>
      </c>
      <c r="I514" s="498"/>
      <c r="J514" s="498"/>
      <c r="K514" s="498"/>
      <c r="L514" s="498"/>
      <c r="M514" s="498"/>
      <c r="N514" s="498"/>
      <c r="O514" s="498"/>
      <c r="P514" s="498"/>
      <c r="Q514" s="498"/>
      <c r="R514" s="498"/>
      <c r="S514" s="321"/>
      <c r="T514" s="318"/>
    </row>
    <row r="515" spans="2:22">
      <c r="F515" s="318"/>
      <c r="G515" s="318"/>
      <c r="H515" s="318"/>
      <c r="I515" s="318"/>
      <c r="J515" s="318"/>
      <c r="K515" s="318"/>
      <c r="L515" s="318"/>
      <c r="M515" s="318"/>
      <c r="N515" s="318"/>
      <c r="O515" s="318"/>
      <c r="P515" s="318"/>
      <c r="Q515" s="318"/>
      <c r="R515" s="318"/>
      <c r="S515" s="318"/>
      <c r="T515" s="318"/>
    </row>
    <row r="516" spans="2:22" ht="320.10000000000002" customHeight="1">
      <c r="F516" s="318"/>
      <c r="G516" s="318"/>
      <c r="H516" s="318"/>
      <c r="I516" s="318"/>
      <c r="J516" s="318"/>
      <c r="K516" s="318"/>
      <c r="L516" s="318"/>
      <c r="M516" s="318"/>
      <c r="N516" s="318"/>
      <c r="O516" s="318"/>
      <c r="P516" s="318"/>
      <c r="Q516" s="318"/>
      <c r="R516" s="318"/>
      <c r="S516" s="318"/>
      <c r="T516" s="318"/>
    </row>
    <row r="517" spans="2:22" ht="150" customHeight="1">
      <c r="F517" s="318"/>
      <c r="G517" s="318"/>
      <c r="H517" s="318"/>
      <c r="I517" s="318"/>
      <c r="J517" s="318"/>
      <c r="K517" s="318"/>
      <c r="L517" s="318"/>
      <c r="M517" s="318"/>
      <c r="N517" s="318"/>
      <c r="O517" s="318"/>
      <c r="P517" s="318"/>
      <c r="Q517" s="318"/>
      <c r="R517" s="318"/>
      <c r="S517" s="318"/>
      <c r="T517" s="318"/>
    </row>
    <row r="518" spans="2:22" ht="18.75">
      <c r="B518" s="316"/>
      <c r="F518" s="318"/>
      <c r="G518" s="501" t="s">
        <v>425</v>
      </c>
      <c r="H518" s="501"/>
      <c r="I518" s="501"/>
      <c r="J518" s="501"/>
      <c r="K518" s="501"/>
      <c r="L518" s="501"/>
      <c r="M518" s="501"/>
      <c r="N518" s="501"/>
      <c r="O518" s="501"/>
      <c r="P518" s="501"/>
      <c r="Q518" s="501"/>
      <c r="R518" s="501"/>
      <c r="S518" s="501"/>
      <c r="T518" s="318"/>
      <c r="U518" s="120">
        <v>9</v>
      </c>
      <c r="V518" s="120">
        <v>9</v>
      </c>
    </row>
    <row r="519" spans="2:22" ht="7.5" customHeight="1">
      <c r="F519" s="318"/>
      <c r="G519" s="502"/>
      <c r="H519" s="502"/>
      <c r="I519" s="502"/>
      <c r="J519" s="502"/>
      <c r="K519" s="502"/>
      <c r="L519" s="502"/>
      <c r="M519" s="502"/>
      <c r="N519" s="502"/>
      <c r="O519" s="502"/>
      <c r="P519" s="502"/>
      <c r="Q519" s="502"/>
      <c r="R519" s="502"/>
      <c r="S519" s="502"/>
      <c r="T519" s="318"/>
    </row>
    <row r="520" spans="2:22" ht="50.25" customHeight="1">
      <c r="F520" s="318"/>
      <c r="G520" s="320"/>
      <c r="H520" s="498" t="s">
        <v>297</v>
      </c>
      <c r="I520" s="498"/>
      <c r="J520" s="498"/>
      <c r="K520" s="498"/>
      <c r="L520" s="498"/>
      <c r="M520" s="498"/>
      <c r="N520" s="498"/>
      <c r="O520" s="498"/>
      <c r="P520" s="498"/>
      <c r="Q520" s="498"/>
      <c r="R520" s="498"/>
      <c r="S520" s="321"/>
      <c r="T520" s="318"/>
    </row>
    <row r="521" spans="2:22">
      <c r="F521" s="318"/>
      <c r="G521" s="318"/>
      <c r="H521" s="318"/>
      <c r="I521" s="318"/>
      <c r="J521" s="318"/>
      <c r="K521" s="318"/>
      <c r="L521" s="318"/>
      <c r="M521" s="318"/>
      <c r="N521" s="318"/>
      <c r="O521" s="318"/>
      <c r="P521" s="318"/>
      <c r="Q521" s="318"/>
      <c r="R521" s="318"/>
      <c r="S521" s="318"/>
      <c r="T521" s="318"/>
    </row>
    <row r="522" spans="2:22" ht="320.10000000000002" customHeight="1">
      <c r="F522" s="318"/>
      <c r="G522" s="318"/>
      <c r="H522" s="318"/>
      <c r="I522" s="318"/>
      <c r="J522" s="318"/>
      <c r="K522" s="318"/>
      <c r="L522" s="318"/>
      <c r="M522" s="318"/>
      <c r="N522" s="318"/>
      <c r="O522" s="318"/>
      <c r="P522" s="318"/>
      <c r="Q522" s="318"/>
      <c r="R522" s="318"/>
      <c r="S522" s="318"/>
      <c r="T522" s="318"/>
    </row>
    <row r="523" spans="2:22" ht="150" customHeight="1">
      <c r="F523" s="318"/>
      <c r="G523" s="318"/>
      <c r="H523" s="318"/>
      <c r="I523" s="318"/>
      <c r="J523" s="318"/>
      <c r="K523" s="318"/>
      <c r="L523" s="318"/>
      <c r="M523" s="318"/>
      <c r="N523" s="318"/>
      <c r="O523" s="318"/>
      <c r="P523" s="318"/>
      <c r="Q523" s="318"/>
      <c r="R523" s="318"/>
      <c r="S523" s="318"/>
      <c r="T523" s="318"/>
    </row>
    <row r="524" spans="2:22" ht="18.75">
      <c r="B524" s="316"/>
      <c r="F524" s="318"/>
      <c r="G524" s="501" t="s">
        <v>80</v>
      </c>
      <c r="H524" s="501"/>
      <c r="I524" s="501"/>
      <c r="J524" s="501"/>
      <c r="K524" s="501"/>
      <c r="L524" s="501"/>
      <c r="M524" s="501"/>
      <c r="N524" s="501"/>
      <c r="O524" s="501"/>
      <c r="P524" s="501"/>
      <c r="Q524" s="501"/>
      <c r="R524" s="501"/>
      <c r="S524" s="501"/>
      <c r="T524" s="318"/>
      <c r="U524" s="120">
        <v>10</v>
      </c>
    </row>
    <row r="525" spans="2:22" ht="7.5" customHeight="1">
      <c r="F525" s="318"/>
      <c r="G525" s="502"/>
      <c r="H525" s="502"/>
      <c r="I525" s="502"/>
      <c r="J525" s="502"/>
      <c r="K525" s="502"/>
      <c r="L525" s="502"/>
      <c r="M525" s="502"/>
      <c r="N525" s="502"/>
      <c r="O525" s="502"/>
      <c r="P525" s="502"/>
      <c r="Q525" s="502"/>
      <c r="R525" s="502"/>
      <c r="S525" s="502"/>
      <c r="T525" s="318"/>
    </row>
    <row r="526" spans="2:22" ht="50.25" customHeight="1">
      <c r="F526" s="318"/>
      <c r="G526" s="320"/>
      <c r="H526" s="498" t="s">
        <v>132</v>
      </c>
      <c r="I526" s="498"/>
      <c r="J526" s="498"/>
      <c r="K526" s="498"/>
      <c r="L526" s="498"/>
      <c r="M526" s="498"/>
      <c r="N526" s="498"/>
      <c r="O526" s="498"/>
      <c r="P526" s="498"/>
      <c r="Q526" s="498"/>
      <c r="R526" s="498"/>
      <c r="S526" s="321"/>
      <c r="T526" s="318"/>
    </row>
    <row r="527" spans="2:22">
      <c r="F527" s="318"/>
      <c r="G527" s="318"/>
      <c r="H527" s="318"/>
      <c r="I527" s="318"/>
      <c r="J527" s="318"/>
      <c r="K527" s="318"/>
      <c r="L527" s="318"/>
      <c r="M527" s="318"/>
      <c r="N527" s="318"/>
      <c r="O527" s="318"/>
      <c r="P527" s="318"/>
      <c r="Q527" s="318"/>
      <c r="R527" s="318"/>
      <c r="S527" s="318"/>
      <c r="T527" s="318"/>
    </row>
    <row r="528" spans="2:22" ht="320.10000000000002" customHeight="1">
      <c r="F528" s="318"/>
      <c r="G528" s="318"/>
      <c r="H528" s="318"/>
      <c r="I528" s="318"/>
      <c r="J528" s="318"/>
      <c r="K528" s="318"/>
      <c r="L528" s="318"/>
      <c r="M528" s="318"/>
      <c r="N528" s="318"/>
      <c r="O528" s="318"/>
      <c r="P528" s="318"/>
      <c r="Q528" s="318"/>
      <c r="R528" s="318"/>
      <c r="S528" s="318"/>
      <c r="T528" s="318"/>
    </row>
    <row r="529" spans="2:22" ht="150" customHeight="1">
      <c r="F529" s="318"/>
      <c r="G529" s="318"/>
      <c r="H529" s="318"/>
      <c r="I529" s="318"/>
      <c r="J529" s="318"/>
      <c r="K529" s="318"/>
      <c r="L529" s="318"/>
      <c r="M529" s="318"/>
      <c r="N529" s="318"/>
      <c r="O529" s="318"/>
      <c r="P529" s="318"/>
      <c r="Q529" s="318"/>
      <c r="R529" s="318"/>
      <c r="S529" s="318"/>
      <c r="T529" s="318"/>
    </row>
    <row r="530" spans="2:22" ht="18.75">
      <c r="B530" s="316"/>
      <c r="F530" s="318"/>
      <c r="G530" s="501" t="s">
        <v>133</v>
      </c>
      <c r="H530" s="501"/>
      <c r="I530" s="501"/>
      <c r="J530" s="501"/>
      <c r="K530" s="501"/>
      <c r="L530" s="501"/>
      <c r="M530" s="501"/>
      <c r="N530" s="501"/>
      <c r="O530" s="501"/>
      <c r="P530" s="501"/>
      <c r="Q530" s="501"/>
      <c r="R530" s="501"/>
      <c r="S530" s="501"/>
      <c r="T530" s="318"/>
      <c r="U530" s="120">
        <v>10</v>
      </c>
      <c r="V530" s="120">
        <v>1</v>
      </c>
    </row>
    <row r="531" spans="2:22" ht="7.5" customHeight="1">
      <c r="F531" s="318"/>
      <c r="G531" s="502"/>
      <c r="H531" s="502"/>
      <c r="I531" s="502"/>
      <c r="J531" s="502"/>
      <c r="K531" s="502"/>
      <c r="L531" s="502"/>
      <c r="M531" s="502"/>
      <c r="N531" s="502"/>
      <c r="O531" s="502"/>
      <c r="P531" s="502"/>
      <c r="Q531" s="502"/>
      <c r="R531" s="502"/>
      <c r="S531" s="502"/>
      <c r="T531" s="318"/>
    </row>
    <row r="532" spans="2:22" ht="125.25" customHeight="1">
      <c r="F532" s="318"/>
      <c r="G532" s="320"/>
      <c r="H532" s="498" t="s">
        <v>282</v>
      </c>
      <c r="I532" s="498"/>
      <c r="J532" s="498"/>
      <c r="K532" s="498"/>
      <c r="L532" s="498"/>
      <c r="M532" s="498"/>
      <c r="N532" s="498"/>
      <c r="O532" s="498"/>
      <c r="P532" s="498"/>
      <c r="Q532" s="498"/>
      <c r="R532" s="498"/>
      <c r="S532" s="321"/>
      <c r="T532" s="318"/>
    </row>
    <row r="533" spans="2:22">
      <c r="F533" s="318"/>
      <c r="G533" s="318"/>
      <c r="H533" s="318"/>
      <c r="I533" s="318"/>
      <c r="J533" s="318"/>
      <c r="K533" s="318"/>
      <c r="L533" s="318"/>
      <c r="M533" s="318"/>
      <c r="N533" s="318"/>
      <c r="O533" s="318"/>
      <c r="P533" s="318"/>
      <c r="Q533" s="318"/>
      <c r="R533" s="318"/>
      <c r="S533" s="318"/>
      <c r="T533" s="318"/>
    </row>
    <row r="534" spans="2:22" ht="320.10000000000002" customHeight="1">
      <c r="F534" s="318"/>
      <c r="G534" s="318"/>
      <c r="H534" s="318"/>
      <c r="I534" s="318"/>
      <c r="J534" s="318"/>
      <c r="K534" s="318"/>
      <c r="L534" s="318"/>
      <c r="M534" s="318"/>
      <c r="N534" s="318"/>
      <c r="O534" s="318"/>
      <c r="P534" s="318"/>
      <c r="Q534" s="318"/>
      <c r="R534" s="318"/>
      <c r="S534" s="318"/>
      <c r="T534" s="318"/>
    </row>
    <row r="535" spans="2:22" ht="150" customHeight="1">
      <c r="F535" s="318"/>
      <c r="G535" s="318"/>
      <c r="H535" s="318"/>
      <c r="I535" s="318"/>
      <c r="J535" s="318"/>
      <c r="K535" s="318"/>
      <c r="L535" s="318"/>
      <c r="M535" s="318"/>
      <c r="N535" s="318"/>
      <c r="O535" s="318"/>
      <c r="P535" s="318"/>
      <c r="Q535" s="318"/>
      <c r="R535" s="318"/>
      <c r="S535" s="318"/>
      <c r="T535" s="318"/>
    </row>
    <row r="536" spans="2:22" ht="18.75">
      <c r="B536" s="316"/>
      <c r="F536" s="318"/>
      <c r="G536" s="501" t="s">
        <v>81</v>
      </c>
      <c r="H536" s="501"/>
      <c r="I536" s="501"/>
      <c r="J536" s="501"/>
      <c r="K536" s="501"/>
      <c r="L536" s="501"/>
      <c r="M536" s="501"/>
      <c r="N536" s="501"/>
      <c r="O536" s="501"/>
      <c r="P536" s="501"/>
      <c r="Q536" s="501"/>
      <c r="R536" s="501"/>
      <c r="S536" s="501"/>
      <c r="T536" s="318"/>
      <c r="U536" s="120">
        <v>10</v>
      </c>
      <c r="V536" s="120">
        <v>2</v>
      </c>
    </row>
    <row r="537" spans="2:22" ht="7.5" customHeight="1">
      <c r="F537" s="318"/>
      <c r="G537" s="502"/>
      <c r="H537" s="502"/>
      <c r="I537" s="502"/>
      <c r="J537" s="502"/>
      <c r="K537" s="502"/>
      <c r="L537" s="502"/>
      <c r="M537" s="502"/>
      <c r="N537" s="502"/>
      <c r="O537" s="502"/>
      <c r="P537" s="502"/>
      <c r="Q537" s="502"/>
      <c r="R537" s="502"/>
      <c r="S537" s="502"/>
      <c r="T537" s="318"/>
    </row>
    <row r="538" spans="2:22" ht="69.75" customHeight="1">
      <c r="F538" s="318"/>
      <c r="G538" s="320"/>
      <c r="H538" s="498" t="s">
        <v>248</v>
      </c>
      <c r="I538" s="498"/>
      <c r="J538" s="498"/>
      <c r="K538" s="498"/>
      <c r="L538" s="498"/>
      <c r="M538" s="498"/>
      <c r="N538" s="498"/>
      <c r="O538" s="498"/>
      <c r="P538" s="498"/>
      <c r="Q538" s="498"/>
      <c r="R538" s="498"/>
      <c r="S538" s="321"/>
      <c r="T538" s="318"/>
    </row>
    <row r="539" spans="2:22">
      <c r="F539" s="318"/>
      <c r="G539" s="318"/>
      <c r="H539" s="318"/>
      <c r="I539" s="318"/>
      <c r="J539" s="318"/>
      <c r="K539" s="318"/>
      <c r="L539" s="318"/>
      <c r="M539" s="318"/>
      <c r="N539" s="318"/>
      <c r="O539" s="318"/>
      <c r="P539" s="318"/>
      <c r="Q539" s="318"/>
      <c r="R539" s="318"/>
      <c r="S539" s="318"/>
      <c r="T539" s="318"/>
    </row>
    <row r="540" spans="2:22" ht="320.10000000000002" customHeight="1">
      <c r="F540" s="318"/>
      <c r="G540" s="318"/>
      <c r="H540" s="318"/>
      <c r="I540" s="318"/>
      <c r="J540" s="318"/>
      <c r="K540" s="318"/>
      <c r="L540" s="318"/>
      <c r="M540" s="318"/>
      <c r="N540" s="318"/>
      <c r="O540" s="318"/>
      <c r="P540" s="318"/>
      <c r="Q540" s="318"/>
      <c r="R540" s="318"/>
      <c r="S540" s="318"/>
      <c r="T540" s="318"/>
    </row>
    <row r="541" spans="2:22" ht="150" customHeight="1">
      <c r="F541" s="318"/>
      <c r="G541" s="318"/>
      <c r="H541" s="318"/>
      <c r="I541" s="318"/>
      <c r="J541" s="318"/>
      <c r="K541" s="318"/>
      <c r="L541" s="318"/>
      <c r="M541" s="318"/>
      <c r="N541" s="318"/>
      <c r="O541" s="318"/>
      <c r="P541" s="318"/>
      <c r="Q541" s="318"/>
      <c r="R541" s="318"/>
      <c r="S541" s="318"/>
      <c r="T541" s="318"/>
    </row>
    <row r="542" spans="2:22" ht="18.75">
      <c r="B542" s="316"/>
      <c r="F542" s="318"/>
      <c r="G542" s="501" t="s">
        <v>134</v>
      </c>
      <c r="H542" s="501"/>
      <c r="I542" s="501"/>
      <c r="J542" s="501"/>
      <c r="K542" s="501"/>
      <c r="L542" s="501"/>
      <c r="M542" s="501"/>
      <c r="N542" s="501"/>
      <c r="O542" s="501"/>
      <c r="P542" s="501"/>
      <c r="Q542" s="501"/>
      <c r="R542" s="501"/>
      <c r="S542" s="501"/>
      <c r="T542" s="318"/>
      <c r="U542" s="120">
        <v>10</v>
      </c>
      <c r="V542" s="120">
        <v>3</v>
      </c>
    </row>
    <row r="543" spans="2:22" ht="7.5" customHeight="1">
      <c r="F543" s="318"/>
      <c r="G543" s="502"/>
      <c r="H543" s="502"/>
      <c r="I543" s="502"/>
      <c r="J543" s="502"/>
      <c r="K543" s="502"/>
      <c r="L543" s="502"/>
      <c r="M543" s="502"/>
      <c r="N543" s="502"/>
      <c r="O543" s="502"/>
      <c r="P543" s="502"/>
      <c r="Q543" s="502"/>
      <c r="R543" s="502"/>
      <c r="S543" s="502"/>
      <c r="T543" s="318"/>
    </row>
    <row r="544" spans="2:22" ht="90" customHeight="1">
      <c r="F544" s="318"/>
      <c r="G544" s="320"/>
      <c r="H544" s="498" t="s">
        <v>283</v>
      </c>
      <c r="I544" s="498"/>
      <c r="J544" s="498"/>
      <c r="K544" s="498"/>
      <c r="L544" s="498"/>
      <c r="M544" s="498"/>
      <c r="N544" s="498"/>
      <c r="O544" s="498"/>
      <c r="P544" s="498"/>
      <c r="Q544" s="498"/>
      <c r="R544" s="498"/>
      <c r="S544" s="321"/>
      <c r="T544" s="318"/>
    </row>
    <row r="545" spans="2:22">
      <c r="F545" s="318"/>
      <c r="G545" s="318"/>
      <c r="H545" s="318"/>
      <c r="I545" s="318"/>
      <c r="J545" s="318"/>
      <c r="K545" s="318"/>
      <c r="L545" s="318"/>
      <c r="M545" s="318"/>
      <c r="N545" s="318"/>
      <c r="O545" s="318"/>
      <c r="P545" s="318"/>
      <c r="Q545" s="318"/>
      <c r="R545" s="318"/>
      <c r="S545" s="318"/>
      <c r="T545" s="318"/>
    </row>
    <row r="546" spans="2:22" ht="320.10000000000002" customHeight="1">
      <c r="F546" s="318"/>
      <c r="G546" s="318"/>
      <c r="H546" s="318"/>
      <c r="I546" s="318"/>
      <c r="J546" s="318"/>
      <c r="K546" s="318"/>
      <c r="L546" s="318"/>
      <c r="M546" s="318"/>
      <c r="N546" s="318"/>
      <c r="O546" s="318"/>
      <c r="P546" s="318"/>
      <c r="Q546" s="318"/>
      <c r="R546" s="318"/>
      <c r="S546" s="318"/>
      <c r="T546" s="318"/>
    </row>
    <row r="547" spans="2:22" ht="150" customHeight="1">
      <c r="F547" s="318"/>
      <c r="G547" s="318"/>
      <c r="H547" s="318"/>
      <c r="I547" s="318"/>
      <c r="J547" s="318"/>
      <c r="K547" s="318"/>
      <c r="L547" s="318"/>
      <c r="M547" s="318"/>
      <c r="N547" s="318"/>
      <c r="O547" s="318"/>
      <c r="P547" s="318"/>
      <c r="Q547" s="318"/>
      <c r="R547" s="318"/>
      <c r="S547" s="318"/>
      <c r="T547" s="318"/>
    </row>
    <row r="548" spans="2:22" ht="18.75">
      <c r="B548" s="316"/>
      <c r="F548" s="318"/>
      <c r="G548" s="501" t="s">
        <v>82</v>
      </c>
      <c r="H548" s="501"/>
      <c r="I548" s="501"/>
      <c r="J548" s="501"/>
      <c r="K548" s="501"/>
      <c r="L548" s="501"/>
      <c r="M548" s="501"/>
      <c r="N548" s="501"/>
      <c r="O548" s="501"/>
      <c r="P548" s="501"/>
      <c r="Q548" s="501"/>
      <c r="R548" s="501"/>
      <c r="S548" s="501"/>
      <c r="T548" s="318"/>
      <c r="U548" s="120">
        <v>11</v>
      </c>
    </row>
    <row r="549" spans="2:22" ht="7.5" customHeight="1">
      <c r="F549" s="318"/>
      <c r="G549" s="502"/>
      <c r="H549" s="502"/>
      <c r="I549" s="502"/>
      <c r="J549" s="502"/>
      <c r="K549" s="502"/>
      <c r="L549" s="502"/>
      <c r="M549" s="502"/>
      <c r="N549" s="502"/>
      <c r="O549" s="502"/>
      <c r="P549" s="502"/>
      <c r="Q549" s="502"/>
      <c r="R549" s="502"/>
      <c r="S549" s="502"/>
      <c r="T549" s="318"/>
    </row>
    <row r="550" spans="2:22" ht="50.25" customHeight="1">
      <c r="F550" s="318"/>
      <c r="G550" s="320"/>
      <c r="H550" s="498" t="s">
        <v>135</v>
      </c>
      <c r="I550" s="498"/>
      <c r="J550" s="498"/>
      <c r="K550" s="498"/>
      <c r="L550" s="498"/>
      <c r="M550" s="498"/>
      <c r="N550" s="498"/>
      <c r="O550" s="498"/>
      <c r="P550" s="498"/>
      <c r="Q550" s="498"/>
      <c r="R550" s="498"/>
      <c r="S550" s="321"/>
      <c r="T550" s="318"/>
    </row>
    <row r="551" spans="2:22">
      <c r="F551" s="318"/>
      <c r="G551" s="318"/>
      <c r="H551" s="318"/>
      <c r="I551" s="318"/>
      <c r="J551" s="318"/>
      <c r="K551" s="318"/>
      <c r="L551" s="318"/>
      <c r="M551" s="318"/>
      <c r="N551" s="318"/>
      <c r="O551" s="318"/>
      <c r="P551" s="318"/>
      <c r="Q551" s="318"/>
      <c r="R551" s="318"/>
      <c r="S551" s="318"/>
      <c r="T551" s="318"/>
    </row>
    <row r="552" spans="2:22" ht="320.10000000000002" customHeight="1">
      <c r="F552" s="318"/>
      <c r="G552" s="318"/>
      <c r="H552" s="318"/>
      <c r="I552" s="318"/>
      <c r="J552" s="318"/>
      <c r="K552" s="318"/>
      <c r="L552" s="318"/>
      <c r="M552" s="318"/>
      <c r="N552" s="318"/>
      <c r="O552" s="318"/>
      <c r="P552" s="318"/>
      <c r="Q552" s="318"/>
      <c r="R552" s="318"/>
      <c r="S552" s="318"/>
      <c r="T552" s="318"/>
    </row>
    <row r="553" spans="2:22" ht="150" customHeight="1">
      <c r="F553" s="318"/>
      <c r="G553" s="318"/>
      <c r="H553" s="318"/>
      <c r="I553" s="318"/>
      <c r="J553" s="318"/>
      <c r="K553" s="318"/>
      <c r="L553" s="318"/>
      <c r="M553" s="318"/>
      <c r="N553" s="318"/>
      <c r="O553" s="318"/>
      <c r="P553" s="318"/>
      <c r="Q553" s="318"/>
      <c r="R553" s="318"/>
      <c r="S553" s="318"/>
      <c r="T553" s="318"/>
    </row>
    <row r="554" spans="2:22" ht="18.75">
      <c r="B554" s="316"/>
      <c r="F554" s="318"/>
      <c r="G554" s="501" t="s">
        <v>83</v>
      </c>
      <c r="H554" s="501"/>
      <c r="I554" s="501"/>
      <c r="J554" s="501"/>
      <c r="K554" s="501"/>
      <c r="L554" s="501"/>
      <c r="M554" s="501"/>
      <c r="N554" s="501"/>
      <c r="O554" s="501"/>
      <c r="P554" s="501"/>
      <c r="Q554" s="501"/>
      <c r="R554" s="501"/>
      <c r="S554" s="501"/>
      <c r="T554" s="318"/>
      <c r="U554" s="120">
        <v>11</v>
      </c>
      <c r="V554" s="120">
        <v>1</v>
      </c>
    </row>
    <row r="555" spans="2:22" ht="7.5" customHeight="1">
      <c r="F555" s="318"/>
      <c r="G555" s="502"/>
      <c r="H555" s="502"/>
      <c r="I555" s="502"/>
      <c r="J555" s="502"/>
      <c r="K555" s="502"/>
      <c r="L555" s="502"/>
      <c r="M555" s="502"/>
      <c r="N555" s="502"/>
      <c r="O555" s="502"/>
      <c r="P555" s="502"/>
      <c r="Q555" s="502"/>
      <c r="R555" s="502"/>
      <c r="S555" s="502"/>
      <c r="T555" s="318"/>
    </row>
    <row r="556" spans="2:22" ht="144.75" customHeight="1">
      <c r="F556" s="318"/>
      <c r="G556" s="320"/>
      <c r="H556" s="498" t="s">
        <v>247</v>
      </c>
      <c r="I556" s="498"/>
      <c r="J556" s="498"/>
      <c r="K556" s="498"/>
      <c r="L556" s="498"/>
      <c r="M556" s="498"/>
      <c r="N556" s="498"/>
      <c r="O556" s="498"/>
      <c r="P556" s="498"/>
      <c r="Q556" s="498"/>
      <c r="R556" s="498"/>
      <c r="S556" s="321"/>
      <c r="T556" s="318"/>
    </row>
    <row r="557" spans="2:22">
      <c r="F557" s="318"/>
      <c r="G557" s="318"/>
      <c r="H557" s="318"/>
      <c r="I557" s="318"/>
      <c r="J557" s="318"/>
      <c r="K557" s="318"/>
      <c r="L557" s="318"/>
      <c r="M557" s="318"/>
      <c r="N557" s="318"/>
      <c r="O557" s="318"/>
      <c r="P557" s="318"/>
      <c r="Q557" s="318"/>
      <c r="R557" s="318"/>
      <c r="S557" s="318"/>
      <c r="T557" s="318"/>
    </row>
    <row r="558" spans="2:22" ht="320.10000000000002" customHeight="1">
      <c r="F558" s="318"/>
      <c r="G558" s="318"/>
      <c r="H558" s="318"/>
      <c r="I558" s="318"/>
      <c r="J558" s="318"/>
      <c r="K558" s="318"/>
      <c r="L558" s="318"/>
      <c r="M558" s="318"/>
      <c r="N558" s="318"/>
      <c r="O558" s="318"/>
      <c r="P558" s="318"/>
      <c r="Q558" s="318"/>
      <c r="R558" s="318"/>
      <c r="S558" s="318"/>
      <c r="T558" s="318"/>
    </row>
    <row r="559" spans="2:22" ht="150" customHeight="1">
      <c r="F559" s="318"/>
      <c r="G559" s="318"/>
      <c r="H559" s="318"/>
      <c r="I559" s="318"/>
      <c r="J559" s="318"/>
      <c r="K559" s="318"/>
      <c r="L559" s="318"/>
      <c r="M559" s="318"/>
      <c r="N559" s="318"/>
      <c r="O559" s="318"/>
      <c r="P559" s="318"/>
      <c r="Q559" s="318"/>
      <c r="R559" s="318"/>
      <c r="S559" s="318"/>
      <c r="T559" s="318"/>
    </row>
    <row r="560" spans="2:22" ht="18.75">
      <c r="B560" s="316"/>
      <c r="F560" s="318"/>
      <c r="G560" s="501" t="s">
        <v>84</v>
      </c>
      <c r="H560" s="501"/>
      <c r="I560" s="501"/>
      <c r="J560" s="501"/>
      <c r="K560" s="501"/>
      <c r="L560" s="501"/>
      <c r="M560" s="501"/>
      <c r="N560" s="501"/>
      <c r="O560" s="501"/>
      <c r="P560" s="501"/>
      <c r="Q560" s="501"/>
      <c r="R560" s="501"/>
      <c r="S560" s="501"/>
      <c r="T560" s="318"/>
      <c r="U560" s="120">
        <v>11</v>
      </c>
      <c r="V560" s="120">
        <v>2</v>
      </c>
    </row>
    <row r="561" spans="2:22" ht="7.5" customHeight="1">
      <c r="F561" s="318"/>
      <c r="G561" s="502"/>
      <c r="H561" s="502"/>
      <c r="I561" s="502"/>
      <c r="J561" s="502"/>
      <c r="K561" s="502"/>
      <c r="L561" s="502"/>
      <c r="M561" s="502"/>
      <c r="N561" s="502"/>
      <c r="O561" s="502"/>
      <c r="P561" s="502"/>
      <c r="Q561" s="502"/>
      <c r="R561" s="502"/>
      <c r="S561" s="502"/>
      <c r="T561" s="318"/>
    </row>
    <row r="562" spans="2:22" ht="144.75" customHeight="1">
      <c r="F562" s="318"/>
      <c r="G562" s="320"/>
      <c r="H562" s="498" t="s">
        <v>247</v>
      </c>
      <c r="I562" s="498"/>
      <c r="J562" s="498"/>
      <c r="K562" s="498"/>
      <c r="L562" s="498"/>
      <c r="M562" s="498"/>
      <c r="N562" s="498"/>
      <c r="O562" s="498"/>
      <c r="P562" s="498"/>
      <c r="Q562" s="498"/>
      <c r="R562" s="498"/>
      <c r="S562" s="321"/>
      <c r="T562" s="318"/>
    </row>
    <row r="563" spans="2:22">
      <c r="F563" s="318"/>
      <c r="G563" s="318"/>
      <c r="H563" s="318"/>
      <c r="I563" s="318"/>
      <c r="J563" s="318"/>
      <c r="K563" s="318"/>
      <c r="L563" s="318"/>
      <c r="M563" s="318"/>
      <c r="N563" s="318"/>
      <c r="O563" s="318"/>
      <c r="P563" s="318"/>
      <c r="Q563" s="318"/>
      <c r="R563" s="318"/>
      <c r="S563" s="318"/>
      <c r="T563" s="318"/>
    </row>
    <row r="564" spans="2:22" ht="320.10000000000002" customHeight="1">
      <c r="F564" s="318"/>
      <c r="G564" s="318"/>
      <c r="H564" s="318"/>
      <c r="I564" s="318"/>
      <c r="J564" s="318"/>
      <c r="K564" s="318"/>
      <c r="L564" s="318"/>
      <c r="M564" s="318"/>
      <c r="N564" s="318"/>
      <c r="O564" s="318"/>
      <c r="P564" s="318"/>
      <c r="Q564" s="318"/>
      <c r="R564" s="318"/>
      <c r="S564" s="318"/>
      <c r="T564" s="318"/>
    </row>
    <row r="565" spans="2:22" ht="150" customHeight="1">
      <c r="F565" s="318"/>
      <c r="G565" s="318"/>
      <c r="H565" s="318"/>
      <c r="I565" s="318"/>
      <c r="J565" s="318"/>
      <c r="K565" s="318"/>
      <c r="L565" s="318"/>
      <c r="M565" s="318"/>
      <c r="N565" s="318"/>
      <c r="O565" s="318"/>
      <c r="P565" s="318"/>
      <c r="Q565" s="318"/>
      <c r="R565" s="318"/>
      <c r="S565" s="318"/>
      <c r="T565" s="318"/>
    </row>
    <row r="566" spans="2:22" ht="18.75">
      <c r="B566" s="316"/>
      <c r="F566" s="318"/>
      <c r="G566" s="501" t="s">
        <v>136</v>
      </c>
      <c r="H566" s="501"/>
      <c r="I566" s="501"/>
      <c r="J566" s="501"/>
      <c r="K566" s="501"/>
      <c r="L566" s="501"/>
      <c r="M566" s="501"/>
      <c r="N566" s="501"/>
      <c r="O566" s="501"/>
      <c r="P566" s="501"/>
      <c r="Q566" s="501"/>
      <c r="R566" s="501"/>
      <c r="S566" s="501"/>
      <c r="T566" s="318"/>
      <c r="U566" s="120">
        <v>11</v>
      </c>
      <c r="V566" s="120">
        <v>3</v>
      </c>
    </row>
    <row r="567" spans="2:22" ht="7.5" customHeight="1">
      <c r="F567" s="318"/>
      <c r="G567" s="502"/>
      <c r="H567" s="502"/>
      <c r="I567" s="502"/>
      <c r="J567" s="502"/>
      <c r="K567" s="502"/>
      <c r="L567" s="502"/>
      <c r="M567" s="502"/>
      <c r="N567" s="502"/>
      <c r="O567" s="502"/>
      <c r="P567" s="502"/>
      <c r="Q567" s="502"/>
      <c r="R567" s="502"/>
      <c r="S567" s="502"/>
      <c r="T567" s="318"/>
    </row>
    <row r="568" spans="2:22" ht="185.25" customHeight="1">
      <c r="F568" s="318"/>
      <c r="G568" s="320"/>
      <c r="H568" s="498" t="s">
        <v>249</v>
      </c>
      <c r="I568" s="498"/>
      <c r="J568" s="498"/>
      <c r="K568" s="498"/>
      <c r="L568" s="498"/>
      <c r="M568" s="498"/>
      <c r="N568" s="498"/>
      <c r="O568" s="498"/>
      <c r="P568" s="498"/>
      <c r="Q568" s="498"/>
      <c r="R568" s="498"/>
      <c r="S568" s="321"/>
      <c r="T568" s="318"/>
    </row>
    <row r="569" spans="2:22">
      <c r="F569" s="318"/>
      <c r="G569" s="318"/>
      <c r="H569" s="318"/>
      <c r="I569" s="318"/>
      <c r="J569" s="318"/>
      <c r="K569" s="318"/>
      <c r="L569" s="318"/>
      <c r="M569" s="318"/>
      <c r="N569" s="318"/>
      <c r="O569" s="318"/>
      <c r="P569" s="318"/>
      <c r="Q569" s="318"/>
      <c r="R569" s="318"/>
      <c r="S569" s="318"/>
      <c r="T569" s="318"/>
    </row>
    <row r="570" spans="2:22" ht="320.10000000000002" customHeight="1">
      <c r="F570" s="318"/>
      <c r="G570" s="318"/>
      <c r="H570" s="318"/>
      <c r="I570" s="318"/>
      <c r="J570" s="318"/>
      <c r="K570" s="318"/>
      <c r="L570" s="318"/>
      <c r="M570" s="318"/>
      <c r="N570" s="318"/>
      <c r="O570" s="318"/>
      <c r="P570" s="318"/>
      <c r="Q570" s="318"/>
      <c r="R570" s="318"/>
      <c r="S570" s="318"/>
      <c r="T570" s="318"/>
    </row>
    <row r="571" spans="2:22" ht="150" customHeight="1">
      <c r="F571" s="318"/>
      <c r="G571" s="318"/>
      <c r="H571" s="318"/>
      <c r="I571" s="318"/>
      <c r="J571" s="318"/>
      <c r="K571" s="318"/>
      <c r="L571" s="318"/>
      <c r="M571" s="318"/>
      <c r="N571" s="318"/>
      <c r="O571" s="318"/>
      <c r="P571" s="318"/>
      <c r="Q571" s="318"/>
      <c r="R571" s="318"/>
      <c r="S571" s="318"/>
      <c r="T571" s="318"/>
    </row>
    <row r="572" spans="2:22" ht="18.75">
      <c r="B572" s="316"/>
      <c r="F572" s="318"/>
      <c r="G572" s="501" t="s">
        <v>85</v>
      </c>
      <c r="H572" s="501"/>
      <c r="I572" s="501"/>
      <c r="J572" s="501"/>
      <c r="K572" s="501"/>
      <c r="L572" s="501"/>
      <c r="M572" s="501"/>
      <c r="N572" s="501"/>
      <c r="O572" s="501"/>
      <c r="P572" s="501"/>
      <c r="Q572" s="501"/>
      <c r="R572" s="501"/>
      <c r="S572" s="501"/>
      <c r="T572" s="318"/>
      <c r="U572" s="120">
        <v>11</v>
      </c>
      <c r="V572" s="120">
        <v>4</v>
      </c>
    </row>
    <row r="573" spans="2:22" ht="7.5" customHeight="1">
      <c r="F573" s="318"/>
      <c r="G573" s="502"/>
      <c r="H573" s="502"/>
      <c r="I573" s="502"/>
      <c r="J573" s="502"/>
      <c r="K573" s="502"/>
      <c r="L573" s="502"/>
      <c r="M573" s="502"/>
      <c r="N573" s="502"/>
      <c r="O573" s="502"/>
      <c r="P573" s="502"/>
      <c r="Q573" s="502"/>
      <c r="R573" s="502"/>
      <c r="S573" s="502"/>
      <c r="T573" s="318"/>
    </row>
    <row r="574" spans="2:22" ht="205.5" customHeight="1">
      <c r="F574" s="318"/>
      <c r="G574" s="320"/>
      <c r="H574" s="498" t="s">
        <v>250</v>
      </c>
      <c r="I574" s="498"/>
      <c r="J574" s="498"/>
      <c r="K574" s="498"/>
      <c r="L574" s="498"/>
      <c r="M574" s="498"/>
      <c r="N574" s="498"/>
      <c r="O574" s="498"/>
      <c r="P574" s="498"/>
      <c r="Q574" s="498"/>
      <c r="R574" s="498"/>
      <c r="S574" s="321"/>
      <c r="T574" s="318"/>
    </row>
    <row r="575" spans="2:22">
      <c r="F575" s="318"/>
      <c r="G575" s="318"/>
      <c r="H575" s="318"/>
      <c r="I575" s="318"/>
      <c r="J575" s="318"/>
      <c r="K575" s="318"/>
      <c r="L575" s="318"/>
      <c r="M575" s="318"/>
      <c r="N575" s="318"/>
      <c r="O575" s="318"/>
      <c r="P575" s="318"/>
      <c r="Q575" s="318"/>
      <c r="R575" s="318"/>
      <c r="S575" s="318"/>
      <c r="T575" s="318"/>
    </row>
    <row r="576" spans="2:22" ht="320.10000000000002" customHeight="1">
      <c r="F576" s="318"/>
      <c r="G576" s="318"/>
      <c r="H576" s="318"/>
      <c r="I576" s="318"/>
      <c r="J576" s="318"/>
      <c r="K576" s="318"/>
      <c r="L576" s="318"/>
      <c r="M576" s="318"/>
      <c r="N576" s="318"/>
      <c r="O576" s="318"/>
      <c r="P576" s="318"/>
      <c r="Q576" s="318"/>
      <c r="R576" s="318"/>
      <c r="S576" s="318"/>
      <c r="T576" s="318"/>
    </row>
    <row r="577" spans="2:22" ht="150" customHeight="1">
      <c r="F577" s="318"/>
      <c r="G577" s="318"/>
      <c r="H577" s="318"/>
      <c r="I577" s="318"/>
      <c r="J577" s="318"/>
      <c r="K577" s="318"/>
      <c r="L577" s="318"/>
      <c r="M577" s="318"/>
      <c r="N577" s="318"/>
      <c r="O577" s="318"/>
      <c r="P577" s="318"/>
      <c r="Q577" s="318"/>
      <c r="R577" s="318"/>
      <c r="S577" s="318"/>
      <c r="T577" s="318"/>
    </row>
    <row r="578" spans="2:22" ht="18.75">
      <c r="B578" s="316"/>
      <c r="F578" s="318"/>
      <c r="G578" s="501" t="s">
        <v>86</v>
      </c>
      <c r="H578" s="501"/>
      <c r="I578" s="501"/>
      <c r="J578" s="501"/>
      <c r="K578" s="501"/>
      <c r="L578" s="501"/>
      <c r="M578" s="501"/>
      <c r="N578" s="501"/>
      <c r="O578" s="501"/>
      <c r="P578" s="501"/>
      <c r="Q578" s="501"/>
      <c r="R578" s="501"/>
      <c r="S578" s="501"/>
      <c r="T578" s="318"/>
      <c r="U578" s="120">
        <v>11</v>
      </c>
      <c r="V578" s="120">
        <v>5</v>
      </c>
    </row>
    <row r="579" spans="2:22" ht="7.5" customHeight="1">
      <c r="F579" s="318"/>
      <c r="G579" s="502"/>
      <c r="H579" s="502"/>
      <c r="I579" s="502"/>
      <c r="J579" s="502"/>
      <c r="K579" s="502"/>
      <c r="L579" s="502"/>
      <c r="M579" s="502"/>
      <c r="N579" s="502"/>
      <c r="O579" s="502"/>
      <c r="P579" s="502"/>
      <c r="Q579" s="502"/>
      <c r="R579" s="502"/>
      <c r="S579" s="502"/>
      <c r="T579" s="318"/>
    </row>
    <row r="580" spans="2:22" ht="145.5" customHeight="1">
      <c r="F580" s="318"/>
      <c r="G580" s="320"/>
      <c r="H580" s="498" t="s">
        <v>247</v>
      </c>
      <c r="I580" s="498"/>
      <c r="J580" s="498"/>
      <c r="K580" s="498"/>
      <c r="L580" s="498"/>
      <c r="M580" s="498"/>
      <c r="N580" s="498"/>
      <c r="O580" s="498"/>
      <c r="P580" s="498"/>
      <c r="Q580" s="498"/>
      <c r="R580" s="498"/>
      <c r="S580" s="321"/>
      <c r="T580" s="318"/>
    </row>
    <row r="581" spans="2:22">
      <c r="F581" s="318"/>
      <c r="G581" s="318"/>
      <c r="H581" s="318"/>
      <c r="I581" s="318"/>
      <c r="J581" s="318"/>
      <c r="K581" s="318"/>
      <c r="L581" s="318"/>
      <c r="M581" s="318"/>
      <c r="N581" s="318"/>
      <c r="O581" s="318"/>
      <c r="P581" s="318"/>
      <c r="Q581" s="318"/>
      <c r="R581" s="318"/>
      <c r="S581" s="318"/>
      <c r="T581" s="318"/>
    </row>
    <row r="582" spans="2:22" ht="320.10000000000002" customHeight="1">
      <c r="F582" s="318"/>
      <c r="G582" s="318"/>
      <c r="H582" s="318"/>
      <c r="I582" s="318"/>
      <c r="J582" s="318"/>
      <c r="K582" s="318"/>
      <c r="L582" s="318"/>
      <c r="M582" s="318"/>
      <c r="N582" s="333"/>
      <c r="O582" s="318"/>
      <c r="P582" s="318"/>
      <c r="Q582" s="318"/>
      <c r="R582" s="318"/>
      <c r="S582" s="318"/>
      <c r="T582" s="318"/>
    </row>
    <row r="583" spans="2:22" ht="150" customHeight="1">
      <c r="F583" s="318"/>
      <c r="G583" s="318"/>
      <c r="H583" s="318"/>
      <c r="I583" s="318"/>
      <c r="J583" s="318"/>
      <c r="K583" s="318"/>
      <c r="L583" s="318"/>
      <c r="M583" s="318"/>
      <c r="N583" s="318"/>
      <c r="O583" s="318"/>
      <c r="P583" s="318"/>
      <c r="Q583" s="318"/>
      <c r="R583" s="318"/>
      <c r="S583" s="318"/>
      <c r="T583" s="318"/>
    </row>
    <row r="584" spans="2:22" ht="18.75">
      <c r="B584" s="316"/>
      <c r="F584" s="318"/>
      <c r="G584" s="501" t="s">
        <v>87</v>
      </c>
      <c r="H584" s="501"/>
      <c r="I584" s="501"/>
      <c r="J584" s="501"/>
      <c r="K584" s="501"/>
      <c r="L584" s="501"/>
      <c r="M584" s="501"/>
      <c r="N584" s="501"/>
      <c r="O584" s="501"/>
      <c r="P584" s="501"/>
      <c r="Q584" s="501"/>
      <c r="R584" s="501"/>
      <c r="S584" s="501"/>
      <c r="T584" s="318"/>
      <c r="U584" s="120">
        <v>12</v>
      </c>
    </row>
    <row r="585" spans="2:22" ht="7.5" customHeight="1">
      <c r="F585" s="318"/>
      <c r="G585" s="502"/>
      <c r="H585" s="502"/>
      <c r="I585" s="502"/>
      <c r="J585" s="502"/>
      <c r="K585" s="502"/>
      <c r="L585" s="502"/>
      <c r="M585" s="502"/>
      <c r="N585" s="502"/>
      <c r="O585" s="502"/>
      <c r="P585" s="502"/>
      <c r="Q585" s="502"/>
      <c r="R585" s="502"/>
      <c r="S585" s="502"/>
      <c r="T585" s="318"/>
    </row>
    <row r="586" spans="2:22" ht="50.1" customHeight="1">
      <c r="F586" s="318"/>
      <c r="G586" s="320"/>
      <c r="H586" s="498" t="s">
        <v>221</v>
      </c>
      <c r="I586" s="498"/>
      <c r="J586" s="498"/>
      <c r="K586" s="498"/>
      <c r="L586" s="498"/>
      <c r="M586" s="498"/>
      <c r="N586" s="498"/>
      <c r="O586" s="498"/>
      <c r="P586" s="498"/>
      <c r="Q586" s="498"/>
      <c r="R586" s="498"/>
      <c r="S586" s="321"/>
      <c r="T586" s="318"/>
    </row>
    <row r="587" spans="2:22">
      <c r="F587" s="318"/>
      <c r="G587" s="318"/>
      <c r="H587" s="318"/>
      <c r="I587" s="318"/>
      <c r="J587" s="318"/>
      <c r="K587" s="318"/>
      <c r="L587" s="318"/>
      <c r="M587" s="318"/>
      <c r="N587" s="318"/>
      <c r="O587" s="318"/>
      <c r="P587" s="318"/>
      <c r="Q587" s="318"/>
      <c r="R587" s="318"/>
      <c r="S587" s="318"/>
      <c r="T587" s="318"/>
    </row>
    <row r="588" spans="2:22" ht="320.10000000000002" customHeight="1">
      <c r="F588" s="318"/>
      <c r="G588" s="318"/>
      <c r="H588" s="318"/>
      <c r="I588" s="318"/>
      <c r="J588" s="318"/>
      <c r="K588" s="318"/>
      <c r="L588" s="318"/>
      <c r="M588" s="318"/>
      <c r="N588" s="318"/>
      <c r="O588" s="318"/>
      <c r="P588" s="318"/>
      <c r="Q588" s="318"/>
      <c r="R588" s="318"/>
      <c r="S588" s="318"/>
      <c r="T588" s="318"/>
    </row>
    <row r="589" spans="2:22" ht="150" customHeight="1">
      <c r="F589" s="318"/>
      <c r="G589" s="318"/>
      <c r="H589" s="318"/>
      <c r="I589" s="318"/>
      <c r="J589" s="318"/>
      <c r="K589" s="318"/>
      <c r="L589" s="318"/>
      <c r="M589" s="318"/>
      <c r="N589" s="318"/>
      <c r="O589" s="318"/>
      <c r="P589" s="318"/>
      <c r="Q589" s="318"/>
      <c r="R589" s="318"/>
      <c r="S589" s="318"/>
      <c r="T589" s="318"/>
    </row>
    <row r="590" spans="2:22" ht="18.75">
      <c r="B590" s="316"/>
      <c r="F590" s="318"/>
      <c r="G590" s="501" t="s">
        <v>559</v>
      </c>
      <c r="H590" s="501"/>
      <c r="I590" s="501"/>
      <c r="J590" s="501"/>
      <c r="K590" s="501"/>
      <c r="L590" s="501"/>
      <c r="M590" s="501"/>
      <c r="N590" s="501"/>
      <c r="O590" s="501"/>
      <c r="P590" s="501"/>
      <c r="Q590" s="501"/>
      <c r="R590" s="501"/>
      <c r="S590" s="501"/>
      <c r="T590" s="318"/>
      <c r="U590" s="120">
        <v>12</v>
      </c>
      <c r="V590" s="120">
        <v>1</v>
      </c>
    </row>
    <row r="591" spans="2:22" ht="7.5" customHeight="1">
      <c r="F591" s="318"/>
      <c r="G591" s="502"/>
      <c r="H591" s="502"/>
      <c r="I591" s="502"/>
      <c r="J591" s="502"/>
      <c r="K591" s="502"/>
      <c r="L591" s="502"/>
      <c r="M591" s="502"/>
      <c r="N591" s="502"/>
      <c r="O591" s="502"/>
      <c r="P591" s="502"/>
      <c r="Q591" s="502"/>
      <c r="R591" s="502"/>
      <c r="S591" s="502"/>
      <c r="T591" s="318"/>
    </row>
    <row r="592" spans="2:22" ht="210" customHeight="1">
      <c r="F592" s="318"/>
      <c r="G592" s="320"/>
      <c r="H592" s="498" t="s">
        <v>560</v>
      </c>
      <c r="I592" s="498"/>
      <c r="J592" s="498"/>
      <c r="K592" s="498"/>
      <c r="L592" s="498"/>
      <c r="M592" s="498"/>
      <c r="N592" s="498"/>
      <c r="O592" s="498"/>
      <c r="P592" s="498"/>
      <c r="Q592" s="498"/>
      <c r="R592" s="498"/>
      <c r="S592" s="321"/>
      <c r="T592" s="318"/>
    </row>
    <row r="593" spans="2:22" ht="144.75" customHeight="1">
      <c r="F593" s="318"/>
      <c r="G593" s="320"/>
      <c r="H593" s="498" t="s">
        <v>561</v>
      </c>
      <c r="I593" s="498"/>
      <c r="J593" s="498"/>
      <c r="K593" s="498"/>
      <c r="L593" s="498"/>
      <c r="M593" s="498"/>
      <c r="N593" s="498"/>
      <c r="O593" s="498"/>
      <c r="P593" s="498"/>
      <c r="Q593" s="498"/>
      <c r="R593" s="498"/>
      <c r="S593" s="321"/>
      <c r="T593" s="318"/>
    </row>
    <row r="594" spans="2:22" ht="320.10000000000002" customHeight="1">
      <c r="F594" s="318"/>
      <c r="G594" s="318"/>
      <c r="H594" s="318"/>
      <c r="I594" s="318"/>
      <c r="J594" s="318"/>
      <c r="K594" s="318"/>
      <c r="L594" s="318"/>
      <c r="M594" s="318"/>
      <c r="N594" s="318"/>
      <c r="O594" s="318"/>
      <c r="P594" s="318"/>
      <c r="Q594" s="318"/>
      <c r="R594" s="318"/>
      <c r="S594" s="318"/>
      <c r="T594" s="318"/>
    </row>
    <row r="595" spans="2:22" ht="150" customHeight="1">
      <c r="F595" s="318"/>
      <c r="G595" s="318"/>
      <c r="H595" s="318"/>
      <c r="I595" s="318"/>
      <c r="J595" s="318"/>
      <c r="K595" s="318"/>
      <c r="L595" s="318"/>
      <c r="M595" s="318"/>
      <c r="N595" s="318"/>
      <c r="O595" s="318"/>
      <c r="P595" s="318"/>
      <c r="Q595" s="318"/>
      <c r="R595" s="318"/>
      <c r="S595" s="318"/>
      <c r="T595" s="318"/>
    </row>
    <row r="596" spans="2:22" ht="18.75">
      <c r="B596" s="316"/>
      <c r="F596" s="318"/>
      <c r="G596" s="501" t="s">
        <v>214</v>
      </c>
      <c r="H596" s="501"/>
      <c r="I596" s="501"/>
      <c r="J596" s="501"/>
      <c r="K596" s="501"/>
      <c r="L596" s="501"/>
      <c r="M596" s="501"/>
      <c r="N596" s="501"/>
      <c r="O596" s="501"/>
      <c r="P596" s="501"/>
      <c r="Q596" s="501"/>
      <c r="R596" s="501"/>
      <c r="S596" s="501"/>
      <c r="T596" s="318"/>
      <c r="U596" s="120">
        <v>12</v>
      </c>
      <c r="V596" s="120">
        <v>2</v>
      </c>
    </row>
    <row r="597" spans="2:22" ht="7.5" customHeight="1">
      <c r="F597" s="318"/>
      <c r="G597" s="502"/>
      <c r="H597" s="502"/>
      <c r="I597" s="502"/>
      <c r="J597" s="502"/>
      <c r="K597" s="502"/>
      <c r="L597" s="502"/>
      <c r="M597" s="502"/>
      <c r="N597" s="502"/>
      <c r="O597" s="502"/>
      <c r="P597" s="502"/>
      <c r="Q597" s="502"/>
      <c r="R597" s="502"/>
      <c r="S597" s="502"/>
      <c r="T597" s="318"/>
    </row>
    <row r="598" spans="2:22" ht="260.25" customHeight="1">
      <c r="F598" s="318"/>
      <c r="G598" s="320"/>
      <c r="H598" s="498" t="s">
        <v>295</v>
      </c>
      <c r="I598" s="498"/>
      <c r="J598" s="498"/>
      <c r="K598" s="498"/>
      <c r="L598" s="498"/>
      <c r="M598" s="498"/>
      <c r="N598" s="498"/>
      <c r="O598" s="498"/>
      <c r="P598" s="498"/>
      <c r="Q598" s="498"/>
      <c r="R598" s="498"/>
      <c r="S598" s="321"/>
      <c r="T598" s="318"/>
    </row>
    <row r="599" spans="2:22">
      <c r="F599" s="318"/>
      <c r="G599" s="318"/>
      <c r="H599" s="318"/>
      <c r="I599" s="318"/>
      <c r="J599" s="318"/>
      <c r="K599" s="318"/>
      <c r="L599" s="318"/>
      <c r="M599" s="318"/>
      <c r="N599" s="318"/>
      <c r="O599" s="318"/>
      <c r="P599" s="318"/>
      <c r="Q599" s="318"/>
      <c r="R599" s="318"/>
      <c r="S599" s="318"/>
      <c r="T599" s="318"/>
    </row>
    <row r="600" spans="2:22" ht="320.10000000000002" customHeight="1">
      <c r="F600" s="318"/>
      <c r="G600" s="318"/>
      <c r="H600" s="318"/>
      <c r="I600" s="318"/>
      <c r="J600" s="318"/>
      <c r="K600" s="318"/>
      <c r="L600" s="318"/>
      <c r="M600" s="318"/>
      <c r="N600" s="318"/>
      <c r="O600" s="318"/>
      <c r="P600" s="318"/>
      <c r="Q600" s="318"/>
      <c r="R600" s="318"/>
      <c r="S600" s="318"/>
      <c r="T600" s="318"/>
    </row>
    <row r="601" spans="2:22" ht="150" customHeight="1">
      <c r="F601" s="318"/>
      <c r="G601" s="318"/>
      <c r="H601" s="318"/>
      <c r="I601" s="318"/>
      <c r="J601" s="318"/>
      <c r="K601" s="318"/>
      <c r="L601" s="318"/>
      <c r="M601" s="318"/>
      <c r="N601" s="318"/>
      <c r="O601" s="318"/>
      <c r="P601" s="318"/>
      <c r="Q601" s="318"/>
      <c r="R601" s="318"/>
      <c r="S601" s="318"/>
      <c r="T601" s="318"/>
    </row>
    <row r="602" spans="2:22" ht="18.75">
      <c r="B602" s="316"/>
      <c r="F602" s="318"/>
      <c r="G602" s="501" t="s">
        <v>137</v>
      </c>
      <c r="H602" s="501"/>
      <c r="I602" s="501"/>
      <c r="J602" s="501"/>
      <c r="K602" s="501"/>
      <c r="L602" s="501"/>
      <c r="M602" s="501"/>
      <c r="N602" s="501"/>
      <c r="O602" s="501"/>
      <c r="P602" s="501"/>
      <c r="Q602" s="501"/>
      <c r="R602" s="501"/>
      <c r="S602" s="501"/>
      <c r="T602" s="318"/>
      <c r="U602" s="120">
        <v>12</v>
      </c>
      <c r="V602" s="120">
        <v>3</v>
      </c>
    </row>
    <row r="603" spans="2:22" ht="7.5" customHeight="1">
      <c r="F603" s="318"/>
      <c r="G603" s="502"/>
      <c r="H603" s="502"/>
      <c r="I603" s="502"/>
      <c r="J603" s="502"/>
      <c r="K603" s="502"/>
      <c r="L603" s="502"/>
      <c r="M603" s="502"/>
      <c r="N603" s="502"/>
      <c r="O603" s="502"/>
      <c r="P603" s="502"/>
      <c r="Q603" s="502"/>
      <c r="R603" s="502"/>
      <c r="S603" s="502"/>
      <c r="T603" s="318"/>
    </row>
    <row r="604" spans="2:22" ht="110.25" customHeight="1">
      <c r="F604" s="318"/>
      <c r="G604" s="320"/>
      <c r="H604" s="498" t="s">
        <v>296</v>
      </c>
      <c r="I604" s="498"/>
      <c r="J604" s="498"/>
      <c r="K604" s="498"/>
      <c r="L604" s="498"/>
      <c r="M604" s="498"/>
      <c r="N604" s="498"/>
      <c r="O604" s="498"/>
      <c r="P604" s="498"/>
      <c r="Q604" s="498"/>
      <c r="R604" s="498"/>
      <c r="S604" s="321"/>
      <c r="T604" s="318"/>
    </row>
    <row r="605" spans="2:22">
      <c r="F605" s="318"/>
      <c r="G605" s="318"/>
      <c r="H605" s="318"/>
      <c r="I605" s="318"/>
      <c r="J605" s="318"/>
      <c r="K605" s="318"/>
      <c r="L605" s="318"/>
      <c r="M605" s="318"/>
      <c r="N605" s="318"/>
      <c r="O605" s="318"/>
      <c r="P605" s="318"/>
      <c r="Q605" s="318"/>
      <c r="R605" s="318"/>
      <c r="S605" s="318"/>
      <c r="T605" s="318"/>
    </row>
    <row r="606" spans="2:22" ht="320.10000000000002" customHeight="1">
      <c r="F606" s="318"/>
      <c r="G606" s="318"/>
      <c r="H606" s="318"/>
      <c r="I606" s="318"/>
      <c r="J606" s="318"/>
      <c r="K606" s="318"/>
      <c r="L606" s="318"/>
      <c r="M606" s="318"/>
      <c r="N606" s="318"/>
      <c r="O606" s="318"/>
      <c r="P606" s="318"/>
      <c r="Q606" s="318"/>
      <c r="R606" s="318"/>
      <c r="S606" s="318"/>
      <c r="T606" s="318"/>
    </row>
    <row r="607" spans="2:22" ht="150" customHeight="1">
      <c r="F607" s="318"/>
      <c r="G607" s="318"/>
      <c r="H607" s="318"/>
      <c r="I607" s="318"/>
      <c r="J607" s="318"/>
      <c r="K607" s="318"/>
      <c r="L607" s="318"/>
      <c r="M607" s="318"/>
      <c r="N607" s="318"/>
      <c r="O607" s="318"/>
      <c r="P607" s="318"/>
      <c r="Q607" s="318"/>
      <c r="R607" s="318"/>
      <c r="S607" s="318"/>
      <c r="T607" s="318"/>
    </row>
    <row r="608" spans="2:22" ht="18.75">
      <c r="B608" s="316"/>
      <c r="F608" s="318"/>
      <c r="G608" s="501" t="s">
        <v>88</v>
      </c>
      <c r="H608" s="501"/>
      <c r="I608" s="501"/>
      <c r="J608" s="501"/>
      <c r="K608" s="501"/>
      <c r="L608" s="501"/>
      <c r="M608" s="501"/>
      <c r="N608" s="501"/>
      <c r="O608" s="501"/>
      <c r="P608" s="501"/>
      <c r="Q608" s="501"/>
      <c r="R608" s="501"/>
      <c r="S608" s="501"/>
      <c r="T608" s="318"/>
      <c r="U608" s="120">
        <v>13</v>
      </c>
    </row>
    <row r="609" spans="2:22" ht="7.5" customHeight="1">
      <c r="F609" s="318"/>
      <c r="G609" s="502"/>
      <c r="H609" s="502"/>
      <c r="I609" s="502"/>
      <c r="J609" s="502"/>
      <c r="K609" s="502"/>
      <c r="L609" s="502"/>
      <c r="M609" s="502"/>
      <c r="N609" s="502"/>
      <c r="O609" s="502"/>
      <c r="P609" s="502"/>
      <c r="Q609" s="502"/>
      <c r="R609" s="502"/>
      <c r="S609" s="502"/>
      <c r="T609" s="318"/>
    </row>
    <row r="610" spans="2:22" ht="70.5" customHeight="1">
      <c r="F610" s="318"/>
      <c r="G610" s="320"/>
      <c r="H610" s="498" t="s">
        <v>138</v>
      </c>
      <c r="I610" s="498"/>
      <c r="J610" s="498"/>
      <c r="K610" s="498"/>
      <c r="L610" s="498"/>
      <c r="M610" s="498"/>
      <c r="N610" s="498"/>
      <c r="O610" s="498"/>
      <c r="P610" s="498"/>
      <c r="Q610" s="498"/>
      <c r="R610" s="498"/>
      <c r="S610" s="321"/>
      <c r="T610" s="318"/>
    </row>
    <row r="611" spans="2:22">
      <c r="F611" s="318"/>
      <c r="G611" s="318"/>
      <c r="H611" s="318"/>
      <c r="I611" s="318"/>
      <c r="J611" s="318"/>
      <c r="K611" s="318"/>
      <c r="L611" s="318"/>
      <c r="M611" s="318"/>
      <c r="N611" s="318"/>
      <c r="O611" s="318"/>
      <c r="P611" s="318"/>
      <c r="Q611" s="318"/>
      <c r="R611" s="318"/>
      <c r="S611" s="318"/>
      <c r="T611" s="318"/>
    </row>
    <row r="612" spans="2:22" ht="320.10000000000002" customHeight="1">
      <c r="F612" s="318"/>
      <c r="G612" s="318"/>
      <c r="H612" s="318"/>
      <c r="I612" s="318"/>
      <c r="J612" s="318"/>
      <c r="K612" s="318"/>
      <c r="L612" s="318"/>
      <c r="M612" s="318"/>
      <c r="N612" s="318"/>
      <c r="O612" s="318"/>
      <c r="P612" s="318"/>
      <c r="Q612" s="318"/>
      <c r="R612" s="318"/>
      <c r="S612" s="318"/>
      <c r="T612" s="318"/>
    </row>
    <row r="613" spans="2:22" ht="150" customHeight="1">
      <c r="F613" s="318"/>
      <c r="G613" s="318"/>
      <c r="H613" s="318"/>
      <c r="I613" s="318"/>
      <c r="J613" s="318"/>
      <c r="K613" s="318"/>
      <c r="L613" s="318"/>
      <c r="M613" s="318"/>
      <c r="N613" s="318"/>
      <c r="O613" s="318"/>
      <c r="P613" s="318"/>
      <c r="Q613" s="318"/>
      <c r="R613" s="318"/>
      <c r="S613" s="318"/>
      <c r="T613" s="318"/>
    </row>
    <row r="614" spans="2:22" ht="18.75">
      <c r="B614" s="316"/>
      <c r="F614" s="318"/>
      <c r="G614" s="501" t="s">
        <v>356</v>
      </c>
      <c r="H614" s="501"/>
      <c r="I614" s="501"/>
      <c r="J614" s="501"/>
      <c r="K614" s="501"/>
      <c r="L614" s="501"/>
      <c r="M614" s="501"/>
      <c r="N614" s="501"/>
      <c r="O614" s="501"/>
      <c r="P614" s="501"/>
      <c r="Q614" s="501"/>
      <c r="R614" s="501"/>
      <c r="S614" s="501"/>
      <c r="T614" s="318"/>
      <c r="U614" s="120">
        <v>13</v>
      </c>
      <c r="V614" s="120">
        <v>1</v>
      </c>
    </row>
    <row r="615" spans="2:22" ht="7.5" customHeight="1">
      <c r="F615" s="318"/>
      <c r="G615" s="502"/>
      <c r="H615" s="502"/>
      <c r="I615" s="502"/>
      <c r="J615" s="502"/>
      <c r="K615" s="502"/>
      <c r="L615" s="502"/>
      <c r="M615" s="502"/>
      <c r="N615" s="502"/>
      <c r="O615" s="502"/>
      <c r="P615" s="502"/>
      <c r="Q615" s="502"/>
      <c r="R615" s="502"/>
      <c r="S615" s="502"/>
      <c r="T615" s="318"/>
    </row>
    <row r="616" spans="2:22" ht="149.25" customHeight="1">
      <c r="F616" s="318"/>
      <c r="G616" s="320"/>
      <c r="H616" s="498" t="s">
        <v>562</v>
      </c>
      <c r="I616" s="498"/>
      <c r="J616" s="498"/>
      <c r="K616" s="498"/>
      <c r="L616" s="498"/>
      <c r="M616" s="498"/>
      <c r="N616" s="498"/>
      <c r="O616" s="498"/>
      <c r="P616" s="498"/>
      <c r="Q616" s="498"/>
      <c r="R616" s="498"/>
      <c r="S616" s="321"/>
      <c r="T616" s="318"/>
    </row>
    <row r="617" spans="2:22">
      <c r="F617" s="318"/>
      <c r="G617" s="318"/>
      <c r="H617" s="318"/>
      <c r="I617" s="318"/>
      <c r="J617" s="318"/>
      <c r="K617" s="318"/>
      <c r="L617" s="318"/>
      <c r="M617" s="318"/>
      <c r="N617" s="318"/>
      <c r="O617" s="318"/>
      <c r="P617" s="318"/>
      <c r="Q617" s="318"/>
      <c r="R617" s="318"/>
      <c r="S617" s="318"/>
      <c r="T617" s="318"/>
    </row>
    <row r="618" spans="2:22" ht="320.10000000000002" customHeight="1">
      <c r="F618" s="318"/>
      <c r="G618" s="318"/>
      <c r="H618" s="318"/>
      <c r="I618" s="318"/>
      <c r="J618" s="318"/>
      <c r="K618" s="318"/>
      <c r="L618" s="318"/>
      <c r="M618" s="318"/>
      <c r="N618" s="318"/>
      <c r="O618" s="318"/>
      <c r="P618" s="318"/>
      <c r="Q618" s="318"/>
      <c r="R618" s="318"/>
      <c r="S618" s="318"/>
      <c r="T618" s="318"/>
    </row>
    <row r="619" spans="2:22" ht="150" customHeight="1">
      <c r="F619" s="318"/>
      <c r="G619" s="318"/>
      <c r="H619" s="318"/>
      <c r="I619" s="318"/>
      <c r="J619" s="318"/>
      <c r="K619" s="318"/>
      <c r="L619" s="318"/>
      <c r="M619" s="318"/>
      <c r="N619" s="318"/>
      <c r="O619" s="318"/>
      <c r="P619" s="318"/>
      <c r="Q619" s="318"/>
      <c r="R619" s="318"/>
      <c r="S619" s="318"/>
      <c r="T619" s="318"/>
    </row>
    <row r="620" spans="2:22" ht="18.75">
      <c r="B620" s="316"/>
      <c r="F620" s="318"/>
      <c r="G620" s="501" t="s">
        <v>89</v>
      </c>
      <c r="H620" s="501"/>
      <c r="I620" s="501"/>
      <c r="J620" s="501"/>
      <c r="K620" s="501"/>
      <c r="L620" s="501"/>
      <c r="M620" s="501"/>
      <c r="N620" s="501"/>
      <c r="O620" s="501"/>
      <c r="P620" s="501"/>
      <c r="Q620" s="501"/>
      <c r="R620" s="501"/>
      <c r="S620" s="501"/>
      <c r="T620" s="318"/>
      <c r="U620" s="120">
        <v>13</v>
      </c>
      <c r="V620" s="120">
        <v>2</v>
      </c>
    </row>
    <row r="621" spans="2:22" ht="7.5" customHeight="1">
      <c r="F621" s="318"/>
      <c r="G621" s="502"/>
      <c r="H621" s="502"/>
      <c r="I621" s="502"/>
      <c r="J621" s="502"/>
      <c r="K621" s="502"/>
      <c r="L621" s="502"/>
      <c r="M621" s="502"/>
      <c r="N621" s="502"/>
      <c r="O621" s="502"/>
      <c r="P621" s="502"/>
      <c r="Q621" s="502"/>
      <c r="R621" s="502"/>
      <c r="S621" s="502"/>
      <c r="T621" s="318"/>
    </row>
    <row r="622" spans="2:22" ht="142.5" customHeight="1">
      <c r="F622" s="318"/>
      <c r="G622" s="320"/>
      <c r="H622" s="498" t="s">
        <v>563</v>
      </c>
      <c r="I622" s="498"/>
      <c r="J622" s="498"/>
      <c r="K622" s="498"/>
      <c r="L622" s="498"/>
      <c r="M622" s="498"/>
      <c r="N622" s="498"/>
      <c r="O622" s="498"/>
      <c r="P622" s="498"/>
      <c r="Q622" s="498"/>
      <c r="R622" s="498"/>
      <c r="S622" s="322"/>
      <c r="T622" s="318"/>
    </row>
    <row r="623" spans="2:22" ht="69.75" customHeight="1">
      <c r="F623" s="318"/>
      <c r="G623" s="325"/>
      <c r="H623" s="499" t="s">
        <v>107</v>
      </c>
      <c r="I623" s="500"/>
      <c r="J623" s="500"/>
      <c r="K623" s="500"/>
      <c r="L623" s="500"/>
      <c r="M623" s="500"/>
      <c r="N623" s="500"/>
      <c r="O623" s="500"/>
      <c r="P623" s="500"/>
      <c r="Q623" s="500"/>
      <c r="R623" s="500"/>
      <c r="S623" s="323"/>
      <c r="T623" s="318"/>
    </row>
    <row r="624" spans="2:22" ht="320.10000000000002" customHeight="1">
      <c r="F624" s="318"/>
      <c r="G624" s="318"/>
      <c r="H624" s="318"/>
      <c r="I624" s="318"/>
      <c r="J624" s="318"/>
      <c r="K624" s="318"/>
      <c r="L624" s="318"/>
      <c r="M624" s="318"/>
      <c r="N624" s="318"/>
      <c r="O624" s="318"/>
      <c r="P624" s="318"/>
      <c r="Q624" s="318"/>
      <c r="R624" s="318"/>
      <c r="S624" s="318"/>
      <c r="T624" s="318"/>
    </row>
    <row r="625" spans="2:22" ht="150" customHeight="1">
      <c r="F625" s="318"/>
      <c r="G625" s="318"/>
      <c r="H625" s="318"/>
      <c r="I625" s="318"/>
      <c r="J625" s="318"/>
      <c r="K625" s="318"/>
      <c r="L625" s="318"/>
      <c r="M625" s="318"/>
      <c r="N625" s="318"/>
      <c r="O625" s="318"/>
      <c r="P625" s="318"/>
      <c r="Q625" s="318"/>
      <c r="R625" s="318"/>
      <c r="S625" s="318"/>
      <c r="T625" s="318"/>
    </row>
    <row r="626" spans="2:22" ht="18.75">
      <c r="B626" s="316"/>
      <c r="F626" s="318"/>
      <c r="G626" s="501" t="s">
        <v>92</v>
      </c>
      <c r="H626" s="501"/>
      <c r="I626" s="501"/>
      <c r="J626" s="501"/>
      <c r="K626" s="501"/>
      <c r="L626" s="501"/>
      <c r="M626" s="501"/>
      <c r="N626" s="501"/>
      <c r="O626" s="501"/>
      <c r="P626" s="501"/>
      <c r="Q626" s="501"/>
      <c r="R626" s="501"/>
      <c r="S626" s="501"/>
      <c r="T626" s="318"/>
      <c r="U626" s="120">
        <v>14</v>
      </c>
      <c r="V626" s="120">
        <v>10</v>
      </c>
    </row>
    <row r="627" spans="2:22" ht="7.5" customHeight="1">
      <c r="F627" s="318"/>
      <c r="G627" s="502"/>
      <c r="H627" s="502"/>
      <c r="I627" s="502"/>
      <c r="J627" s="502"/>
      <c r="K627" s="502"/>
      <c r="L627" s="502"/>
      <c r="M627" s="502"/>
      <c r="N627" s="502"/>
      <c r="O627" s="502"/>
      <c r="P627" s="502"/>
      <c r="Q627" s="502"/>
      <c r="R627" s="502"/>
      <c r="S627" s="502"/>
      <c r="T627" s="318"/>
    </row>
    <row r="628" spans="2:22" ht="51" customHeight="1">
      <c r="F628" s="318"/>
      <c r="G628" s="320"/>
      <c r="H628" s="498" t="s">
        <v>564</v>
      </c>
      <c r="I628" s="498"/>
      <c r="J628" s="498"/>
      <c r="K628" s="498"/>
      <c r="L628" s="498"/>
      <c r="M628" s="498"/>
      <c r="N628" s="498"/>
      <c r="O628" s="498"/>
      <c r="P628" s="498"/>
      <c r="Q628" s="498"/>
      <c r="R628" s="498"/>
      <c r="S628" s="321"/>
      <c r="T628" s="318"/>
    </row>
    <row r="629" spans="2:22">
      <c r="F629" s="318"/>
      <c r="G629" s="318"/>
      <c r="H629" s="318"/>
      <c r="I629" s="318"/>
      <c r="J629" s="318"/>
      <c r="K629" s="318"/>
      <c r="L629" s="318"/>
      <c r="M629" s="318"/>
      <c r="N629" s="318"/>
      <c r="O629" s="318"/>
      <c r="P629" s="318"/>
      <c r="Q629" s="318"/>
      <c r="R629" s="318"/>
      <c r="S629" s="318"/>
      <c r="T629" s="318"/>
    </row>
    <row r="630" spans="2:22" ht="320.10000000000002" customHeight="1">
      <c r="F630" s="318"/>
      <c r="G630" s="318"/>
      <c r="H630" s="318"/>
      <c r="I630" s="318"/>
      <c r="J630" s="318"/>
      <c r="K630" s="318"/>
      <c r="L630" s="318"/>
      <c r="M630" s="318"/>
      <c r="N630" s="318"/>
      <c r="O630" s="318"/>
      <c r="P630" s="318"/>
      <c r="Q630" s="318"/>
      <c r="R630" s="318"/>
      <c r="S630" s="318"/>
      <c r="T630" s="318"/>
    </row>
    <row r="631" spans="2:22" ht="150" customHeight="1">
      <c r="F631" s="318"/>
      <c r="G631" s="318"/>
      <c r="H631" s="318"/>
      <c r="I631" s="318"/>
      <c r="J631" s="318"/>
      <c r="K631" s="318"/>
      <c r="L631" s="318"/>
      <c r="M631" s="318"/>
      <c r="N631" s="318"/>
      <c r="O631" s="318"/>
      <c r="P631" s="318"/>
      <c r="Q631" s="318"/>
      <c r="R631" s="318"/>
      <c r="S631" s="318"/>
      <c r="T631" s="318"/>
    </row>
    <row r="632" spans="2:22" ht="18.75">
      <c r="B632" s="316"/>
      <c r="F632" s="318"/>
      <c r="G632" s="501" t="s">
        <v>159</v>
      </c>
      <c r="H632" s="501"/>
      <c r="I632" s="501"/>
      <c r="J632" s="501"/>
      <c r="K632" s="501"/>
      <c r="L632" s="501"/>
      <c r="M632" s="501"/>
      <c r="N632" s="501"/>
      <c r="O632" s="501"/>
      <c r="P632" s="501"/>
      <c r="Q632" s="501"/>
      <c r="R632" s="501"/>
      <c r="S632" s="501"/>
      <c r="T632" s="318"/>
      <c r="U632" s="120">
        <v>14</v>
      </c>
    </row>
    <row r="633" spans="2:22" ht="7.5" customHeight="1">
      <c r="F633" s="318"/>
      <c r="G633" s="502"/>
      <c r="H633" s="502"/>
      <c r="I633" s="502"/>
      <c r="J633" s="502"/>
      <c r="K633" s="502"/>
      <c r="L633" s="502"/>
      <c r="M633" s="502"/>
      <c r="N633" s="502"/>
      <c r="O633" s="502"/>
      <c r="P633" s="502"/>
      <c r="Q633" s="502"/>
      <c r="R633" s="502"/>
      <c r="S633" s="502"/>
      <c r="T633" s="318"/>
    </row>
    <row r="634" spans="2:22" ht="50.25" customHeight="1">
      <c r="F634" s="318"/>
      <c r="G634" s="320"/>
      <c r="H634" s="498" t="s">
        <v>251</v>
      </c>
      <c r="I634" s="498"/>
      <c r="J634" s="498"/>
      <c r="K634" s="498"/>
      <c r="L634" s="498"/>
      <c r="M634" s="498"/>
      <c r="N634" s="498"/>
      <c r="O634" s="498"/>
      <c r="P634" s="498"/>
      <c r="Q634" s="498"/>
      <c r="R634" s="498"/>
      <c r="S634" s="321"/>
      <c r="T634" s="318"/>
    </row>
    <row r="635" spans="2:22">
      <c r="F635" s="318"/>
      <c r="G635" s="318"/>
      <c r="H635" s="318"/>
      <c r="I635" s="318"/>
      <c r="J635" s="318"/>
      <c r="K635" s="318"/>
      <c r="L635" s="318"/>
      <c r="M635" s="318"/>
      <c r="N635" s="318"/>
      <c r="O635" s="318"/>
      <c r="P635" s="318"/>
      <c r="Q635" s="318"/>
      <c r="R635" s="318"/>
      <c r="S635" s="318"/>
      <c r="T635" s="318"/>
    </row>
    <row r="636" spans="2:22" ht="320.10000000000002" customHeight="1">
      <c r="F636" s="318"/>
      <c r="G636" s="318"/>
      <c r="H636" s="318"/>
      <c r="I636" s="318"/>
      <c r="J636" s="318"/>
      <c r="K636" s="318"/>
      <c r="L636" s="318"/>
      <c r="M636" s="318"/>
      <c r="N636" s="318"/>
      <c r="O636" s="318"/>
      <c r="P636" s="318"/>
      <c r="Q636" s="318"/>
      <c r="R636" s="318"/>
      <c r="S636" s="318"/>
      <c r="T636" s="318"/>
    </row>
    <row r="637" spans="2:22" ht="150" customHeight="1">
      <c r="F637" s="318"/>
      <c r="G637" s="318"/>
      <c r="H637" s="318"/>
      <c r="I637" s="318"/>
      <c r="J637" s="318"/>
      <c r="K637" s="318"/>
      <c r="L637" s="318"/>
      <c r="M637" s="318"/>
      <c r="N637" s="318"/>
      <c r="O637" s="318"/>
      <c r="P637" s="318"/>
      <c r="Q637" s="318"/>
      <c r="R637" s="318"/>
      <c r="S637" s="318"/>
      <c r="T637" s="318"/>
    </row>
    <row r="638" spans="2:22" ht="18.75">
      <c r="B638" s="316"/>
      <c r="F638" s="318"/>
      <c r="G638" s="501" t="s">
        <v>90</v>
      </c>
      <c r="H638" s="501"/>
      <c r="I638" s="501"/>
      <c r="J638" s="501"/>
      <c r="K638" s="501"/>
      <c r="L638" s="501"/>
      <c r="M638" s="501"/>
      <c r="N638" s="501"/>
      <c r="O638" s="501"/>
      <c r="P638" s="501"/>
      <c r="Q638" s="501"/>
      <c r="R638" s="501"/>
      <c r="S638" s="501"/>
      <c r="T638" s="318"/>
      <c r="U638" s="120">
        <v>14</v>
      </c>
      <c r="V638" s="120">
        <v>1</v>
      </c>
    </row>
    <row r="639" spans="2:22" ht="7.5" customHeight="1">
      <c r="F639" s="318"/>
      <c r="G639" s="502"/>
      <c r="H639" s="502"/>
      <c r="I639" s="502"/>
      <c r="J639" s="502"/>
      <c r="K639" s="502"/>
      <c r="L639" s="502"/>
      <c r="M639" s="502"/>
      <c r="N639" s="502"/>
      <c r="O639" s="502"/>
      <c r="P639" s="502"/>
      <c r="Q639" s="502"/>
      <c r="R639" s="502"/>
      <c r="S639" s="502"/>
      <c r="T639" s="318"/>
    </row>
    <row r="640" spans="2:22" ht="49.5" customHeight="1">
      <c r="F640" s="318"/>
      <c r="G640" s="320"/>
      <c r="H640" s="498" t="s">
        <v>252</v>
      </c>
      <c r="I640" s="498"/>
      <c r="J640" s="498"/>
      <c r="K640" s="498"/>
      <c r="L640" s="498"/>
      <c r="M640" s="498"/>
      <c r="N640" s="498"/>
      <c r="O640" s="498"/>
      <c r="P640" s="498"/>
      <c r="Q640" s="498"/>
      <c r="R640" s="498"/>
      <c r="S640" s="321"/>
      <c r="T640" s="318"/>
    </row>
    <row r="641" spans="2:22">
      <c r="F641" s="318"/>
      <c r="G641" s="318"/>
      <c r="H641" s="318"/>
      <c r="I641" s="318"/>
      <c r="J641" s="318"/>
      <c r="K641" s="318"/>
      <c r="L641" s="318"/>
      <c r="M641" s="318"/>
      <c r="N641" s="318"/>
      <c r="O641" s="318"/>
      <c r="P641" s="318"/>
      <c r="Q641" s="318"/>
      <c r="R641" s="318"/>
      <c r="S641" s="318"/>
      <c r="T641" s="318"/>
    </row>
    <row r="642" spans="2:22" ht="320.10000000000002" customHeight="1">
      <c r="F642" s="318"/>
      <c r="G642" s="318"/>
      <c r="H642" s="318"/>
      <c r="I642" s="318"/>
      <c r="J642" s="318"/>
      <c r="K642" s="318"/>
      <c r="L642" s="318"/>
      <c r="M642" s="318"/>
      <c r="N642" s="318"/>
      <c r="O642" s="318"/>
      <c r="P642" s="318"/>
      <c r="Q642" s="318"/>
      <c r="R642" s="318"/>
      <c r="S642" s="318"/>
      <c r="T642" s="318"/>
    </row>
    <row r="643" spans="2:22" ht="150" customHeight="1">
      <c r="F643" s="318"/>
      <c r="G643" s="318"/>
      <c r="H643" s="318"/>
      <c r="I643" s="318"/>
      <c r="J643" s="318"/>
      <c r="K643" s="318"/>
      <c r="L643" s="318"/>
      <c r="M643" s="318"/>
      <c r="N643" s="318"/>
      <c r="O643" s="318"/>
      <c r="P643" s="318"/>
      <c r="Q643" s="318"/>
      <c r="R643" s="318"/>
      <c r="S643" s="318"/>
      <c r="T643" s="318"/>
    </row>
    <row r="644" spans="2:22" ht="18.75">
      <c r="B644" s="316"/>
      <c r="F644" s="318"/>
      <c r="G644" s="501" t="s">
        <v>565</v>
      </c>
      <c r="H644" s="501"/>
      <c r="I644" s="501"/>
      <c r="J644" s="501"/>
      <c r="K644" s="501"/>
      <c r="L644" s="501"/>
      <c r="M644" s="501"/>
      <c r="N644" s="501"/>
      <c r="O644" s="501"/>
      <c r="P644" s="501"/>
      <c r="Q644" s="501"/>
      <c r="R644" s="501"/>
      <c r="S644" s="501"/>
      <c r="T644" s="318"/>
      <c r="U644" s="120">
        <v>14</v>
      </c>
      <c r="V644" s="120">
        <v>2</v>
      </c>
    </row>
    <row r="645" spans="2:22" ht="7.5" customHeight="1">
      <c r="F645" s="318"/>
      <c r="G645" s="502"/>
      <c r="H645" s="502"/>
      <c r="I645" s="502"/>
      <c r="J645" s="502"/>
      <c r="K645" s="502"/>
      <c r="L645" s="502"/>
      <c r="M645" s="502"/>
      <c r="N645" s="502"/>
      <c r="O645" s="502"/>
      <c r="P645" s="502"/>
      <c r="Q645" s="502"/>
      <c r="R645" s="502"/>
      <c r="S645" s="502"/>
      <c r="T645" s="318"/>
    </row>
    <row r="646" spans="2:22" ht="105" customHeight="1">
      <c r="F646" s="318"/>
      <c r="G646" s="320"/>
      <c r="H646" s="498" t="s">
        <v>253</v>
      </c>
      <c r="I646" s="498"/>
      <c r="J646" s="498"/>
      <c r="K646" s="498"/>
      <c r="L646" s="498"/>
      <c r="M646" s="498"/>
      <c r="N646" s="498"/>
      <c r="O646" s="498"/>
      <c r="P646" s="498"/>
      <c r="Q646" s="498"/>
      <c r="R646" s="498"/>
      <c r="S646" s="321"/>
      <c r="T646" s="318"/>
    </row>
    <row r="647" spans="2:22">
      <c r="F647" s="318"/>
      <c r="G647" s="318"/>
      <c r="H647" s="318"/>
      <c r="I647" s="318"/>
      <c r="J647" s="318"/>
      <c r="K647" s="318"/>
      <c r="L647" s="318"/>
      <c r="M647" s="318"/>
      <c r="N647" s="318"/>
      <c r="O647" s="318"/>
      <c r="P647" s="318"/>
      <c r="Q647" s="318"/>
      <c r="R647" s="318"/>
      <c r="S647" s="318"/>
      <c r="T647" s="318"/>
    </row>
    <row r="648" spans="2:22" ht="320.10000000000002" customHeight="1">
      <c r="F648" s="318"/>
      <c r="G648" s="318"/>
      <c r="H648" s="318"/>
      <c r="I648" s="318"/>
      <c r="J648" s="318"/>
      <c r="K648" s="318"/>
      <c r="L648" s="318"/>
      <c r="M648" s="318"/>
      <c r="N648" s="318"/>
      <c r="O648" s="318"/>
      <c r="P648" s="318"/>
      <c r="Q648" s="318"/>
      <c r="R648" s="318"/>
      <c r="S648" s="318"/>
      <c r="T648" s="318"/>
    </row>
    <row r="649" spans="2:22" ht="150" customHeight="1">
      <c r="F649" s="318"/>
      <c r="G649" s="318"/>
      <c r="H649" s="318"/>
      <c r="I649" s="318"/>
      <c r="J649" s="318"/>
      <c r="K649" s="318"/>
      <c r="L649" s="318"/>
      <c r="M649" s="318"/>
      <c r="N649" s="318"/>
      <c r="O649" s="318"/>
      <c r="P649" s="318"/>
      <c r="Q649" s="318"/>
      <c r="R649" s="318"/>
      <c r="S649" s="318"/>
      <c r="T649" s="318"/>
    </row>
    <row r="650" spans="2:22" ht="18.75">
      <c r="B650" s="316"/>
      <c r="F650" s="318"/>
      <c r="G650" s="501" t="s">
        <v>254</v>
      </c>
      <c r="H650" s="501"/>
      <c r="I650" s="501"/>
      <c r="J650" s="501"/>
      <c r="K650" s="501"/>
      <c r="L650" s="501"/>
      <c r="M650" s="501"/>
      <c r="N650" s="501"/>
      <c r="O650" s="501"/>
      <c r="P650" s="501"/>
      <c r="Q650" s="501"/>
      <c r="R650" s="501"/>
      <c r="S650" s="501"/>
      <c r="T650" s="318"/>
      <c r="U650" s="120">
        <v>14</v>
      </c>
      <c r="V650" s="120">
        <v>3</v>
      </c>
    </row>
    <row r="651" spans="2:22" ht="7.5" customHeight="1">
      <c r="F651" s="318"/>
      <c r="G651" s="502"/>
      <c r="H651" s="502"/>
      <c r="I651" s="502"/>
      <c r="J651" s="502"/>
      <c r="K651" s="502"/>
      <c r="L651" s="502"/>
      <c r="M651" s="502"/>
      <c r="N651" s="502"/>
      <c r="O651" s="502"/>
      <c r="P651" s="502"/>
      <c r="Q651" s="502"/>
      <c r="R651" s="502"/>
      <c r="S651" s="502"/>
      <c r="T651" s="318"/>
    </row>
    <row r="652" spans="2:22" ht="50.25" customHeight="1">
      <c r="F652" s="318"/>
      <c r="G652" s="320"/>
      <c r="H652" s="498" t="s">
        <v>374</v>
      </c>
      <c r="I652" s="498"/>
      <c r="J652" s="498"/>
      <c r="K652" s="498"/>
      <c r="L652" s="498"/>
      <c r="M652" s="498"/>
      <c r="N652" s="498"/>
      <c r="O652" s="498"/>
      <c r="P652" s="498"/>
      <c r="Q652" s="498"/>
      <c r="R652" s="498"/>
      <c r="S652" s="321"/>
      <c r="T652" s="318"/>
    </row>
    <row r="653" spans="2:22">
      <c r="F653" s="318"/>
      <c r="G653" s="318"/>
      <c r="H653" s="318"/>
      <c r="I653" s="318"/>
      <c r="J653" s="318"/>
      <c r="K653" s="318"/>
      <c r="L653" s="318"/>
      <c r="M653" s="318"/>
      <c r="N653" s="318"/>
      <c r="O653" s="318"/>
      <c r="P653" s="318"/>
      <c r="Q653" s="318"/>
      <c r="R653" s="318"/>
      <c r="S653" s="318"/>
      <c r="T653" s="318"/>
    </row>
    <row r="654" spans="2:22" ht="320.10000000000002" customHeight="1">
      <c r="F654" s="318"/>
      <c r="G654" s="318"/>
      <c r="H654" s="318"/>
      <c r="I654" s="318"/>
      <c r="J654" s="318"/>
      <c r="K654" s="318"/>
      <c r="L654" s="318"/>
      <c r="M654" s="318"/>
      <c r="N654" s="318"/>
      <c r="O654" s="318"/>
      <c r="P654" s="318"/>
      <c r="Q654" s="318"/>
      <c r="R654" s="318"/>
      <c r="S654" s="318"/>
      <c r="T654" s="318"/>
    </row>
    <row r="655" spans="2:22" ht="150" customHeight="1">
      <c r="F655" s="318"/>
      <c r="G655" s="318"/>
      <c r="H655" s="318"/>
      <c r="I655" s="318"/>
      <c r="J655" s="318"/>
      <c r="K655" s="318"/>
      <c r="L655" s="318"/>
      <c r="M655" s="318"/>
      <c r="N655" s="318"/>
      <c r="O655" s="318"/>
      <c r="P655" s="318"/>
      <c r="Q655" s="318"/>
      <c r="R655" s="318"/>
      <c r="S655" s="318"/>
      <c r="T655" s="318"/>
    </row>
    <row r="656" spans="2:22" ht="18.75">
      <c r="B656" s="316"/>
      <c r="F656" s="318"/>
      <c r="G656" s="501" t="s">
        <v>91</v>
      </c>
      <c r="H656" s="501"/>
      <c r="I656" s="501"/>
      <c r="J656" s="501"/>
      <c r="K656" s="501"/>
      <c r="L656" s="501"/>
      <c r="M656" s="501"/>
      <c r="N656" s="501"/>
      <c r="O656" s="501"/>
      <c r="P656" s="501"/>
      <c r="Q656" s="501"/>
      <c r="R656" s="501"/>
      <c r="S656" s="501"/>
      <c r="T656" s="318"/>
      <c r="U656" s="120">
        <v>14</v>
      </c>
      <c r="V656" s="120">
        <v>4</v>
      </c>
    </row>
    <row r="657" spans="2:22" ht="7.5" customHeight="1">
      <c r="F657" s="318"/>
      <c r="G657" s="502"/>
      <c r="H657" s="502"/>
      <c r="I657" s="502"/>
      <c r="J657" s="502"/>
      <c r="K657" s="502"/>
      <c r="L657" s="502"/>
      <c r="M657" s="502"/>
      <c r="N657" s="502"/>
      <c r="O657" s="502"/>
      <c r="P657" s="502"/>
      <c r="Q657" s="502"/>
      <c r="R657" s="502"/>
      <c r="S657" s="502"/>
      <c r="T657" s="318"/>
    </row>
    <row r="658" spans="2:22" ht="205.5" customHeight="1">
      <c r="F658" s="318"/>
      <c r="G658" s="320"/>
      <c r="H658" s="498" t="s">
        <v>319</v>
      </c>
      <c r="I658" s="498"/>
      <c r="J658" s="498"/>
      <c r="K658" s="498"/>
      <c r="L658" s="498"/>
      <c r="M658" s="498"/>
      <c r="N658" s="498"/>
      <c r="O658" s="498"/>
      <c r="P658" s="498"/>
      <c r="Q658" s="498"/>
      <c r="R658" s="498"/>
      <c r="S658" s="321"/>
      <c r="T658" s="318"/>
    </row>
    <row r="659" spans="2:22">
      <c r="F659" s="318"/>
      <c r="G659" s="318"/>
      <c r="H659" s="318"/>
      <c r="I659" s="318"/>
      <c r="J659" s="318"/>
      <c r="K659" s="318"/>
      <c r="L659" s="318"/>
      <c r="M659" s="318"/>
      <c r="N659" s="318"/>
      <c r="O659" s="318"/>
      <c r="P659" s="318"/>
      <c r="Q659" s="318"/>
      <c r="R659" s="318"/>
      <c r="S659" s="318"/>
      <c r="T659" s="318"/>
    </row>
    <row r="660" spans="2:22" ht="320.10000000000002" customHeight="1">
      <c r="F660" s="318"/>
      <c r="G660" s="318"/>
      <c r="H660" s="318"/>
      <c r="I660" s="318"/>
      <c r="J660" s="318"/>
      <c r="K660" s="318"/>
      <c r="L660" s="318"/>
      <c r="M660" s="318"/>
      <c r="N660" s="318"/>
      <c r="O660" s="318"/>
      <c r="P660" s="318"/>
      <c r="Q660" s="318"/>
      <c r="R660" s="318"/>
      <c r="S660" s="318"/>
      <c r="T660" s="318"/>
    </row>
    <row r="661" spans="2:22" ht="150" customHeight="1">
      <c r="F661" s="318"/>
      <c r="G661" s="318"/>
      <c r="H661" s="318"/>
      <c r="I661" s="318"/>
      <c r="J661" s="318"/>
      <c r="K661" s="318"/>
      <c r="L661" s="318"/>
      <c r="M661" s="318"/>
      <c r="N661" s="318"/>
      <c r="O661" s="318"/>
      <c r="P661" s="318"/>
      <c r="Q661" s="318"/>
      <c r="R661" s="318"/>
      <c r="S661" s="318"/>
      <c r="T661" s="318"/>
    </row>
    <row r="662" spans="2:22" ht="18.75">
      <c r="B662" s="316"/>
      <c r="F662" s="318"/>
      <c r="G662" s="501" t="s">
        <v>37</v>
      </c>
      <c r="H662" s="501"/>
      <c r="I662" s="501"/>
      <c r="J662" s="501"/>
      <c r="K662" s="501"/>
      <c r="L662" s="501"/>
      <c r="M662" s="501"/>
      <c r="N662" s="501"/>
      <c r="O662" s="501"/>
      <c r="P662" s="501"/>
      <c r="Q662" s="501"/>
      <c r="R662" s="501"/>
      <c r="S662" s="501"/>
      <c r="T662" s="318"/>
      <c r="U662" s="120">
        <v>14</v>
      </c>
      <c r="V662" s="120">
        <v>5</v>
      </c>
    </row>
    <row r="663" spans="2:22" ht="7.5" customHeight="1">
      <c r="F663" s="318"/>
      <c r="G663" s="502"/>
      <c r="H663" s="502"/>
      <c r="I663" s="502"/>
      <c r="J663" s="502"/>
      <c r="K663" s="502"/>
      <c r="L663" s="502"/>
      <c r="M663" s="502"/>
      <c r="N663" s="502"/>
      <c r="O663" s="502"/>
      <c r="P663" s="502"/>
      <c r="Q663" s="502"/>
      <c r="R663" s="502"/>
      <c r="S663" s="502"/>
      <c r="T663" s="318"/>
    </row>
    <row r="664" spans="2:22" ht="90" customHeight="1">
      <c r="F664" s="318"/>
      <c r="G664" s="320"/>
      <c r="H664" s="498" t="s">
        <v>566</v>
      </c>
      <c r="I664" s="498"/>
      <c r="J664" s="498"/>
      <c r="K664" s="498"/>
      <c r="L664" s="498"/>
      <c r="M664" s="498"/>
      <c r="N664" s="498"/>
      <c r="O664" s="498"/>
      <c r="P664" s="498"/>
      <c r="Q664" s="498"/>
      <c r="R664" s="498"/>
      <c r="S664" s="321"/>
      <c r="T664" s="318"/>
    </row>
    <row r="665" spans="2:22">
      <c r="F665" s="318"/>
      <c r="G665" s="318"/>
      <c r="H665" s="318"/>
      <c r="I665" s="318"/>
      <c r="J665" s="318"/>
      <c r="K665" s="318"/>
      <c r="L665" s="318"/>
      <c r="M665" s="318"/>
      <c r="N665" s="318"/>
      <c r="O665" s="318"/>
      <c r="P665" s="318"/>
      <c r="Q665" s="318"/>
      <c r="R665" s="318"/>
      <c r="S665" s="318"/>
      <c r="T665" s="318"/>
    </row>
    <row r="666" spans="2:22" ht="320.10000000000002" customHeight="1">
      <c r="F666" s="318"/>
      <c r="G666" s="318"/>
      <c r="H666" s="318"/>
      <c r="I666" s="318"/>
      <c r="J666" s="318"/>
      <c r="K666" s="318"/>
      <c r="L666" s="318"/>
      <c r="M666" s="318"/>
      <c r="N666" s="318"/>
      <c r="O666" s="318"/>
      <c r="P666" s="318"/>
      <c r="Q666" s="318"/>
      <c r="R666" s="318"/>
      <c r="S666" s="318"/>
      <c r="T666" s="318"/>
    </row>
    <row r="667" spans="2:22" ht="150" customHeight="1">
      <c r="F667" s="318"/>
      <c r="G667" s="318"/>
      <c r="H667" s="318"/>
      <c r="I667" s="318"/>
      <c r="J667" s="318"/>
      <c r="K667" s="318"/>
      <c r="L667" s="318"/>
      <c r="M667" s="318"/>
      <c r="N667" s="318"/>
      <c r="O667" s="318"/>
      <c r="P667" s="318"/>
      <c r="Q667" s="318"/>
      <c r="R667" s="318"/>
      <c r="S667" s="318"/>
      <c r="T667" s="318"/>
    </row>
    <row r="668" spans="2:22" ht="18.75">
      <c r="B668" s="316"/>
      <c r="F668" s="318"/>
      <c r="G668" s="501" t="s">
        <v>230</v>
      </c>
      <c r="H668" s="501"/>
      <c r="I668" s="501"/>
      <c r="J668" s="501"/>
      <c r="K668" s="501"/>
      <c r="L668" s="501"/>
      <c r="M668" s="501"/>
      <c r="N668" s="501"/>
      <c r="O668" s="501"/>
      <c r="P668" s="501"/>
      <c r="Q668" s="501"/>
      <c r="R668" s="501"/>
      <c r="S668" s="501"/>
      <c r="T668" s="318"/>
      <c r="U668" s="120">
        <v>14</v>
      </c>
      <c r="V668" s="120">
        <v>6</v>
      </c>
    </row>
    <row r="669" spans="2:22" ht="7.5" customHeight="1">
      <c r="F669" s="318"/>
      <c r="G669" s="502"/>
      <c r="H669" s="502"/>
      <c r="I669" s="502"/>
      <c r="J669" s="502"/>
      <c r="K669" s="502"/>
      <c r="L669" s="502"/>
      <c r="M669" s="502"/>
      <c r="N669" s="502"/>
      <c r="O669" s="502"/>
      <c r="P669" s="502"/>
      <c r="Q669" s="502"/>
      <c r="R669" s="502"/>
      <c r="S669" s="502"/>
      <c r="T669" s="318"/>
    </row>
    <row r="670" spans="2:22" ht="51" customHeight="1">
      <c r="F670" s="318"/>
      <c r="G670" s="320"/>
      <c r="H670" s="498" t="s">
        <v>255</v>
      </c>
      <c r="I670" s="498"/>
      <c r="J670" s="498"/>
      <c r="K670" s="498"/>
      <c r="L670" s="498"/>
      <c r="M670" s="498"/>
      <c r="N670" s="498"/>
      <c r="O670" s="498"/>
      <c r="P670" s="498"/>
      <c r="Q670" s="498"/>
      <c r="R670" s="498"/>
      <c r="S670" s="321"/>
      <c r="T670" s="318"/>
    </row>
    <row r="671" spans="2:22">
      <c r="F671" s="318"/>
      <c r="G671" s="318"/>
      <c r="H671" s="318"/>
      <c r="I671" s="318"/>
      <c r="J671" s="318"/>
      <c r="K671" s="318"/>
      <c r="L671" s="318"/>
      <c r="M671" s="318"/>
      <c r="N671" s="318"/>
      <c r="O671" s="318"/>
      <c r="P671" s="318"/>
      <c r="Q671" s="318"/>
      <c r="R671" s="318"/>
      <c r="S671" s="318"/>
      <c r="T671" s="318"/>
    </row>
    <row r="672" spans="2:22" ht="320.10000000000002" customHeight="1">
      <c r="F672" s="318"/>
      <c r="G672" s="318"/>
      <c r="H672" s="318"/>
      <c r="I672" s="318"/>
      <c r="J672" s="318"/>
      <c r="K672" s="318"/>
      <c r="L672" s="318"/>
      <c r="M672" s="318"/>
      <c r="N672" s="318"/>
      <c r="O672" s="318"/>
      <c r="P672" s="318"/>
      <c r="Q672" s="318"/>
      <c r="R672" s="318"/>
      <c r="S672" s="318"/>
      <c r="T672" s="318"/>
    </row>
    <row r="673" spans="2:22" ht="150" customHeight="1">
      <c r="F673" s="318"/>
      <c r="G673" s="318"/>
      <c r="H673" s="318"/>
      <c r="I673" s="318"/>
      <c r="J673" s="318"/>
      <c r="K673" s="318"/>
      <c r="L673" s="318"/>
      <c r="M673" s="318"/>
      <c r="N673" s="318"/>
      <c r="O673" s="318"/>
      <c r="P673" s="318"/>
      <c r="Q673" s="318"/>
      <c r="R673" s="318"/>
      <c r="S673" s="318"/>
      <c r="T673" s="318"/>
    </row>
    <row r="674" spans="2:22" ht="18.75">
      <c r="B674" s="316"/>
      <c r="F674" s="318"/>
      <c r="G674" s="501" t="s">
        <v>140</v>
      </c>
      <c r="H674" s="501"/>
      <c r="I674" s="501"/>
      <c r="J674" s="501"/>
      <c r="K674" s="501"/>
      <c r="L674" s="501"/>
      <c r="M674" s="501"/>
      <c r="N674" s="501"/>
      <c r="O674" s="501"/>
      <c r="P674" s="501"/>
      <c r="Q674" s="501"/>
      <c r="R674" s="501"/>
      <c r="S674" s="501"/>
      <c r="T674" s="318"/>
      <c r="U674" s="120">
        <v>14</v>
      </c>
      <c r="V674" s="120">
        <v>7</v>
      </c>
    </row>
    <row r="675" spans="2:22" ht="7.5" customHeight="1">
      <c r="F675" s="318"/>
      <c r="G675" s="502"/>
      <c r="H675" s="502"/>
      <c r="I675" s="502"/>
      <c r="J675" s="502"/>
      <c r="K675" s="502"/>
      <c r="L675" s="502"/>
      <c r="M675" s="502"/>
      <c r="N675" s="502"/>
      <c r="O675" s="502"/>
      <c r="P675" s="502"/>
      <c r="Q675" s="502"/>
      <c r="R675" s="502"/>
      <c r="S675" s="502"/>
      <c r="T675" s="318"/>
    </row>
    <row r="676" spans="2:22" ht="80.25" customHeight="1">
      <c r="F676" s="318"/>
      <c r="G676" s="320"/>
      <c r="H676" s="498" t="s">
        <v>256</v>
      </c>
      <c r="I676" s="498"/>
      <c r="J676" s="498"/>
      <c r="K676" s="498"/>
      <c r="L676" s="498"/>
      <c r="M676" s="498"/>
      <c r="N676" s="498"/>
      <c r="O676" s="498"/>
      <c r="P676" s="498"/>
      <c r="Q676" s="498"/>
      <c r="R676" s="498"/>
      <c r="S676" s="321"/>
      <c r="T676" s="318"/>
    </row>
    <row r="677" spans="2:22">
      <c r="F677" s="318"/>
      <c r="G677" s="318"/>
      <c r="H677" s="318"/>
      <c r="I677" s="318"/>
      <c r="J677" s="318"/>
      <c r="K677" s="318"/>
      <c r="L677" s="318"/>
      <c r="M677" s="318"/>
      <c r="N677" s="318"/>
      <c r="O677" s="318"/>
      <c r="P677" s="318"/>
      <c r="Q677" s="318"/>
      <c r="R677" s="318"/>
      <c r="S677" s="318"/>
      <c r="T677" s="318"/>
    </row>
    <row r="678" spans="2:22" ht="320.10000000000002" customHeight="1">
      <c r="F678" s="318"/>
      <c r="G678" s="318"/>
      <c r="H678" s="318"/>
      <c r="I678" s="318"/>
      <c r="J678" s="318"/>
      <c r="K678" s="318"/>
      <c r="L678" s="318"/>
      <c r="M678" s="318"/>
      <c r="N678" s="318"/>
      <c r="O678" s="318"/>
      <c r="P678" s="318"/>
      <c r="Q678" s="318"/>
      <c r="R678" s="318"/>
      <c r="S678" s="318"/>
      <c r="T678" s="318"/>
    </row>
    <row r="679" spans="2:22" ht="150" customHeight="1">
      <c r="F679" s="318"/>
      <c r="G679" s="318"/>
      <c r="H679" s="318"/>
      <c r="I679" s="318"/>
      <c r="J679" s="318"/>
      <c r="K679" s="318"/>
      <c r="L679" s="318"/>
      <c r="M679" s="318"/>
      <c r="N679" s="318"/>
      <c r="O679" s="318"/>
      <c r="P679" s="318"/>
      <c r="Q679" s="318"/>
      <c r="R679" s="318"/>
      <c r="S679" s="318"/>
      <c r="T679" s="318"/>
    </row>
    <row r="680" spans="2:22" ht="18.75">
      <c r="B680" s="316"/>
      <c r="F680" s="318"/>
      <c r="G680" s="501" t="s">
        <v>139</v>
      </c>
      <c r="H680" s="501"/>
      <c r="I680" s="501"/>
      <c r="J680" s="501"/>
      <c r="K680" s="501"/>
      <c r="L680" s="501"/>
      <c r="M680" s="501"/>
      <c r="N680" s="501"/>
      <c r="O680" s="501"/>
      <c r="P680" s="501"/>
      <c r="Q680" s="501"/>
      <c r="R680" s="501"/>
      <c r="S680" s="501"/>
      <c r="T680" s="318"/>
      <c r="U680" s="120">
        <v>14</v>
      </c>
      <c r="V680" s="120">
        <v>8</v>
      </c>
    </row>
    <row r="681" spans="2:22" ht="7.5" customHeight="1">
      <c r="F681" s="318"/>
      <c r="G681" s="502"/>
      <c r="H681" s="502"/>
      <c r="I681" s="502"/>
      <c r="J681" s="502"/>
      <c r="K681" s="502"/>
      <c r="L681" s="502"/>
      <c r="M681" s="502"/>
      <c r="N681" s="502"/>
      <c r="O681" s="502"/>
      <c r="P681" s="502"/>
      <c r="Q681" s="502"/>
      <c r="R681" s="502"/>
      <c r="S681" s="502"/>
      <c r="T681" s="318"/>
    </row>
    <row r="682" spans="2:22" ht="80.25" customHeight="1">
      <c r="F682" s="318"/>
      <c r="G682" s="320"/>
      <c r="H682" s="498" t="s">
        <v>256</v>
      </c>
      <c r="I682" s="498"/>
      <c r="J682" s="498"/>
      <c r="K682" s="498"/>
      <c r="L682" s="498"/>
      <c r="M682" s="498"/>
      <c r="N682" s="498"/>
      <c r="O682" s="498"/>
      <c r="P682" s="498"/>
      <c r="Q682" s="498"/>
      <c r="R682" s="498"/>
      <c r="S682" s="321"/>
      <c r="T682" s="318"/>
    </row>
    <row r="683" spans="2:22">
      <c r="F683" s="318"/>
      <c r="G683" s="318"/>
      <c r="H683" s="318"/>
      <c r="I683" s="318"/>
      <c r="J683" s="318"/>
      <c r="K683" s="318"/>
      <c r="L683" s="318"/>
      <c r="M683" s="318"/>
      <c r="N683" s="318"/>
      <c r="O683" s="318"/>
      <c r="P683" s="318"/>
      <c r="Q683" s="318"/>
      <c r="R683" s="318"/>
      <c r="S683" s="318"/>
      <c r="T683" s="318"/>
    </row>
    <row r="684" spans="2:22" ht="320.10000000000002" customHeight="1">
      <c r="F684" s="318"/>
      <c r="G684" s="318"/>
      <c r="H684" s="318"/>
      <c r="I684" s="318"/>
      <c r="J684" s="318"/>
      <c r="K684" s="318"/>
      <c r="L684" s="318"/>
      <c r="M684" s="318"/>
      <c r="N684" s="318"/>
      <c r="O684" s="318"/>
      <c r="P684" s="318"/>
      <c r="Q684" s="318"/>
      <c r="R684" s="318"/>
      <c r="S684" s="318"/>
      <c r="T684" s="318"/>
    </row>
    <row r="685" spans="2:22" ht="150" customHeight="1">
      <c r="F685" s="318"/>
      <c r="G685" s="318"/>
      <c r="H685" s="318"/>
      <c r="I685" s="318"/>
      <c r="J685" s="318"/>
      <c r="K685" s="318"/>
      <c r="L685" s="318"/>
      <c r="M685" s="318"/>
      <c r="N685" s="318"/>
      <c r="O685" s="318"/>
      <c r="P685" s="318"/>
      <c r="Q685" s="318"/>
      <c r="R685" s="318"/>
      <c r="S685" s="318"/>
      <c r="T685" s="318"/>
    </row>
    <row r="686" spans="2:22" ht="18.75">
      <c r="B686" s="316"/>
      <c r="F686" s="318"/>
      <c r="G686" s="501" t="s">
        <v>567</v>
      </c>
      <c r="H686" s="501"/>
      <c r="I686" s="501"/>
      <c r="J686" s="501"/>
      <c r="K686" s="501"/>
      <c r="L686" s="501"/>
      <c r="M686" s="501"/>
      <c r="N686" s="501"/>
      <c r="O686" s="501"/>
      <c r="P686" s="501"/>
      <c r="Q686" s="501"/>
      <c r="R686" s="501"/>
      <c r="S686" s="501"/>
      <c r="T686" s="318"/>
      <c r="U686" s="120">
        <v>14</v>
      </c>
      <c r="V686" s="120">
        <v>9</v>
      </c>
    </row>
    <row r="687" spans="2:22" ht="7.5" customHeight="1">
      <c r="F687" s="318"/>
      <c r="G687" s="502"/>
      <c r="H687" s="502"/>
      <c r="I687" s="502"/>
      <c r="J687" s="502"/>
      <c r="K687" s="502"/>
      <c r="L687" s="502"/>
      <c r="M687" s="502"/>
      <c r="N687" s="502"/>
      <c r="O687" s="502"/>
      <c r="P687" s="502"/>
      <c r="Q687" s="502"/>
      <c r="R687" s="502"/>
      <c r="S687" s="502"/>
      <c r="T687" s="318"/>
    </row>
    <row r="688" spans="2:22" ht="125.25" customHeight="1">
      <c r="F688" s="318"/>
      <c r="G688" s="320"/>
      <c r="H688" s="498" t="s">
        <v>257</v>
      </c>
      <c r="I688" s="498"/>
      <c r="J688" s="498"/>
      <c r="K688" s="498"/>
      <c r="L688" s="498"/>
      <c r="M688" s="498"/>
      <c r="N688" s="498"/>
      <c r="O688" s="498"/>
      <c r="P688" s="498"/>
      <c r="Q688" s="498"/>
      <c r="R688" s="498"/>
      <c r="S688" s="321"/>
      <c r="T688" s="318"/>
    </row>
    <row r="689" spans="2:22">
      <c r="F689" s="318"/>
      <c r="G689" s="318"/>
      <c r="H689" s="318"/>
      <c r="I689" s="318"/>
      <c r="J689" s="318"/>
      <c r="K689" s="318"/>
      <c r="L689" s="318"/>
      <c r="M689" s="318"/>
      <c r="N689" s="318"/>
      <c r="O689" s="318"/>
      <c r="P689" s="318"/>
      <c r="Q689" s="318"/>
      <c r="R689" s="318"/>
      <c r="S689" s="318"/>
      <c r="T689" s="318"/>
    </row>
    <row r="690" spans="2:22" ht="320.10000000000002" customHeight="1">
      <c r="F690" s="318"/>
      <c r="G690" s="318"/>
      <c r="H690" s="318"/>
      <c r="I690" s="318"/>
      <c r="J690" s="318"/>
      <c r="K690" s="318"/>
      <c r="L690" s="318"/>
      <c r="M690" s="318"/>
      <c r="N690" s="318"/>
      <c r="O690" s="318"/>
      <c r="P690" s="318"/>
      <c r="Q690" s="318"/>
      <c r="R690" s="318"/>
      <c r="S690" s="318"/>
      <c r="T690" s="318"/>
    </row>
    <row r="691" spans="2:22" ht="150" customHeight="1">
      <c r="F691" s="331"/>
      <c r="G691" s="332"/>
      <c r="H691" s="332"/>
      <c r="I691" s="332"/>
      <c r="J691" s="332"/>
      <c r="K691" s="332"/>
      <c r="L691" s="332"/>
      <c r="M691" s="332"/>
      <c r="N691" s="332"/>
      <c r="O691" s="332"/>
      <c r="P691" s="332"/>
      <c r="Q691" s="332"/>
      <c r="R691" s="332"/>
      <c r="S691" s="332"/>
      <c r="T691" s="332"/>
    </row>
    <row r="692" spans="2:22" ht="18.75">
      <c r="B692" s="316"/>
      <c r="F692" s="332"/>
      <c r="G692" s="501" t="s">
        <v>369</v>
      </c>
      <c r="H692" s="501"/>
      <c r="I692" s="501"/>
      <c r="J692" s="501"/>
      <c r="K692" s="501"/>
      <c r="L692" s="501"/>
      <c r="M692" s="501"/>
      <c r="N692" s="501"/>
      <c r="O692" s="501"/>
      <c r="P692" s="501"/>
      <c r="Q692" s="501"/>
      <c r="R692" s="501"/>
      <c r="S692" s="501"/>
      <c r="T692" s="332"/>
      <c r="U692" s="120">
        <v>14</v>
      </c>
      <c r="V692" s="120">
        <v>9</v>
      </c>
    </row>
    <row r="693" spans="2:22" ht="7.5" customHeight="1">
      <c r="F693" s="332"/>
      <c r="G693" s="502"/>
      <c r="H693" s="502"/>
      <c r="I693" s="502"/>
      <c r="J693" s="502"/>
      <c r="K693" s="502"/>
      <c r="L693" s="502"/>
      <c r="M693" s="502"/>
      <c r="N693" s="502"/>
      <c r="O693" s="502"/>
      <c r="P693" s="502"/>
      <c r="Q693" s="502"/>
      <c r="R693" s="502"/>
      <c r="S693" s="502"/>
      <c r="T693" s="332"/>
    </row>
    <row r="694" spans="2:22" ht="92.25" customHeight="1">
      <c r="F694" s="332"/>
      <c r="G694" s="320"/>
      <c r="H694" s="498"/>
      <c r="I694" s="498"/>
      <c r="J694" s="498"/>
      <c r="K694" s="498"/>
      <c r="L694" s="498"/>
      <c r="M694" s="498"/>
      <c r="N694" s="498"/>
      <c r="O694" s="498"/>
      <c r="P694" s="498"/>
      <c r="Q694" s="498"/>
      <c r="R694" s="498"/>
      <c r="S694" s="321"/>
      <c r="T694" s="332"/>
    </row>
    <row r="695" spans="2:22">
      <c r="F695" s="332"/>
      <c r="G695" s="332"/>
      <c r="H695" s="332"/>
      <c r="I695" s="332"/>
      <c r="J695" s="332"/>
      <c r="K695" s="332"/>
      <c r="L695" s="332"/>
      <c r="M695" s="332"/>
      <c r="N695" s="332"/>
      <c r="O695" s="332"/>
      <c r="P695" s="332"/>
      <c r="Q695" s="332"/>
      <c r="R695" s="332"/>
      <c r="S695" s="332"/>
      <c r="T695" s="332"/>
    </row>
    <row r="696" spans="2:22" ht="320.10000000000002" customHeight="1">
      <c r="F696" s="332"/>
      <c r="G696" s="332"/>
      <c r="H696" s="332"/>
      <c r="I696" s="332"/>
      <c r="J696" s="332"/>
      <c r="K696" s="332"/>
      <c r="L696" s="332"/>
      <c r="M696" s="332"/>
      <c r="N696" s="332"/>
      <c r="O696" s="332"/>
      <c r="P696" s="332"/>
      <c r="Q696" s="332"/>
      <c r="R696" s="332"/>
      <c r="S696" s="332"/>
      <c r="T696" s="332"/>
    </row>
    <row r="697" spans="2:22" ht="150" customHeight="1">
      <c r="F697" s="331"/>
      <c r="G697" s="332"/>
      <c r="H697" s="332"/>
      <c r="I697" s="332"/>
      <c r="J697" s="332"/>
      <c r="K697" s="332"/>
      <c r="L697" s="332"/>
      <c r="M697" s="332"/>
      <c r="N697" s="332"/>
      <c r="O697" s="332"/>
      <c r="P697" s="332"/>
      <c r="Q697" s="332"/>
      <c r="R697" s="332"/>
      <c r="S697" s="332"/>
      <c r="T697" s="332"/>
    </row>
    <row r="698" spans="2:22" ht="18.75">
      <c r="B698" s="316"/>
      <c r="F698" s="332"/>
      <c r="G698" s="501" t="s">
        <v>375</v>
      </c>
      <c r="H698" s="501"/>
      <c r="I698" s="501"/>
      <c r="J698" s="501"/>
      <c r="K698" s="501"/>
      <c r="L698" s="501"/>
      <c r="M698" s="501"/>
      <c r="N698" s="501"/>
      <c r="O698" s="501"/>
      <c r="P698" s="501"/>
      <c r="Q698" s="501"/>
      <c r="R698" s="501"/>
      <c r="S698" s="501"/>
      <c r="T698" s="332"/>
      <c r="U698" s="120">
        <v>14</v>
      </c>
      <c r="V698" s="120">
        <v>9</v>
      </c>
    </row>
    <row r="699" spans="2:22" ht="7.5" customHeight="1">
      <c r="F699" s="332"/>
      <c r="G699" s="502"/>
      <c r="H699" s="502"/>
      <c r="I699" s="502"/>
      <c r="J699" s="502"/>
      <c r="K699" s="502"/>
      <c r="L699" s="502"/>
      <c r="M699" s="502"/>
      <c r="N699" s="502"/>
      <c r="O699" s="502"/>
      <c r="P699" s="502"/>
      <c r="Q699" s="502"/>
      <c r="R699" s="502"/>
      <c r="S699" s="502"/>
      <c r="T699" s="332"/>
    </row>
    <row r="700" spans="2:22" ht="92.25" customHeight="1">
      <c r="F700" s="332"/>
      <c r="G700" s="320"/>
      <c r="H700" s="498"/>
      <c r="I700" s="498"/>
      <c r="J700" s="498"/>
      <c r="K700" s="498"/>
      <c r="L700" s="498"/>
      <c r="M700" s="498"/>
      <c r="N700" s="498"/>
      <c r="O700" s="498"/>
      <c r="P700" s="498"/>
      <c r="Q700" s="498"/>
      <c r="R700" s="498"/>
      <c r="S700" s="321"/>
      <c r="T700" s="332"/>
    </row>
    <row r="701" spans="2:22">
      <c r="F701" s="332"/>
      <c r="G701" s="332"/>
      <c r="H701" s="332"/>
      <c r="I701" s="332"/>
      <c r="J701" s="332"/>
      <c r="K701" s="332"/>
      <c r="L701" s="332"/>
      <c r="M701" s="332"/>
      <c r="N701" s="332"/>
      <c r="O701" s="332"/>
      <c r="P701" s="332"/>
      <c r="Q701" s="332"/>
      <c r="R701" s="332"/>
      <c r="S701" s="332"/>
      <c r="T701" s="332"/>
    </row>
    <row r="702" spans="2:22" ht="320.10000000000002" customHeight="1">
      <c r="F702" s="332"/>
      <c r="G702" s="332"/>
      <c r="H702" s="332"/>
      <c r="I702" s="332"/>
      <c r="J702" s="332"/>
      <c r="K702" s="332"/>
      <c r="L702" s="332"/>
      <c r="M702" s="332"/>
      <c r="N702" s="332"/>
      <c r="O702" s="332"/>
      <c r="P702" s="332"/>
      <c r="Q702" s="332"/>
      <c r="R702" s="332"/>
      <c r="S702" s="332"/>
      <c r="T702" s="332"/>
    </row>
    <row r="703" spans="2:22" ht="150" customHeight="1">
      <c r="F703" s="318"/>
      <c r="G703" s="318"/>
      <c r="H703" s="318"/>
      <c r="I703" s="318"/>
      <c r="J703" s="318"/>
      <c r="K703" s="318"/>
      <c r="L703" s="318"/>
      <c r="M703" s="318"/>
      <c r="N703" s="318"/>
      <c r="O703" s="318"/>
      <c r="P703" s="318"/>
      <c r="Q703" s="318"/>
      <c r="R703" s="318"/>
      <c r="S703" s="318"/>
      <c r="T703" s="318"/>
    </row>
    <row r="704" spans="2:22" ht="18.75">
      <c r="B704" s="316"/>
      <c r="F704" s="318"/>
      <c r="G704" s="501" t="s">
        <v>204</v>
      </c>
      <c r="H704" s="501"/>
      <c r="I704" s="501"/>
      <c r="J704" s="501"/>
      <c r="K704" s="501"/>
      <c r="L704" s="501"/>
      <c r="M704" s="501"/>
      <c r="N704" s="501"/>
      <c r="O704" s="501"/>
      <c r="P704" s="501"/>
      <c r="Q704" s="501"/>
      <c r="R704" s="501"/>
      <c r="S704" s="501"/>
      <c r="T704" s="318"/>
      <c r="U704" s="120">
        <v>15</v>
      </c>
    </row>
    <row r="705" spans="2:22" ht="7.5" customHeight="1">
      <c r="F705" s="318"/>
      <c r="G705" s="502"/>
      <c r="H705" s="502"/>
      <c r="I705" s="502"/>
      <c r="J705" s="502"/>
      <c r="K705" s="502"/>
      <c r="L705" s="502"/>
      <c r="M705" s="502"/>
      <c r="N705" s="502"/>
      <c r="O705" s="502"/>
      <c r="P705" s="502"/>
      <c r="Q705" s="502"/>
      <c r="R705" s="502"/>
      <c r="S705" s="502"/>
      <c r="T705" s="318"/>
    </row>
    <row r="706" spans="2:22" ht="176.25" customHeight="1">
      <c r="F706" s="318"/>
      <c r="G706" s="320"/>
      <c r="H706" s="498" t="s">
        <v>568</v>
      </c>
      <c r="I706" s="498"/>
      <c r="J706" s="498"/>
      <c r="K706" s="498"/>
      <c r="L706" s="498"/>
      <c r="M706" s="498"/>
      <c r="N706" s="498"/>
      <c r="O706" s="498"/>
      <c r="P706" s="498"/>
      <c r="Q706" s="498"/>
      <c r="R706" s="498"/>
      <c r="S706" s="321"/>
      <c r="T706" s="318"/>
    </row>
    <row r="707" spans="2:22" ht="145.5" customHeight="1">
      <c r="F707" s="318"/>
      <c r="G707" s="320"/>
      <c r="H707" s="498" t="s">
        <v>569</v>
      </c>
      <c r="I707" s="498"/>
      <c r="J707" s="498"/>
      <c r="K707" s="498"/>
      <c r="L707" s="498"/>
      <c r="M707" s="498"/>
      <c r="N707" s="498"/>
      <c r="O707" s="498"/>
      <c r="P707" s="498"/>
      <c r="Q707" s="498"/>
      <c r="R707" s="498"/>
      <c r="S707" s="321"/>
      <c r="T707" s="318"/>
    </row>
    <row r="708" spans="2:22" ht="320.10000000000002" customHeight="1">
      <c r="F708" s="318"/>
      <c r="G708" s="318"/>
      <c r="H708" s="318"/>
      <c r="I708" s="318"/>
      <c r="J708" s="318"/>
      <c r="K708" s="318"/>
      <c r="L708" s="318"/>
      <c r="M708" s="318"/>
      <c r="N708" s="318"/>
      <c r="O708" s="318"/>
      <c r="P708" s="318"/>
      <c r="Q708" s="318"/>
      <c r="R708" s="318"/>
      <c r="S708" s="318"/>
      <c r="T708" s="318"/>
    </row>
    <row r="709" spans="2:22" ht="150" customHeight="1">
      <c r="F709" s="318"/>
      <c r="G709" s="318"/>
      <c r="H709" s="318"/>
      <c r="I709" s="318"/>
      <c r="J709" s="318"/>
      <c r="K709" s="318"/>
      <c r="L709" s="318"/>
      <c r="M709" s="318"/>
      <c r="N709" s="318"/>
      <c r="O709" s="318"/>
      <c r="P709" s="318"/>
      <c r="Q709" s="318"/>
      <c r="R709" s="318"/>
      <c r="S709" s="318"/>
      <c r="T709" s="318"/>
    </row>
    <row r="710" spans="2:22" ht="18.75">
      <c r="B710" s="316"/>
      <c r="F710" s="318"/>
      <c r="G710" s="501" t="s">
        <v>570</v>
      </c>
      <c r="H710" s="501"/>
      <c r="I710" s="501"/>
      <c r="J710" s="501"/>
      <c r="K710" s="501"/>
      <c r="L710" s="501"/>
      <c r="M710" s="501"/>
      <c r="N710" s="501"/>
      <c r="O710" s="501"/>
      <c r="P710" s="501"/>
      <c r="Q710" s="501"/>
      <c r="R710" s="501"/>
      <c r="S710" s="501"/>
      <c r="T710" s="318"/>
      <c r="U710" s="120">
        <v>15</v>
      </c>
      <c r="V710" s="120">
        <v>1</v>
      </c>
    </row>
    <row r="711" spans="2:22" ht="7.5" customHeight="1">
      <c r="F711" s="318"/>
      <c r="G711" s="502"/>
      <c r="H711" s="502"/>
      <c r="I711" s="502"/>
      <c r="J711" s="502"/>
      <c r="K711" s="502"/>
      <c r="L711" s="502"/>
      <c r="M711" s="502"/>
      <c r="N711" s="502"/>
      <c r="O711" s="502"/>
      <c r="P711" s="502"/>
      <c r="Q711" s="502"/>
      <c r="R711" s="502"/>
      <c r="S711" s="502"/>
      <c r="T711" s="318"/>
    </row>
    <row r="712" spans="2:22" ht="50.25" customHeight="1">
      <c r="F712" s="318"/>
      <c r="G712" s="320"/>
      <c r="H712" s="498" t="s">
        <v>297</v>
      </c>
      <c r="I712" s="498"/>
      <c r="J712" s="498"/>
      <c r="K712" s="498"/>
      <c r="L712" s="498"/>
      <c r="M712" s="498"/>
      <c r="N712" s="498"/>
      <c r="O712" s="498"/>
      <c r="P712" s="498"/>
      <c r="Q712" s="498"/>
      <c r="R712" s="498"/>
      <c r="S712" s="321"/>
      <c r="T712" s="318"/>
    </row>
    <row r="713" spans="2:22">
      <c r="F713" s="318"/>
      <c r="G713" s="318"/>
      <c r="H713" s="318"/>
      <c r="I713" s="318"/>
      <c r="J713" s="318"/>
      <c r="K713" s="318"/>
      <c r="L713" s="318"/>
      <c r="M713" s="318"/>
      <c r="N713" s="318"/>
      <c r="O713" s="318"/>
      <c r="P713" s="318"/>
      <c r="Q713" s="318"/>
      <c r="R713" s="318"/>
      <c r="S713" s="318"/>
      <c r="T713" s="318"/>
    </row>
    <row r="714" spans="2:22" ht="320.10000000000002" customHeight="1">
      <c r="F714" s="318"/>
      <c r="G714" s="318"/>
      <c r="H714" s="318"/>
      <c r="I714" s="318"/>
      <c r="J714" s="318"/>
      <c r="K714" s="318"/>
      <c r="L714" s="318"/>
      <c r="M714" s="318"/>
      <c r="N714" s="318"/>
      <c r="O714" s="318"/>
      <c r="P714" s="318"/>
      <c r="Q714" s="318"/>
      <c r="R714" s="318"/>
      <c r="S714" s="318"/>
      <c r="T714" s="318"/>
    </row>
    <row r="715" spans="2:22" ht="150" customHeight="1">
      <c r="F715" s="318"/>
      <c r="G715" s="318"/>
      <c r="H715" s="318"/>
      <c r="I715" s="318"/>
      <c r="J715" s="318"/>
      <c r="K715" s="318"/>
      <c r="L715" s="318"/>
      <c r="M715" s="318"/>
      <c r="N715" s="318"/>
      <c r="O715" s="318"/>
      <c r="P715" s="318"/>
      <c r="Q715" s="318"/>
      <c r="R715" s="318"/>
      <c r="S715" s="318"/>
      <c r="T715" s="318"/>
    </row>
    <row r="716" spans="2:22" ht="18.75">
      <c r="B716" s="316"/>
      <c r="F716" s="318"/>
      <c r="G716" s="501" t="s">
        <v>93</v>
      </c>
      <c r="H716" s="501"/>
      <c r="I716" s="501"/>
      <c r="J716" s="501"/>
      <c r="K716" s="501"/>
      <c r="L716" s="501"/>
      <c r="M716" s="501"/>
      <c r="N716" s="501"/>
      <c r="O716" s="501"/>
      <c r="P716" s="501"/>
      <c r="Q716" s="501"/>
      <c r="R716" s="501"/>
      <c r="S716" s="501"/>
      <c r="T716" s="318"/>
      <c r="U716" s="120">
        <v>15</v>
      </c>
      <c r="V716" s="120">
        <v>2</v>
      </c>
    </row>
    <row r="717" spans="2:22" ht="7.5" customHeight="1">
      <c r="F717" s="318"/>
      <c r="G717" s="502"/>
      <c r="H717" s="502"/>
      <c r="I717" s="502"/>
      <c r="J717" s="502"/>
      <c r="K717" s="502"/>
      <c r="L717" s="502"/>
      <c r="M717" s="502"/>
      <c r="N717" s="502"/>
      <c r="O717" s="502"/>
      <c r="P717" s="502"/>
      <c r="Q717" s="502"/>
      <c r="R717" s="502"/>
      <c r="S717" s="502"/>
      <c r="T717" s="318"/>
    </row>
    <row r="718" spans="2:22" ht="51" customHeight="1">
      <c r="F718" s="318"/>
      <c r="G718" s="320"/>
      <c r="H718" s="498" t="s">
        <v>297</v>
      </c>
      <c r="I718" s="498"/>
      <c r="J718" s="498"/>
      <c r="K718" s="498"/>
      <c r="L718" s="498"/>
      <c r="M718" s="498"/>
      <c r="N718" s="498"/>
      <c r="O718" s="498"/>
      <c r="P718" s="498"/>
      <c r="Q718" s="498"/>
      <c r="R718" s="498"/>
      <c r="S718" s="321"/>
      <c r="T718" s="318"/>
    </row>
    <row r="719" spans="2:22">
      <c r="F719" s="318"/>
      <c r="G719" s="318"/>
      <c r="H719" s="318"/>
      <c r="I719" s="318"/>
      <c r="J719" s="318"/>
      <c r="K719" s="318"/>
      <c r="L719" s="318"/>
      <c r="M719" s="318"/>
      <c r="N719" s="318"/>
      <c r="O719" s="318"/>
      <c r="P719" s="318"/>
      <c r="Q719" s="318"/>
      <c r="R719" s="318"/>
      <c r="S719" s="318"/>
      <c r="T719" s="318"/>
    </row>
    <row r="720" spans="2:22" ht="320.10000000000002" customHeight="1">
      <c r="F720" s="318"/>
      <c r="G720" s="318"/>
      <c r="H720" s="318"/>
      <c r="I720" s="318"/>
      <c r="J720" s="318"/>
      <c r="K720" s="318"/>
      <c r="L720" s="318"/>
      <c r="M720" s="318"/>
      <c r="N720" s="318"/>
      <c r="O720" s="318"/>
      <c r="P720" s="318"/>
      <c r="Q720" s="318"/>
      <c r="R720" s="318"/>
      <c r="S720" s="318"/>
      <c r="T720" s="318"/>
    </row>
    <row r="721" spans="2:22" ht="150" customHeight="1">
      <c r="F721" s="318"/>
      <c r="G721" s="318"/>
      <c r="H721" s="318"/>
      <c r="I721" s="318"/>
      <c r="J721" s="318"/>
      <c r="K721" s="318"/>
      <c r="L721" s="318"/>
      <c r="M721" s="318"/>
      <c r="N721" s="318"/>
      <c r="O721" s="318"/>
      <c r="P721" s="318"/>
      <c r="Q721" s="318"/>
      <c r="R721" s="318"/>
      <c r="S721" s="318"/>
      <c r="T721" s="318"/>
    </row>
    <row r="722" spans="2:22" ht="18.75">
      <c r="B722" s="316"/>
      <c r="F722" s="318"/>
      <c r="G722" s="501" t="s">
        <v>165</v>
      </c>
      <c r="H722" s="501"/>
      <c r="I722" s="501"/>
      <c r="J722" s="501"/>
      <c r="K722" s="501"/>
      <c r="L722" s="501"/>
      <c r="M722" s="501"/>
      <c r="N722" s="501"/>
      <c r="O722" s="501"/>
      <c r="P722" s="501"/>
      <c r="Q722" s="501"/>
      <c r="R722" s="501"/>
      <c r="S722" s="501"/>
      <c r="T722" s="318"/>
      <c r="U722" s="120">
        <v>15</v>
      </c>
      <c r="V722" s="120">
        <v>3</v>
      </c>
    </row>
    <row r="723" spans="2:22" ht="7.5" customHeight="1">
      <c r="F723" s="318"/>
      <c r="G723" s="502"/>
      <c r="H723" s="502"/>
      <c r="I723" s="502"/>
      <c r="J723" s="502"/>
      <c r="K723" s="502"/>
      <c r="L723" s="502"/>
      <c r="M723" s="502"/>
      <c r="N723" s="502"/>
      <c r="O723" s="502"/>
      <c r="P723" s="502"/>
      <c r="Q723" s="502"/>
      <c r="R723" s="502"/>
      <c r="S723" s="502"/>
      <c r="T723" s="318"/>
    </row>
    <row r="724" spans="2:22" ht="50.25" customHeight="1">
      <c r="F724" s="318"/>
      <c r="G724" s="320"/>
      <c r="H724" s="498" t="s">
        <v>297</v>
      </c>
      <c r="I724" s="498"/>
      <c r="J724" s="498"/>
      <c r="K724" s="498"/>
      <c r="L724" s="498"/>
      <c r="M724" s="498"/>
      <c r="N724" s="498"/>
      <c r="O724" s="498"/>
      <c r="P724" s="498"/>
      <c r="Q724" s="498"/>
      <c r="R724" s="498"/>
      <c r="S724" s="321"/>
      <c r="T724" s="318"/>
    </row>
    <row r="725" spans="2:22">
      <c r="F725" s="318"/>
      <c r="G725" s="318"/>
      <c r="H725" s="318"/>
      <c r="I725" s="318"/>
      <c r="J725" s="318"/>
      <c r="K725" s="318"/>
      <c r="L725" s="318"/>
      <c r="M725" s="318"/>
      <c r="N725" s="318"/>
      <c r="O725" s="318"/>
      <c r="P725" s="318"/>
      <c r="Q725" s="318"/>
      <c r="R725" s="318"/>
      <c r="S725" s="318"/>
      <c r="T725" s="318"/>
    </row>
    <row r="726" spans="2:22" ht="320.10000000000002" customHeight="1">
      <c r="F726" s="318"/>
      <c r="G726" s="318"/>
      <c r="H726" s="318"/>
      <c r="I726" s="318"/>
      <c r="J726" s="318"/>
      <c r="K726" s="318"/>
      <c r="L726" s="318"/>
      <c r="M726" s="318"/>
      <c r="N726" s="318"/>
      <c r="O726" s="318"/>
      <c r="P726" s="318"/>
      <c r="Q726" s="318"/>
      <c r="R726" s="318"/>
      <c r="S726" s="318"/>
      <c r="T726" s="318"/>
    </row>
    <row r="727" spans="2:22" ht="150" customHeight="1">
      <c r="F727" s="318"/>
      <c r="G727" s="318"/>
      <c r="H727" s="318"/>
      <c r="I727" s="318"/>
      <c r="J727" s="318"/>
      <c r="K727" s="318"/>
      <c r="L727" s="318"/>
      <c r="M727" s="318"/>
      <c r="N727" s="318"/>
      <c r="O727" s="318"/>
      <c r="P727" s="318"/>
      <c r="Q727" s="318"/>
      <c r="R727" s="318"/>
      <c r="S727" s="318"/>
      <c r="T727" s="318"/>
    </row>
    <row r="728" spans="2:22" ht="18.75">
      <c r="B728" s="316"/>
      <c r="F728" s="318"/>
      <c r="G728" s="501" t="s">
        <v>94</v>
      </c>
      <c r="H728" s="501"/>
      <c r="I728" s="501"/>
      <c r="J728" s="501"/>
      <c r="K728" s="501"/>
      <c r="L728" s="501"/>
      <c r="M728" s="501"/>
      <c r="N728" s="501"/>
      <c r="O728" s="501"/>
      <c r="P728" s="501"/>
      <c r="Q728" s="501"/>
      <c r="R728" s="501"/>
      <c r="S728" s="501"/>
      <c r="T728" s="318"/>
      <c r="U728" s="120">
        <v>15</v>
      </c>
      <c r="V728" s="120">
        <v>4</v>
      </c>
    </row>
    <row r="729" spans="2:22" ht="7.5" customHeight="1">
      <c r="F729" s="318"/>
      <c r="G729" s="502"/>
      <c r="H729" s="502"/>
      <c r="I729" s="502"/>
      <c r="J729" s="502"/>
      <c r="K729" s="502"/>
      <c r="L729" s="502"/>
      <c r="M729" s="502"/>
      <c r="N729" s="502"/>
      <c r="O729" s="502"/>
      <c r="P729" s="502"/>
      <c r="Q729" s="502"/>
      <c r="R729" s="502"/>
      <c r="S729" s="502"/>
      <c r="T729" s="318"/>
    </row>
    <row r="730" spans="2:22" ht="50.25" customHeight="1">
      <c r="F730" s="318"/>
      <c r="G730" s="320"/>
      <c r="H730" s="498" t="s">
        <v>297</v>
      </c>
      <c r="I730" s="498"/>
      <c r="J730" s="498"/>
      <c r="K730" s="498"/>
      <c r="L730" s="498"/>
      <c r="M730" s="498"/>
      <c r="N730" s="498"/>
      <c r="O730" s="498"/>
      <c r="P730" s="498"/>
      <c r="Q730" s="498"/>
      <c r="R730" s="498"/>
      <c r="S730" s="321"/>
      <c r="T730" s="318"/>
    </row>
    <row r="731" spans="2:22" ht="23.25">
      <c r="F731" s="318"/>
      <c r="G731" s="318"/>
      <c r="H731" s="318"/>
      <c r="I731" s="318"/>
      <c r="J731" s="318"/>
      <c r="K731" s="334"/>
      <c r="L731" s="318"/>
      <c r="M731" s="318"/>
      <c r="N731" s="318"/>
      <c r="O731" s="318"/>
      <c r="P731" s="318"/>
      <c r="Q731" s="318"/>
      <c r="R731" s="318"/>
      <c r="S731" s="318"/>
      <c r="T731" s="318"/>
    </row>
    <row r="732" spans="2:22" ht="320.10000000000002" customHeight="1">
      <c r="F732" s="318"/>
      <c r="G732" s="318"/>
      <c r="H732" s="318"/>
      <c r="I732" s="318"/>
      <c r="J732" s="318"/>
      <c r="K732" s="318"/>
      <c r="L732" s="318"/>
      <c r="M732" s="318"/>
      <c r="N732" s="318"/>
      <c r="O732" s="318"/>
      <c r="P732" s="318"/>
      <c r="Q732" s="318"/>
      <c r="R732" s="318"/>
      <c r="S732" s="318"/>
      <c r="T732" s="318"/>
    </row>
    <row r="733" spans="2:22" ht="150" customHeight="1">
      <c r="F733" s="318"/>
      <c r="G733" s="318"/>
      <c r="H733" s="318"/>
      <c r="I733" s="318"/>
      <c r="J733" s="318"/>
      <c r="K733" s="318"/>
      <c r="L733" s="318"/>
      <c r="M733" s="318"/>
      <c r="N733" s="318"/>
      <c r="O733" s="318"/>
      <c r="P733" s="318"/>
      <c r="Q733" s="318"/>
      <c r="R733" s="318"/>
      <c r="S733" s="318"/>
      <c r="T733" s="318"/>
    </row>
    <row r="734" spans="2:22" ht="18.75">
      <c r="B734" s="316"/>
      <c r="F734" s="318"/>
      <c r="G734" s="501" t="s">
        <v>95</v>
      </c>
      <c r="H734" s="501"/>
      <c r="I734" s="501"/>
      <c r="J734" s="501"/>
      <c r="K734" s="501"/>
      <c r="L734" s="501"/>
      <c r="M734" s="501"/>
      <c r="N734" s="501"/>
      <c r="O734" s="501"/>
      <c r="P734" s="501"/>
      <c r="Q734" s="501"/>
      <c r="R734" s="501"/>
      <c r="S734" s="501"/>
      <c r="T734" s="318"/>
      <c r="U734" s="120">
        <v>15</v>
      </c>
      <c r="V734" s="120">
        <v>5</v>
      </c>
    </row>
    <row r="735" spans="2:22" ht="7.5" customHeight="1">
      <c r="F735" s="318"/>
      <c r="G735" s="502"/>
      <c r="H735" s="502"/>
      <c r="I735" s="502"/>
      <c r="J735" s="502"/>
      <c r="K735" s="502"/>
      <c r="L735" s="502"/>
      <c r="M735" s="502"/>
      <c r="N735" s="502"/>
      <c r="O735" s="502"/>
      <c r="P735" s="502"/>
      <c r="Q735" s="502"/>
      <c r="R735" s="502"/>
      <c r="S735" s="502"/>
      <c r="T735" s="318"/>
    </row>
    <row r="736" spans="2:22" ht="50.25" customHeight="1">
      <c r="F736" s="318"/>
      <c r="G736" s="320"/>
      <c r="H736" s="498" t="s">
        <v>297</v>
      </c>
      <c r="I736" s="498"/>
      <c r="J736" s="498"/>
      <c r="K736" s="498"/>
      <c r="L736" s="498"/>
      <c r="M736" s="498"/>
      <c r="N736" s="498"/>
      <c r="O736" s="498"/>
      <c r="P736" s="498"/>
      <c r="Q736" s="498"/>
      <c r="R736" s="498"/>
      <c r="S736" s="321"/>
      <c r="T736" s="318"/>
    </row>
    <row r="737" spans="2:22">
      <c r="F737" s="318"/>
      <c r="G737" s="318"/>
      <c r="H737" s="318"/>
      <c r="I737" s="318"/>
      <c r="J737" s="318"/>
      <c r="K737" s="318"/>
      <c r="L737" s="318"/>
      <c r="M737" s="318"/>
      <c r="N737" s="318"/>
      <c r="O737" s="318"/>
      <c r="P737" s="318"/>
      <c r="Q737" s="318"/>
      <c r="R737" s="318"/>
      <c r="S737" s="318"/>
      <c r="T737" s="318"/>
    </row>
    <row r="738" spans="2:22" ht="320.10000000000002" customHeight="1">
      <c r="F738" s="318"/>
      <c r="G738" s="318"/>
      <c r="H738" s="318"/>
      <c r="I738" s="318"/>
      <c r="J738" s="318"/>
      <c r="K738" s="318"/>
      <c r="L738" s="318"/>
      <c r="M738" s="318"/>
      <c r="N738" s="318"/>
      <c r="O738" s="318"/>
      <c r="P738" s="318"/>
      <c r="Q738" s="318"/>
      <c r="R738" s="318"/>
      <c r="S738" s="318"/>
      <c r="T738" s="318"/>
    </row>
    <row r="739" spans="2:22" ht="150" customHeight="1">
      <c r="F739" s="318"/>
      <c r="G739" s="318"/>
      <c r="H739" s="318"/>
      <c r="I739" s="318"/>
      <c r="J739" s="318"/>
      <c r="K739" s="318"/>
      <c r="L739" s="318"/>
      <c r="M739" s="318"/>
      <c r="N739" s="318"/>
      <c r="O739" s="318"/>
      <c r="P739" s="318"/>
      <c r="Q739" s="318"/>
      <c r="R739" s="318"/>
      <c r="S739" s="318"/>
      <c r="T739" s="318"/>
    </row>
    <row r="740" spans="2:22" ht="18.75">
      <c r="B740" s="316"/>
      <c r="F740" s="318"/>
      <c r="G740" s="501" t="s">
        <v>271</v>
      </c>
      <c r="H740" s="501"/>
      <c r="I740" s="501"/>
      <c r="J740" s="501"/>
      <c r="K740" s="501"/>
      <c r="L740" s="501"/>
      <c r="M740" s="501"/>
      <c r="N740" s="501"/>
      <c r="O740" s="501"/>
      <c r="P740" s="501"/>
      <c r="Q740" s="501"/>
      <c r="R740" s="501"/>
      <c r="S740" s="501"/>
      <c r="T740" s="318"/>
      <c r="U740" s="120">
        <v>15</v>
      </c>
      <c r="V740" s="120">
        <v>6</v>
      </c>
    </row>
    <row r="741" spans="2:22" ht="7.5" customHeight="1">
      <c r="F741" s="318"/>
      <c r="G741" s="502"/>
      <c r="H741" s="502"/>
      <c r="I741" s="502"/>
      <c r="J741" s="502"/>
      <c r="K741" s="502"/>
      <c r="L741" s="502"/>
      <c r="M741" s="502"/>
      <c r="N741" s="502"/>
      <c r="O741" s="502"/>
      <c r="P741" s="502"/>
      <c r="Q741" s="502"/>
      <c r="R741" s="502"/>
      <c r="S741" s="502"/>
      <c r="T741" s="318"/>
    </row>
    <row r="742" spans="2:22" ht="50.25" customHeight="1">
      <c r="F742" s="318"/>
      <c r="G742" s="320"/>
      <c r="H742" s="498" t="s">
        <v>297</v>
      </c>
      <c r="I742" s="498"/>
      <c r="J742" s="498"/>
      <c r="K742" s="498"/>
      <c r="L742" s="498"/>
      <c r="M742" s="498"/>
      <c r="N742" s="498"/>
      <c r="O742" s="498"/>
      <c r="P742" s="498"/>
      <c r="Q742" s="498"/>
      <c r="R742" s="498"/>
      <c r="S742" s="321"/>
      <c r="T742" s="318"/>
    </row>
    <row r="743" spans="2:22">
      <c r="F743" s="318"/>
      <c r="G743" s="318"/>
      <c r="H743" s="318"/>
      <c r="I743" s="318"/>
      <c r="J743" s="318"/>
      <c r="K743" s="318"/>
      <c r="L743" s="318"/>
      <c r="M743" s="318"/>
      <c r="N743" s="318"/>
      <c r="O743" s="318"/>
      <c r="P743" s="318"/>
      <c r="Q743" s="318"/>
      <c r="R743" s="318"/>
      <c r="S743" s="318"/>
      <c r="T743" s="318"/>
    </row>
    <row r="744" spans="2:22" ht="320.10000000000002" customHeight="1">
      <c r="F744" s="318"/>
      <c r="G744" s="318"/>
      <c r="H744" s="318"/>
      <c r="I744" s="318"/>
      <c r="J744" s="318"/>
      <c r="K744" s="318"/>
      <c r="L744" s="318"/>
      <c r="M744" s="318"/>
      <c r="N744" s="318"/>
      <c r="O744" s="318"/>
      <c r="P744" s="318"/>
      <c r="Q744" s="318"/>
      <c r="R744" s="318"/>
      <c r="S744" s="318"/>
      <c r="T744" s="318"/>
    </row>
    <row r="745" spans="2:22" ht="150" customHeight="1">
      <c r="F745" s="318"/>
      <c r="G745" s="318"/>
      <c r="H745" s="318"/>
      <c r="I745" s="318"/>
      <c r="J745" s="318"/>
      <c r="K745" s="318"/>
      <c r="L745" s="318"/>
      <c r="M745" s="318"/>
      <c r="N745" s="318"/>
      <c r="O745" s="318"/>
      <c r="P745" s="318"/>
      <c r="Q745" s="318"/>
      <c r="R745" s="318"/>
      <c r="S745" s="318"/>
      <c r="T745" s="318"/>
    </row>
    <row r="746" spans="2:22" ht="18.75">
      <c r="B746" s="316"/>
      <c r="F746" s="318"/>
      <c r="G746" s="501" t="s">
        <v>352</v>
      </c>
      <c r="H746" s="501"/>
      <c r="I746" s="501"/>
      <c r="J746" s="501"/>
      <c r="K746" s="501"/>
      <c r="L746" s="501"/>
      <c r="M746" s="501"/>
      <c r="N746" s="501"/>
      <c r="O746" s="501"/>
      <c r="P746" s="501"/>
      <c r="Q746" s="501"/>
      <c r="R746" s="501"/>
      <c r="S746" s="501"/>
      <c r="T746" s="318"/>
      <c r="U746" s="120">
        <v>15</v>
      </c>
      <c r="V746" s="120">
        <v>7</v>
      </c>
    </row>
    <row r="747" spans="2:22" ht="7.5" customHeight="1">
      <c r="F747" s="318"/>
      <c r="G747" s="502"/>
      <c r="H747" s="502"/>
      <c r="I747" s="502"/>
      <c r="J747" s="502"/>
      <c r="K747" s="502"/>
      <c r="L747" s="502"/>
      <c r="M747" s="502"/>
      <c r="N747" s="502"/>
      <c r="O747" s="502"/>
      <c r="P747" s="502"/>
      <c r="Q747" s="502"/>
      <c r="R747" s="502"/>
      <c r="S747" s="502"/>
      <c r="T747" s="318"/>
    </row>
    <row r="748" spans="2:22" ht="50.25" customHeight="1">
      <c r="F748" s="318"/>
      <c r="G748" s="320"/>
      <c r="H748" s="498" t="s">
        <v>354</v>
      </c>
      <c r="I748" s="498"/>
      <c r="J748" s="498"/>
      <c r="K748" s="498"/>
      <c r="L748" s="498"/>
      <c r="M748" s="498"/>
      <c r="N748" s="498"/>
      <c r="O748" s="498"/>
      <c r="P748" s="498"/>
      <c r="Q748" s="498"/>
      <c r="R748" s="498"/>
      <c r="S748" s="321"/>
      <c r="T748" s="318"/>
    </row>
    <row r="749" spans="2:22">
      <c r="F749" s="318"/>
      <c r="G749" s="318"/>
      <c r="H749" s="318"/>
      <c r="I749" s="318"/>
      <c r="J749" s="318"/>
      <c r="K749" s="318"/>
      <c r="L749" s="318"/>
      <c r="M749" s="318"/>
      <c r="N749" s="318"/>
      <c r="O749" s="318"/>
      <c r="P749" s="318"/>
      <c r="Q749" s="318"/>
      <c r="R749" s="318"/>
      <c r="S749" s="318"/>
      <c r="T749" s="318"/>
    </row>
    <row r="750" spans="2:22" ht="320.10000000000002" customHeight="1">
      <c r="F750" s="318"/>
      <c r="G750" s="318"/>
      <c r="H750" s="318"/>
      <c r="I750" s="318"/>
      <c r="J750" s="318"/>
      <c r="K750" s="318"/>
      <c r="L750" s="318"/>
      <c r="M750" s="318"/>
      <c r="N750" s="318"/>
      <c r="O750" s="318"/>
      <c r="P750" s="318"/>
      <c r="Q750" s="318"/>
      <c r="R750" s="318"/>
      <c r="S750" s="318"/>
      <c r="T750" s="318"/>
    </row>
    <row r="751" spans="2:22" ht="150" customHeight="1">
      <c r="F751" s="318"/>
      <c r="G751" s="318"/>
      <c r="H751" s="318"/>
      <c r="I751" s="318"/>
      <c r="J751" s="318"/>
      <c r="K751" s="318"/>
      <c r="L751" s="318"/>
      <c r="M751" s="318"/>
      <c r="N751" s="318"/>
      <c r="O751" s="318"/>
      <c r="P751" s="318"/>
      <c r="Q751" s="318"/>
      <c r="R751" s="318"/>
      <c r="S751" s="318"/>
      <c r="T751" s="318"/>
    </row>
    <row r="752" spans="2:22" ht="18.75">
      <c r="B752" s="316"/>
      <c r="F752" s="318"/>
      <c r="G752" s="501" t="s">
        <v>96</v>
      </c>
      <c r="H752" s="501"/>
      <c r="I752" s="501"/>
      <c r="J752" s="501"/>
      <c r="K752" s="501"/>
      <c r="L752" s="501"/>
      <c r="M752" s="501"/>
      <c r="N752" s="501"/>
      <c r="O752" s="501"/>
      <c r="P752" s="501"/>
      <c r="Q752" s="501"/>
      <c r="R752" s="501"/>
      <c r="S752" s="501"/>
      <c r="T752" s="318"/>
      <c r="U752" s="120">
        <v>15</v>
      </c>
      <c r="V752" s="120">
        <v>8</v>
      </c>
    </row>
    <row r="753" spans="2:22" ht="7.5" customHeight="1">
      <c r="F753" s="318"/>
      <c r="G753" s="502"/>
      <c r="H753" s="502"/>
      <c r="I753" s="502"/>
      <c r="J753" s="502"/>
      <c r="K753" s="502"/>
      <c r="L753" s="502"/>
      <c r="M753" s="502"/>
      <c r="N753" s="502"/>
      <c r="O753" s="502"/>
      <c r="P753" s="502"/>
      <c r="Q753" s="502"/>
      <c r="R753" s="502"/>
      <c r="S753" s="502"/>
      <c r="T753" s="318"/>
    </row>
    <row r="754" spans="2:22" ht="50.25" customHeight="1">
      <c r="F754" s="318"/>
      <c r="G754" s="320"/>
      <c r="H754" s="498" t="s">
        <v>297</v>
      </c>
      <c r="I754" s="498"/>
      <c r="J754" s="498"/>
      <c r="K754" s="498"/>
      <c r="L754" s="498"/>
      <c r="M754" s="498"/>
      <c r="N754" s="498"/>
      <c r="O754" s="498"/>
      <c r="P754" s="498"/>
      <c r="Q754" s="498"/>
      <c r="R754" s="498"/>
      <c r="S754" s="321"/>
      <c r="T754" s="318"/>
    </row>
    <row r="755" spans="2:22">
      <c r="F755" s="318"/>
      <c r="G755" s="318"/>
      <c r="H755" s="318"/>
      <c r="I755" s="318"/>
      <c r="J755" s="318"/>
      <c r="K755" s="318"/>
      <c r="L755" s="318"/>
      <c r="M755" s="318"/>
      <c r="N755" s="318"/>
      <c r="O755" s="318"/>
      <c r="P755" s="318"/>
      <c r="Q755" s="318"/>
      <c r="R755" s="318"/>
      <c r="S755" s="318"/>
      <c r="T755" s="318"/>
    </row>
    <row r="756" spans="2:22" ht="320.10000000000002" customHeight="1">
      <c r="F756" s="318"/>
      <c r="G756" s="318"/>
      <c r="H756" s="318"/>
      <c r="I756" s="318"/>
      <c r="J756" s="318"/>
      <c r="K756" s="318"/>
      <c r="L756" s="318"/>
      <c r="M756" s="318"/>
      <c r="N756" s="318"/>
      <c r="O756" s="318"/>
      <c r="P756" s="318"/>
      <c r="Q756" s="318"/>
      <c r="R756" s="318"/>
      <c r="S756" s="318"/>
      <c r="T756" s="318"/>
    </row>
    <row r="757" spans="2:22" ht="150" customHeight="1">
      <c r="F757" s="318"/>
      <c r="G757" s="318"/>
      <c r="H757" s="318"/>
      <c r="I757" s="318"/>
      <c r="J757" s="318"/>
      <c r="K757" s="318"/>
      <c r="L757" s="318"/>
      <c r="M757" s="318"/>
      <c r="N757" s="318"/>
      <c r="O757" s="318"/>
      <c r="P757" s="318"/>
      <c r="Q757" s="318"/>
      <c r="R757" s="318"/>
      <c r="S757" s="318"/>
      <c r="T757" s="318"/>
    </row>
    <row r="758" spans="2:22" ht="18.75">
      <c r="B758" s="316"/>
      <c r="F758" s="318"/>
      <c r="G758" s="501" t="s">
        <v>97</v>
      </c>
      <c r="H758" s="501"/>
      <c r="I758" s="501"/>
      <c r="J758" s="501"/>
      <c r="K758" s="501"/>
      <c r="L758" s="501"/>
      <c r="M758" s="501"/>
      <c r="N758" s="501"/>
      <c r="O758" s="501"/>
      <c r="P758" s="501"/>
      <c r="Q758" s="501"/>
      <c r="R758" s="501"/>
      <c r="S758" s="501"/>
      <c r="T758" s="318"/>
      <c r="U758" s="120">
        <v>16</v>
      </c>
    </row>
    <row r="759" spans="2:22" ht="7.5" customHeight="1">
      <c r="F759" s="318"/>
      <c r="G759" s="502"/>
      <c r="H759" s="502"/>
      <c r="I759" s="502"/>
      <c r="J759" s="502"/>
      <c r="K759" s="502"/>
      <c r="L759" s="502"/>
      <c r="M759" s="502"/>
      <c r="N759" s="502"/>
      <c r="O759" s="502"/>
      <c r="P759" s="502"/>
      <c r="Q759" s="502"/>
      <c r="R759" s="502"/>
      <c r="S759" s="502"/>
      <c r="T759" s="318"/>
    </row>
    <row r="760" spans="2:22" ht="200.25" customHeight="1">
      <c r="F760" s="318"/>
      <c r="G760" s="320"/>
      <c r="H760" s="498" t="s">
        <v>323</v>
      </c>
      <c r="I760" s="498"/>
      <c r="J760" s="498"/>
      <c r="K760" s="498"/>
      <c r="L760" s="498"/>
      <c r="M760" s="498"/>
      <c r="N760" s="498"/>
      <c r="O760" s="498"/>
      <c r="P760" s="498"/>
      <c r="Q760" s="498"/>
      <c r="R760" s="498"/>
      <c r="S760" s="321"/>
      <c r="T760" s="318"/>
    </row>
    <row r="761" spans="2:22">
      <c r="F761" s="318"/>
      <c r="G761" s="318"/>
      <c r="H761" s="318"/>
      <c r="I761" s="318"/>
      <c r="J761" s="318"/>
      <c r="K761" s="318"/>
      <c r="L761" s="318"/>
      <c r="M761" s="318"/>
      <c r="N761" s="318"/>
      <c r="O761" s="318"/>
      <c r="P761" s="318"/>
      <c r="Q761" s="318"/>
      <c r="R761" s="318"/>
      <c r="S761" s="318"/>
      <c r="T761" s="318"/>
    </row>
    <row r="762" spans="2:22" ht="320.10000000000002" customHeight="1">
      <c r="F762" s="318"/>
      <c r="G762" s="318"/>
      <c r="H762" s="318"/>
      <c r="I762" s="318"/>
      <c r="J762" s="318"/>
      <c r="K762" s="318"/>
      <c r="L762" s="318"/>
      <c r="M762" s="318"/>
      <c r="N762" s="318"/>
      <c r="O762" s="318"/>
      <c r="P762" s="318"/>
      <c r="Q762" s="318"/>
      <c r="R762" s="318"/>
      <c r="S762" s="318"/>
      <c r="T762" s="318"/>
    </row>
    <row r="763" spans="2:22" ht="150" customHeight="1">
      <c r="F763" s="318"/>
      <c r="G763" s="318"/>
      <c r="H763" s="318"/>
      <c r="I763" s="318"/>
      <c r="J763" s="318"/>
      <c r="K763" s="318"/>
      <c r="L763" s="318"/>
      <c r="M763" s="318"/>
      <c r="N763" s="318"/>
      <c r="O763" s="318"/>
      <c r="P763" s="318"/>
      <c r="Q763" s="318"/>
      <c r="R763" s="318"/>
      <c r="S763" s="318"/>
      <c r="T763" s="318"/>
    </row>
    <row r="764" spans="2:22" ht="18.75">
      <c r="B764" s="316"/>
      <c r="F764" s="318"/>
      <c r="G764" s="501" t="s">
        <v>36</v>
      </c>
      <c r="H764" s="501"/>
      <c r="I764" s="501"/>
      <c r="J764" s="501"/>
      <c r="K764" s="501"/>
      <c r="L764" s="501"/>
      <c r="M764" s="501"/>
      <c r="N764" s="501"/>
      <c r="O764" s="501"/>
      <c r="P764" s="501"/>
      <c r="Q764" s="501"/>
      <c r="R764" s="501"/>
      <c r="S764" s="501"/>
      <c r="T764" s="318"/>
      <c r="U764" s="120">
        <v>16</v>
      </c>
      <c r="V764" s="120">
        <v>1</v>
      </c>
    </row>
    <row r="765" spans="2:22" ht="7.5" customHeight="1">
      <c r="F765" s="318"/>
      <c r="G765" s="502"/>
      <c r="H765" s="502"/>
      <c r="I765" s="502"/>
      <c r="J765" s="502"/>
      <c r="K765" s="502"/>
      <c r="L765" s="502"/>
      <c r="M765" s="502"/>
      <c r="N765" s="502"/>
      <c r="O765" s="502"/>
      <c r="P765" s="502"/>
      <c r="Q765" s="502"/>
      <c r="R765" s="502"/>
      <c r="S765" s="502"/>
      <c r="T765" s="318"/>
    </row>
    <row r="766" spans="2:22" ht="51" customHeight="1">
      <c r="F766" s="318"/>
      <c r="G766" s="320"/>
      <c r="H766" s="498" t="s">
        <v>297</v>
      </c>
      <c r="I766" s="498"/>
      <c r="J766" s="498"/>
      <c r="K766" s="498"/>
      <c r="L766" s="498"/>
      <c r="M766" s="498"/>
      <c r="N766" s="498"/>
      <c r="O766" s="498"/>
      <c r="P766" s="498"/>
      <c r="Q766" s="498"/>
      <c r="R766" s="498"/>
      <c r="S766" s="321"/>
      <c r="T766" s="318"/>
    </row>
    <row r="767" spans="2:22">
      <c r="F767" s="318"/>
      <c r="G767" s="318"/>
      <c r="H767" s="318"/>
      <c r="I767" s="318"/>
      <c r="J767" s="318"/>
      <c r="K767" s="318"/>
      <c r="L767" s="318"/>
      <c r="M767" s="318"/>
      <c r="N767" s="318"/>
      <c r="O767" s="318"/>
      <c r="P767" s="318"/>
      <c r="Q767" s="318"/>
      <c r="R767" s="318"/>
      <c r="S767" s="318"/>
      <c r="T767" s="318"/>
    </row>
    <row r="768" spans="2:22" ht="320.10000000000002" customHeight="1">
      <c r="F768" s="318"/>
      <c r="G768" s="318"/>
      <c r="H768" s="318"/>
      <c r="I768" s="318"/>
      <c r="J768" s="318"/>
      <c r="K768" s="318"/>
      <c r="L768" s="318"/>
      <c r="M768" s="318"/>
      <c r="N768" s="318"/>
      <c r="O768" s="318"/>
      <c r="P768" s="318"/>
      <c r="Q768" s="318"/>
      <c r="R768" s="318"/>
      <c r="S768" s="318"/>
      <c r="T768" s="318"/>
    </row>
    <row r="769" spans="2:22" ht="150" customHeight="1">
      <c r="F769" s="318"/>
      <c r="G769" s="318"/>
      <c r="H769" s="318"/>
      <c r="I769" s="318"/>
      <c r="J769" s="318"/>
      <c r="K769" s="318"/>
      <c r="L769" s="318"/>
      <c r="M769" s="318"/>
      <c r="N769" s="318"/>
      <c r="O769" s="318"/>
      <c r="P769" s="318"/>
      <c r="Q769" s="318"/>
      <c r="R769" s="318"/>
      <c r="S769" s="318"/>
      <c r="T769" s="318"/>
    </row>
    <row r="770" spans="2:22" ht="18.75">
      <c r="B770" s="316"/>
      <c r="F770" s="318"/>
      <c r="G770" s="501" t="s">
        <v>98</v>
      </c>
      <c r="H770" s="501"/>
      <c r="I770" s="501"/>
      <c r="J770" s="501"/>
      <c r="K770" s="501"/>
      <c r="L770" s="501"/>
      <c r="M770" s="501"/>
      <c r="N770" s="501"/>
      <c r="O770" s="501"/>
      <c r="P770" s="501"/>
      <c r="Q770" s="501"/>
      <c r="R770" s="501"/>
      <c r="S770" s="501"/>
      <c r="T770" s="318"/>
      <c r="U770" s="120">
        <v>16</v>
      </c>
      <c r="V770" s="120">
        <v>2</v>
      </c>
    </row>
    <row r="771" spans="2:22" ht="7.5" customHeight="1">
      <c r="F771" s="318"/>
      <c r="G771" s="502"/>
      <c r="H771" s="502"/>
      <c r="I771" s="502"/>
      <c r="J771" s="502"/>
      <c r="K771" s="502"/>
      <c r="L771" s="502"/>
      <c r="M771" s="502"/>
      <c r="N771" s="502"/>
      <c r="O771" s="502"/>
      <c r="P771" s="502"/>
      <c r="Q771" s="502"/>
      <c r="R771" s="502"/>
      <c r="S771" s="502"/>
      <c r="T771" s="318"/>
    </row>
    <row r="772" spans="2:22" ht="50.25" customHeight="1">
      <c r="F772" s="318"/>
      <c r="G772" s="320"/>
      <c r="H772" s="498" t="s">
        <v>297</v>
      </c>
      <c r="I772" s="498"/>
      <c r="J772" s="498"/>
      <c r="K772" s="498"/>
      <c r="L772" s="498"/>
      <c r="M772" s="498"/>
      <c r="N772" s="498"/>
      <c r="O772" s="498"/>
      <c r="P772" s="498"/>
      <c r="Q772" s="498"/>
      <c r="R772" s="498"/>
      <c r="S772" s="321"/>
      <c r="T772" s="318"/>
    </row>
    <row r="773" spans="2:22">
      <c r="F773" s="318"/>
      <c r="G773" s="318"/>
      <c r="H773" s="318"/>
      <c r="I773" s="318"/>
      <c r="J773" s="318"/>
      <c r="K773" s="318"/>
      <c r="L773" s="318"/>
      <c r="M773" s="318"/>
      <c r="N773" s="318"/>
      <c r="O773" s="318"/>
      <c r="P773" s="318"/>
      <c r="Q773" s="318"/>
      <c r="R773" s="318"/>
      <c r="S773" s="318"/>
      <c r="T773" s="318"/>
    </row>
    <row r="774" spans="2:22" ht="320.10000000000002" customHeight="1">
      <c r="F774" s="318"/>
      <c r="G774" s="318"/>
      <c r="H774" s="318"/>
      <c r="I774" s="318"/>
      <c r="J774" s="318"/>
      <c r="K774" s="318"/>
      <c r="L774" s="318"/>
      <c r="M774" s="318"/>
      <c r="N774" s="318"/>
      <c r="O774" s="318"/>
      <c r="P774" s="318"/>
      <c r="Q774" s="318"/>
      <c r="R774" s="318"/>
      <c r="S774" s="318"/>
      <c r="T774" s="318"/>
    </row>
    <row r="775" spans="2:22" ht="150" customHeight="1">
      <c r="F775" s="318"/>
      <c r="G775" s="318"/>
      <c r="H775" s="318"/>
      <c r="I775" s="318"/>
      <c r="J775" s="318"/>
      <c r="K775" s="318"/>
      <c r="L775" s="318"/>
      <c r="M775" s="318"/>
      <c r="N775" s="318"/>
      <c r="O775" s="318"/>
      <c r="P775" s="318"/>
      <c r="Q775" s="318"/>
      <c r="R775" s="318"/>
      <c r="S775" s="318"/>
      <c r="T775" s="318"/>
    </row>
    <row r="776" spans="2:22" ht="18.75">
      <c r="B776" s="316"/>
      <c r="F776" s="318"/>
      <c r="G776" s="501" t="s">
        <v>571</v>
      </c>
      <c r="H776" s="501"/>
      <c r="I776" s="501"/>
      <c r="J776" s="501"/>
      <c r="K776" s="501"/>
      <c r="L776" s="501"/>
      <c r="M776" s="501"/>
      <c r="N776" s="501"/>
      <c r="O776" s="501"/>
      <c r="P776" s="501"/>
      <c r="Q776" s="501"/>
      <c r="R776" s="501"/>
      <c r="S776" s="501"/>
      <c r="T776" s="318"/>
      <c r="U776" s="120">
        <v>16</v>
      </c>
      <c r="V776" s="120">
        <v>3</v>
      </c>
    </row>
    <row r="777" spans="2:22" ht="7.5" customHeight="1">
      <c r="F777" s="318"/>
      <c r="G777" s="502"/>
      <c r="H777" s="502"/>
      <c r="I777" s="502"/>
      <c r="J777" s="502"/>
      <c r="K777" s="502"/>
      <c r="L777" s="502"/>
      <c r="M777" s="502"/>
      <c r="N777" s="502"/>
      <c r="O777" s="502"/>
      <c r="P777" s="502"/>
      <c r="Q777" s="502"/>
      <c r="R777" s="502"/>
      <c r="S777" s="502"/>
      <c r="T777" s="318"/>
    </row>
    <row r="778" spans="2:22" ht="51" customHeight="1">
      <c r="F778" s="318"/>
      <c r="G778" s="320"/>
      <c r="H778" s="498" t="s">
        <v>297</v>
      </c>
      <c r="I778" s="498"/>
      <c r="J778" s="498"/>
      <c r="K778" s="498"/>
      <c r="L778" s="498"/>
      <c r="M778" s="498"/>
      <c r="N778" s="498"/>
      <c r="O778" s="498"/>
      <c r="P778" s="498"/>
      <c r="Q778" s="498"/>
      <c r="R778" s="498"/>
      <c r="S778" s="321"/>
      <c r="T778" s="318"/>
    </row>
    <row r="779" spans="2:22">
      <c r="F779" s="318"/>
      <c r="G779" s="318"/>
      <c r="H779" s="318"/>
      <c r="I779" s="318"/>
      <c r="J779" s="318"/>
      <c r="K779" s="318"/>
      <c r="L779" s="318"/>
      <c r="M779" s="318"/>
      <c r="N779" s="318"/>
      <c r="O779" s="318"/>
      <c r="P779" s="318"/>
      <c r="Q779" s="318"/>
      <c r="R779" s="318"/>
      <c r="S779" s="318"/>
      <c r="T779" s="318"/>
    </row>
    <row r="780" spans="2:22" ht="320.10000000000002" customHeight="1">
      <c r="F780" s="318"/>
      <c r="G780" s="318"/>
      <c r="H780" s="318"/>
      <c r="I780" s="318"/>
      <c r="J780" s="318"/>
      <c r="K780" s="318"/>
      <c r="L780" s="318"/>
      <c r="M780" s="318"/>
      <c r="N780" s="318"/>
      <c r="O780" s="318"/>
      <c r="P780" s="318"/>
      <c r="Q780" s="318"/>
      <c r="R780" s="318"/>
      <c r="S780" s="318"/>
      <c r="T780" s="318"/>
    </row>
    <row r="781" spans="2:22" ht="150" customHeight="1">
      <c r="F781" s="318"/>
      <c r="G781" s="318"/>
      <c r="H781" s="318"/>
      <c r="I781" s="318"/>
      <c r="J781" s="318"/>
      <c r="K781" s="318"/>
      <c r="L781" s="318"/>
      <c r="M781" s="318"/>
      <c r="N781" s="318"/>
      <c r="O781" s="318"/>
      <c r="P781" s="318"/>
      <c r="Q781" s="318"/>
      <c r="R781" s="318"/>
      <c r="S781" s="318"/>
      <c r="T781" s="318"/>
    </row>
    <row r="782" spans="2:22" ht="18.75">
      <c r="B782" s="316"/>
      <c r="F782" s="318"/>
      <c r="G782" s="501" t="s">
        <v>123</v>
      </c>
      <c r="H782" s="501"/>
      <c r="I782" s="501"/>
      <c r="J782" s="501"/>
      <c r="K782" s="501"/>
      <c r="L782" s="501"/>
      <c r="M782" s="501"/>
      <c r="N782" s="501"/>
      <c r="O782" s="501"/>
      <c r="P782" s="501"/>
      <c r="Q782" s="501"/>
      <c r="R782" s="501"/>
      <c r="S782" s="501"/>
      <c r="T782" s="318"/>
      <c r="U782" s="120">
        <v>16</v>
      </c>
      <c r="V782" s="120">
        <v>4</v>
      </c>
    </row>
    <row r="783" spans="2:22" ht="7.5" customHeight="1">
      <c r="F783" s="318"/>
      <c r="G783" s="502"/>
      <c r="H783" s="502"/>
      <c r="I783" s="502"/>
      <c r="J783" s="502"/>
      <c r="K783" s="502"/>
      <c r="L783" s="502"/>
      <c r="M783" s="502"/>
      <c r="N783" s="502"/>
      <c r="O783" s="502"/>
      <c r="P783" s="502"/>
      <c r="Q783" s="502"/>
      <c r="R783" s="502"/>
      <c r="S783" s="502"/>
      <c r="T783" s="318"/>
    </row>
    <row r="784" spans="2:22" ht="50.25" customHeight="1">
      <c r="F784" s="318"/>
      <c r="G784" s="320"/>
      <c r="H784" s="498" t="s">
        <v>297</v>
      </c>
      <c r="I784" s="498"/>
      <c r="J784" s="498"/>
      <c r="K784" s="498"/>
      <c r="L784" s="498"/>
      <c r="M784" s="498"/>
      <c r="N784" s="498"/>
      <c r="O784" s="498"/>
      <c r="P784" s="498"/>
      <c r="Q784" s="498"/>
      <c r="R784" s="498"/>
      <c r="S784" s="321"/>
      <c r="T784" s="318"/>
    </row>
    <row r="785" spans="2:22">
      <c r="F785" s="318"/>
      <c r="G785" s="318"/>
      <c r="H785" s="318"/>
      <c r="I785" s="318"/>
      <c r="J785" s="318"/>
      <c r="K785" s="318"/>
      <c r="L785" s="318"/>
      <c r="M785" s="318"/>
      <c r="N785" s="318"/>
      <c r="O785" s="318"/>
      <c r="P785" s="318"/>
      <c r="Q785" s="318"/>
      <c r="R785" s="318"/>
      <c r="S785" s="318"/>
      <c r="T785" s="318"/>
    </row>
    <row r="786" spans="2:22" ht="320.10000000000002" customHeight="1">
      <c r="F786" s="318"/>
      <c r="G786" s="318"/>
      <c r="H786" s="318"/>
      <c r="I786" s="318"/>
      <c r="J786" s="318"/>
      <c r="K786" s="318"/>
      <c r="L786" s="318"/>
      <c r="M786" s="318"/>
      <c r="N786" s="318"/>
      <c r="O786" s="318"/>
      <c r="P786" s="318"/>
      <c r="Q786" s="318"/>
      <c r="R786" s="318"/>
      <c r="S786" s="318"/>
      <c r="T786" s="318"/>
    </row>
    <row r="787" spans="2:22" ht="150" customHeight="1">
      <c r="F787" s="318"/>
      <c r="G787" s="318"/>
      <c r="H787" s="318"/>
      <c r="I787" s="318"/>
      <c r="J787" s="318"/>
      <c r="K787" s="318"/>
      <c r="L787" s="318"/>
      <c r="M787" s="318"/>
      <c r="N787" s="318"/>
      <c r="O787" s="318"/>
      <c r="P787" s="318"/>
      <c r="Q787" s="318"/>
      <c r="R787" s="318"/>
      <c r="S787" s="318"/>
      <c r="T787" s="318"/>
    </row>
    <row r="788" spans="2:22" ht="18.75">
      <c r="B788" s="316"/>
      <c r="F788" s="318"/>
      <c r="G788" s="501" t="s">
        <v>276</v>
      </c>
      <c r="H788" s="501"/>
      <c r="I788" s="501"/>
      <c r="J788" s="501"/>
      <c r="K788" s="501"/>
      <c r="L788" s="501"/>
      <c r="M788" s="501"/>
      <c r="N788" s="501"/>
      <c r="O788" s="501"/>
      <c r="P788" s="501"/>
      <c r="Q788" s="501"/>
      <c r="R788" s="501"/>
      <c r="S788" s="501"/>
      <c r="T788" s="318"/>
      <c r="U788" s="120">
        <v>16</v>
      </c>
      <c r="V788" s="120">
        <v>5</v>
      </c>
    </row>
    <row r="789" spans="2:22" ht="7.5" customHeight="1">
      <c r="F789" s="318"/>
      <c r="G789" s="502"/>
      <c r="H789" s="502"/>
      <c r="I789" s="502"/>
      <c r="J789" s="502"/>
      <c r="K789" s="502"/>
      <c r="L789" s="502"/>
      <c r="M789" s="502"/>
      <c r="N789" s="502"/>
      <c r="O789" s="502"/>
      <c r="P789" s="502"/>
      <c r="Q789" s="502"/>
      <c r="R789" s="502"/>
      <c r="S789" s="502"/>
      <c r="T789" s="318"/>
    </row>
    <row r="790" spans="2:22" ht="50.25" customHeight="1">
      <c r="F790" s="318"/>
      <c r="G790" s="320"/>
      <c r="H790" s="498" t="s">
        <v>297</v>
      </c>
      <c r="I790" s="498"/>
      <c r="J790" s="498"/>
      <c r="K790" s="498"/>
      <c r="L790" s="498"/>
      <c r="M790" s="498"/>
      <c r="N790" s="498"/>
      <c r="O790" s="498"/>
      <c r="P790" s="498"/>
      <c r="Q790" s="498"/>
      <c r="R790" s="498"/>
      <c r="S790" s="321"/>
      <c r="T790" s="318"/>
    </row>
    <row r="791" spans="2:22">
      <c r="F791" s="318"/>
      <c r="G791" s="318"/>
      <c r="H791" s="318"/>
      <c r="I791" s="318"/>
      <c r="J791" s="318"/>
      <c r="K791" s="318"/>
      <c r="L791" s="318"/>
      <c r="M791" s="318"/>
      <c r="N791" s="318"/>
      <c r="O791" s="318"/>
      <c r="P791" s="318"/>
      <c r="Q791" s="318"/>
      <c r="R791" s="318"/>
      <c r="S791" s="318"/>
      <c r="T791" s="318"/>
    </row>
    <row r="792" spans="2:22" ht="320.10000000000002" customHeight="1">
      <c r="F792" s="318"/>
      <c r="G792" s="318"/>
      <c r="H792" s="318"/>
      <c r="I792" s="318"/>
      <c r="J792" s="318"/>
      <c r="K792" s="318"/>
      <c r="L792" s="318"/>
      <c r="M792" s="318"/>
      <c r="N792" s="318"/>
      <c r="O792" s="318"/>
      <c r="P792" s="318"/>
      <c r="Q792" s="318"/>
      <c r="R792" s="318"/>
      <c r="S792" s="318"/>
      <c r="T792" s="318"/>
    </row>
    <row r="793" spans="2:22" ht="150" customHeight="1">
      <c r="F793" s="318"/>
      <c r="G793" s="318"/>
      <c r="H793" s="318"/>
      <c r="I793" s="318"/>
      <c r="J793" s="318"/>
      <c r="K793" s="318"/>
      <c r="L793" s="318"/>
      <c r="M793" s="318"/>
      <c r="N793" s="318"/>
      <c r="O793" s="318"/>
      <c r="P793" s="318"/>
      <c r="Q793" s="318"/>
      <c r="R793" s="318"/>
      <c r="S793" s="318"/>
      <c r="T793" s="318"/>
    </row>
    <row r="794" spans="2:22" ht="18.75">
      <c r="B794" s="316"/>
      <c r="F794" s="318"/>
      <c r="G794" s="501" t="s">
        <v>99</v>
      </c>
      <c r="H794" s="501"/>
      <c r="I794" s="501"/>
      <c r="J794" s="501"/>
      <c r="K794" s="501"/>
      <c r="L794" s="501"/>
      <c r="M794" s="501"/>
      <c r="N794" s="501"/>
      <c r="O794" s="501"/>
      <c r="P794" s="501"/>
      <c r="Q794" s="501"/>
      <c r="R794" s="501"/>
      <c r="S794" s="501"/>
      <c r="T794" s="318"/>
      <c r="U794" s="120">
        <v>16</v>
      </c>
      <c r="V794" s="120">
        <v>6</v>
      </c>
    </row>
    <row r="795" spans="2:22" ht="7.5" customHeight="1">
      <c r="F795" s="318"/>
      <c r="G795" s="502"/>
      <c r="H795" s="502"/>
      <c r="I795" s="502"/>
      <c r="J795" s="502"/>
      <c r="K795" s="502"/>
      <c r="L795" s="502"/>
      <c r="M795" s="502"/>
      <c r="N795" s="502"/>
      <c r="O795" s="502"/>
      <c r="P795" s="502"/>
      <c r="Q795" s="502"/>
      <c r="R795" s="502"/>
      <c r="S795" s="502"/>
      <c r="T795" s="318"/>
    </row>
    <row r="796" spans="2:22" ht="57.75" customHeight="1">
      <c r="F796" s="318"/>
      <c r="G796" s="320"/>
      <c r="H796" s="498" t="s">
        <v>297</v>
      </c>
      <c r="I796" s="498"/>
      <c r="J796" s="498"/>
      <c r="K796" s="498"/>
      <c r="L796" s="498"/>
      <c r="M796" s="498"/>
      <c r="N796" s="498"/>
      <c r="O796" s="498"/>
      <c r="P796" s="498"/>
      <c r="Q796" s="498"/>
      <c r="R796" s="498"/>
      <c r="S796" s="321"/>
      <c r="T796" s="318"/>
    </row>
    <row r="797" spans="2:22">
      <c r="F797" s="318"/>
      <c r="G797" s="318"/>
      <c r="H797" s="318"/>
      <c r="I797" s="318"/>
      <c r="J797" s="318"/>
      <c r="K797" s="318"/>
      <c r="L797" s="318"/>
      <c r="M797" s="318"/>
      <c r="N797" s="318"/>
      <c r="O797" s="318"/>
      <c r="P797" s="318"/>
      <c r="Q797" s="318"/>
      <c r="R797" s="318"/>
      <c r="S797" s="318"/>
      <c r="T797" s="318"/>
    </row>
    <row r="798" spans="2:22" ht="320.10000000000002" customHeight="1">
      <c r="F798" s="318"/>
      <c r="G798" s="318"/>
      <c r="H798" s="318"/>
      <c r="I798" s="318"/>
      <c r="J798" s="318"/>
      <c r="K798" s="318"/>
      <c r="L798" s="318"/>
      <c r="M798" s="318"/>
      <c r="N798" s="318"/>
      <c r="O798" s="318"/>
      <c r="P798" s="318"/>
      <c r="Q798" s="318"/>
      <c r="R798" s="318"/>
      <c r="S798" s="318"/>
      <c r="T798" s="318"/>
    </row>
    <row r="799" spans="2:22" ht="150" customHeight="1">
      <c r="F799" s="318"/>
      <c r="G799" s="318"/>
      <c r="H799" s="318"/>
      <c r="I799" s="318"/>
      <c r="J799" s="318"/>
      <c r="K799" s="318"/>
      <c r="L799" s="318"/>
      <c r="M799" s="318"/>
      <c r="N799" s="318"/>
      <c r="O799" s="318"/>
      <c r="P799" s="318"/>
      <c r="Q799" s="318"/>
      <c r="R799" s="318"/>
      <c r="S799" s="318"/>
      <c r="T799" s="318"/>
    </row>
    <row r="800" spans="2:22" ht="18.75">
      <c r="B800" s="316"/>
      <c r="F800" s="318"/>
      <c r="G800" s="501" t="s">
        <v>100</v>
      </c>
      <c r="H800" s="501"/>
      <c r="I800" s="501"/>
      <c r="J800" s="501"/>
      <c r="K800" s="501"/>
      <c r="L800" s="501"/>
      <c r="M800" s="501"/>
      <c r="N800" s="501"/>
      <c r="O800" s="501"/>
      <c r="P800" s="501"/>
      <c r="Q800" s="501"/>
      <c r="R800" s="501"/>
      <c r="S800" s="501"/>
      <c r="T800" s="318"/>
      <c r="U800" s="120">
        <v>17</v>
      </c>
    </row>
    <row r="801" spans="2:22" ht="7.5" customHeight="1">
      <c r="F801" s="318"/>
      <c r="G801" s="502"/>
      <c r="H801" s="502"/>
      <c r="I801" s="502"/>
      <c r="J801" s="502"/>
      <c r="K801" s="502"/>
      <c r="L801" s="502"/>
      <c r="M801" s="502"/>
      <c r="N801" s="502"/>
      <c r="O801" s="502"/>
      <c r="P801" s="502"/>
      <c r="Q801" s="502"/>
      <c r="R801" s="502"/>
      <c r="S801" s="502"/>
      <c r="T801" s="318"/>
    </row>
    <row r="802" spans="2:22" ht="81" customHeight="1">
      <c r="F802" s="318"/>
      <c r="G802" s="320"/>
      <c r="H802" s="498" t="s">
        <v>119</v>
      </c>
      <c r="I802" s="498"/>
      <c r="J802" s="498"/>
      <c r="K802" s="498"/>
      <c r="L802" s="498"/>
      <c r="M802" s="498"/>
      <c r="N802" s="498"/>
      <c r="O802" s="498"/>
      <c r="P802" s="498"/>
      <c r="Q802" s="498"/>
      <c r="R802" s="498"/>
      <c r="S802" s="321"/>
      <c r="T802" s="318"/>
    </row>
    <row r="803" spans="2:22">
      <c r="F803" s="318"/>
      <c r="G803" s="318"/>
      <c r="H803" s="318"/>
      <c r="I803" s="318"/>
      <c r="J803" s="318"/>
      <c r="K803" s="318"/>
      <c r="L803" s="318"/>
      <c r="M803" s="318"/>
      <c r="N803" s="318"/>
      <c r="O803" s="318"/>
      <c r="P803" s="318"/>
      <c r="Q803" s="318"/>
      <c r="R803" s="318"/>
      <c r="S803" s="318"/>
      <c r="T803" s="318"/>
    </row>
    <row r="804" spans="2:22" ht="320.10000000000002" customHeight="1">
      <c r="F804" s="318"/>
      <c r="G804" s="318"/>
      <c r="H804" s="318"/>
      <c r="I804" s="318"/>
      <c r="J804" s="318"/>
      <c r="K804" s="318"/>
      <c r="L804" s="318"/>
      <c r="M804" s="318"/>
      <c r="N804" s="318"/>
      <c r="O804" s="318"/>
      <c r="P804" s="318"/>
      <c r="Q804" s="318"/>
      <c r="R804" s="318"/>
      <c r="S804" s="318"/>
      <c r="T804" s="318"/>
    </row>
    <row r="805" spans="2:22" ht="150" customHeight="1">
      <c r="F805" s="318"/>
      <c r="G805" s="318"/>
      <c r="H805" s="318"/>
      <c r="I805" s="318"/>
      <c r="J805" s="318"/>
      <c r="K805" s="318"/>
      <c r="L805" s="318"/>
      <c r="M805" s="318"/>
      <c r="N805" s="318"/>
      <c r="O805" s="318"/>
      <c r="P805" s="318"/>
      <c r="Q805" s="318"/>
      <c r="R805" s="318"/>
      <c r="S805" s="318"/>
      <c r="T805" s="318"/>
    </row>
    <row r="806" spans="2:22" ht="18.75">
      <c r="B806" s="316"/>
      <c r="F806" s="318"/>
      <c r="G806" s="501" t="s">
        <v>101</v>
      </c>
      <c r="H806" s="501"/>
      <c r="I806" s="501"/>
      <c r="J806" s="501"/>
      <c r="K806" s="501"/>
      <c r="L806" s="501"/>
      <c r="M806" s="501"/>
      <c r="N806" s="501"/>
      <c r="O806" s="501"/>
      <c r="P806" s="501"/>
      <c r="Q806" s="501"/>
      <c r="R806" s="501"/>
      <c r="S806" s="501"/>
      <c r="T806" s="318"/>
      <c r="U806" s="120">
        <v>17</v>
      </c>
      <c r="V806" s="120">
        <v>1</v>
      </c>
    </row>
    <row r="807" spans="2:22" ht="7.5" customHeight="1">
      <c r="F807" s="318"/>
      <c r="G807" s="502"/>
      <c r="H807" s="502"/>
      <c r="I807" s="502"/>
      <c r="J807" s="502"/>
      <c r="K807" s="502"/>
      <c r="L807" s="502"/>
      <c r="M807" s="502"/>
      <c r="N807" s="502"/>
      <c r="O807" s="502"/>
      <c r="P807" s="502"/>
      <c r="Q807" s="502"/>
      <c r="R807" s="502"/>
      <c r="S807" s="502"/>
      <c r="T807" s="318"/>
    </row>
    <row r="808" spans="2:22" ht="50.25" customHeight="1">
      <c r="F808" s="318"/>
      <c r="G808" s="320"/>
      <c r="H808" s="498" t="s">
        <v>297</v>
      </c>
      <c r="I808" s="498"/>
      <c r="J808" s="498"/>
      <c r="K808" s="498"/>
      <c r="L808" s="498"/>
      <c r="M808" s="498"/>
      <c r="N808" s="498"/>
      <c r="O808" s="498"/>
      <c r="P808" s="498"/>
      <c r="Q808" s="498"/>
      <c r="R808" s="498"/>
      <c r="S808" s="321"/>
      <c r="T808" s="318"/>
    </row>
    <row r="809" spans="2:22">
      <c r="F809" s="318"/>
      <c r="G809" s="318"/>
      <c r="H809" s="318"/>
      <c r="I809" s="318"/>
      <c r="J809" s="318"/>
      <c r="K809" s="318"/>
      <c r="L809" s="318"/>
      <c r="M809" s="318"/>
      <c r="N809" s="318"/>
      <c r="O809" s="318"/>
      <c r="P809" s="318"/>
      <c r="Q809" s="318"/>
      <c r="R809" s="318"/>
      <c r="S809" s="318"/>
      <c r="T809" s="318"/>
    </row>
    <row r="810" spans="2:22" ht="320.10000000000002" customHeight="1">
      <c r="F810" s="318"/>
      <c r="G810" s="318"/>
      <c r="H810" s="318"/>
      <c r="I810" s="318"/>
      <c r="J810" s="318"/>
      <c r="K810" s="318"/>
      <c r="L810" s="318"/>
      <c r="M810" s="318"/>
      <c r="N810" s="318"/>
      <c r="O810" s="318"/>
      <c r="P810" s="318"/>
      <c r="Q810" s="318"/>
      <c r="R810" s="318"/>
      <c r="S810" s="318"/>
      <c r="T810" s="318"/>
    </row>
    <row r="811" spans="2:22" ht="150" customHeight="1">
      <c r="F811" s="318"/>
      <c r="G811" s="318"/>
      <c r="H811" s="318"/>
      <c r="I811" s="318"/>
      <c r="J811" s="318"/>
      <c r="K811" s="318"/>
      <c r="L811" s="318"/>
      <c r="M811" s="318"/>
      <c r="N811" s="318"/>
      <c r="O811" s="318"/>
      <c r="P811" s="318"/>
      <c r="Q811" s="318"/>
      <c r="R811" s="318"/>
      <c r="S811" s="318"/>
      <c r="T811" s="318"/>
    </row>
    <row r="812" spans="2:22" ht="18.75">
      <c r="B812" s="316"/>
      <c r="F812" s="318"/>
      <c r="G812" s="501" t="s">
        <v>89</v>
      </c>
      <c r="H812" s="501"/>
      <c r="I812" s="501"/>
      <c r="J812" s="501"/>
      <c r="K812" s="501"/>
      <c r="L812" s="501"/>
      <c r="M812" s="501"/>
      <c r="N812" s="501"/>
      <c r="O812" s="501"/>
      <c r="P812" s="501"/>
      <c r="Q812" s="501"/>
      <c r="R812" s="501"/>
      <c r="S812" s="501"/>
      <c r="T812" s="318"/>
      <c r="U812" s="120">
        <v>17</v>
      </c>
      <c r="V812" s="120">
        <v>2</v>
      </c>
    </row>
    <row r="813" spans="2:22" ht="7.5" customHeight="1">
      <c r="F813" s="318"/>
      <c r="G813" s="502"/>
      <c r="H813" s="502"/>
      <c r="I813" s="502"/>
      <c r="J813" s="502"/>
      <c r="K813" s="502"/>
      <c r="L813" s="502"/>
      <c r="M813" s="502"/>
      <c r="N813" s="502"/>
      <c r="O813" s="502"/>
      <c r="P813" s="502"/>
      <c r="Q813" s="502"/>
      <c r="R813" s="502"/>
      <c r="S813" s="502"/>
      <c r="T813" s="318"/>
    </row>
    <row r="814" spans="2:22" ht="164.25" customHeight="1">
      <c r="F814" s="318"/>
      <c r="G814" s="322"/>
      <c r="H814" s="498" t="s">
        <v>325</v>
      </c>
      <c r="I814" s="498"/>
      <c r="J814" s="498"/>
      <c r="K814" s="498"/>
      <c r="L814" s="498"/>
      <c r="M814" s="498"/>
      <c r="N814" s="498"/>
      <c r="O814" s="498"/>
      <c r="P814" s="498"/>
      <c r="Q814" s="498"/>
      <c r="R814" s="498"/>
      <c r="S814" s="322"/>
      <c r="T814" s="318"/>
    </row>
    <row r="815" spans="2:22" ht="70.5" customHeight="1">
      <c r="F815" s="318"/>
      <c r="G815" s="323"/>
      <c r="H815" s="499" t="s">
        <v>107</v>
      </c>
      <c r="I815" s="500"/>
      <c r="J815" s="500"/>
      <c r="K815" s="500"/>
      <c r="L815" s="500"/>
      <c r="M815" s="500"/>
      <c r="N815" s="500"/>
      <c r="O815" s="500"/>
      <c r="P815" s="500"/>
      <c r="Q815" s="500"/>
      <c r="R815" s="500"/>
      <c r="S815" s="323"/>
      <c r="T815" s="318"/>
    </row>
    <row r="816" spans="2:22" ht="320.10000000000002" customHeight="1">
      <c r="F816" s="318"/>
      <c r="G816" s="318"/>
      <c r="H816" s="332"/>
      <c r="I816" s="318"/>
      <c r="J816" s="318"/>
      <c r="K816" s="318"/>
      <c r="L816" s="318"/>
      <c r="M816" s="318"/>
      <c r="N816" s="318"/>
      <c r="O816" s="318"/>
      <c r="P816" s="318"/>
      <c r="Q816" s="318"/>
      <c r="R816" s="318"/>
      <c r="S816" s="318"/>
      <c r="T816" s="318"/>
    </row>
    <row r="817" spans="2:21" ht="150" customHeight="1">
      <c r="F817" s="318"/>
      <c r="G817" s="318"/>
      <c r="H817" s="318"/>
      <c r="I817" s="318"/>
      <c r="J817" s="318"/>
      <c r="K817" s="318"/>
      <c r="L817" s="318"/>
      <c r="M817" s="318"/>
      <c r="N817" s="318"/>
      <c r="O817" s="318"/>
      <c r="P817" s="318"/>
      <c r="Q817" s="318"/>
      <c r="R817" s="318"/>
      <c r="S817" s="318"/>
      <c r="T817" s="318"/>
    </row>
    <row r="818" spans="2:21" ht="18.75">
      <c r="B818" s="316"/>
      <c r="F818" s="318"/>
      <c r="G818" s="501" t="s">
        <v>116</v>
      </c>
      <c r="H818" s="501"/>
      <c r="I818" s="501"/>
      <c r="J818" s="501"/>
      <c r="K818" s="501"/>
      <c r="L818" s="501"/>
      <c r="M818" s="501"/>
      <c r="N818" s="501"/>
      <c r="O818" s="501"/>
      <c r="P818" s="501"/>
      <c r="Q818" s="501"/>
      <c r="R818" s="501"/>
      <c r="S818" s="501"/>
      <c r="T818" s="318"/>
      <c r="U818" s="120">
        <v>18</v>
      </c>
    </row>
    <row r="819" spans="2:21" ht="7.5" customHeight="1">
      <c r="F819" s="318"/>
      <c r="G819" s="502"/>
      <c r="H819" s="502"/>
      <c r="I819" s="502"/>
      <c r="J819" s="502"/>
      <c r="K819" s="502"/>
      <c r="L819" s="502"/>
      <c r="M819" s="502"/>
      <c r="N819" s="502"/>
      <c r="O819" s="502"/>
      <c r="P819" s="502"/>
      <c r="Q819" s="502"/>
      <c r="R819" s="502"/>
      <c r="S819" s="502"/>
      <c r="T819" s="318"/>
    </row>
    <row r="820" spans="2:21" ht="50.25" customHeight="1">
      <c r="F820" s="318"/>
      <c r="G820" s="320"/>
      <c r="H820" s="498" t="s">
        <v>572</v>
      </c>
      <c r="I820" s="498"/>
      <c r="J820" s="498"/>
      <c r="K820" s="498"/>
      <c r="L820" s="498"/>
      <c r="M820" s="498"/>
      <c r="N820" s="498"/>
      <c r="O820" s="498"/>
      <c r="P820" s="498"/>
      <c r="Q820" s="498"/>
      <c r="R820" s="498"/>
      <c r="S820" s="321"/>
      <c r="T820" s="318"/>
    </row>
    <row r="821" spans="2:21">
      <c r="F821" s="318"/>
      <c r="G821" s="318"/>
      <c r="H821" s="318"/>
      <c r="I821" s="318"/>
      <c r="J821" s="318"/>
      <c r="K821" s="318"/>
      <c r="L821" s="318"/>
      <c r="M821" s="318"/>
      <c r="N821" s="318"/>
      <c r="O821" s="318"/>
      <c r="P821" s="318"/>
      <c r="Q821" s="318"/>
      <c r="R821" s="318"/>
      <c r="S821" s="318"/>
      <c r="T821" s="318"/>
    </row>
    <row r="822" spans="2:21" ht="320.10000000000002" customHeight="1">
      <c r="F822" s="318"/>
      <c r="G822" s="318"/>
      <c r="H822" s="318"/>
      <c r="I822" s="318"/>
      <c r="J822" s="318"/>
      <c r="K822" s="318"/>
      <c r="L822" s="318"/>
      <c r="M822" s="318"/>
      <c r="N822" s="318"/>
      <c r="O822" s="318"/>
      <c r="P822" s="318"/>
      <c r="Q822" s="318"/>
      <c r="R822" s="318"/>
      <c r="S822" s="318"/>
      <c r="T822" s="318"/>
    </row>
    <row r="823" spans="2:21" ht="150" customHeight="1">
      <c r="F823" s="318"/>
      <c r="G823" s="318"/>
      <c r="H823" s="318"/>
      <c r="I823" s="318"/>
      <c r="J823" s="318"/>
      <c r="K823" s="318"/>
      <c r="L823" s="318"/>
      <c r="M823" s="318"/>
      <c r="N823" s="318"/>
      <c r="O823" s="318"/>
      <c r="P823" s="318"/>
      <c r="Q823" s="318"/>
      <c r="R823" s="318"/>
      <c r="S823" s="318"/>
      <c r="T823" s="318"/>
    </row>
    <row r="824" spans="2:21" ht="18.75">
      <c r="B824" s="316"/>
      <c r="F824" s="318"/>
      <c r="G824" s="501" t="s">
        <v>203</v>
      </c>
      <c r="H824" s="501"/>
      <c r="I824" s="501"/>
      <c r="J824" s="501"/>
      <c r="K824" s="501"/>
      <c r="L824" s="501"/>
      <c r="M824" s="501"/>
      <c r="N824" s="501"/>
      <c r="O824" s="501"/>
      <c r="P824" s="501"/>
      <c r="Q824" s="501"/>
      <c r="R824" s="501"/>
      <c r="S824" s="501"/>
      <c r="T824" s="318"/>
      <c r="U824" s="120">
        <v>19</v>
      </c>
    </row>
    <row r="825" spans="2:21" ht="7.5" customHeight="1">
      <c r="F825" s="318"/>
      <c r="G825" s="502"/>
      <c r="H825" s="502"/>
      <c r="I825" s="502"/>
      <c r="J825" s="502"/>
      <c r="K825" s="502"/>
      <c r="L825" s="502"/>
      <c r="M825" s="502"/>
      <c r="N825" s="502"/>
      <c r="O825" s="502"/>
      <c r="P825" s="502"/>
      <c r="Q825" s="502"/>
      <c r="R825" s="502"/>
      <c r="S825" s="502"/>
      <c r="T825" s="318"/>
    </row>
    <row r="826" spans="2:21" ht="70.5" customHeight="1">
      <c r="F826" s="318"/>
      <c r="G826" s="320"/>
      <c r="H826" s="498" t="s">
        <v>202</v>
      </c>
      <c r="I826" s="498"/>
      <c r="J826" s="498"/>
      <c r="K826" s="498"/>
      <c r="L826" s="498"/>
      <c r="M826" s="498"/>
      <c r="N826" s="498"/>
      <c r="O826" s="498"/>
      <c r="P826" s="498"/>
      <c r="Q826" s="498"/>
      <c r="R826" s="498"/>
      <c r="S826" s="321"/>
      <c r="T826" s="318"/>
    </row>
    <row r="827" spans="2:21">
      <c r="F827" s="318"/>
      <c r="G827" s="318"/>
      <c r="H827" s="318"/>
      <c r="I827" s="318"/>
      <c r="J827" s="318"/>
      <c r="K827" s="318"/>
      <c r="L827" s="318"/>
      <c r="M827" s="318"/>
      <c r="N827" s="318"/>
      <c r="O827" s="318"/>
      <c r="P827" s="318"/>
      <c r="Q827" s="318"/>
      <c r="R827" s="318"/>
      <c r="S827" s="318"/>
      <c r="T827" s="318"/>
    </row>
    <row r="828" spans="2:21" ht="320.10000000000002" customHeight="1">
      <c r="F828" s="318"/>
      <c r="G828" s="318"/>
      <c r="H828" s="318"/>
      <c r="I828" s="318"/>
      <c r="J828" s="318"/>
      <c r="K828" s="318"/>
      <c r="L828" s="318"/>
      <c r="M828" s="318"/>
      <c r="N828" s="318"/>
      <c r="O828" s="318"/>
      <c r="P828" s="318"/>
      <c r="Q828" s="318"/>
      <c r="R828" s="318"/>
      <c r="S828" s="318"/>
      <c r="T828" s="318"/>
    </row>
    <row r="829" spans="2:21" ht="150" customHeight="1">
      <c r="F829" s="318"/>
      <c r="G829" s="318"/>
      <c r="H829" s="318"/>
      <c r="I829" s="318"/>
      <c r="J829" s="318"/>
      <c r="K829" s="318"/>
      <c r="L829" s="318"/>
      <c r="M829" s="318"/>
      <c r="N829" s="318"/>
      <c r="O829" s="318"/>
      <c r="P829" s="318"/>
      <c r="Q829" s="318"/>
      <c r="R829" s="318"/>
      <c r="S829" s="318"/>
      <c r="T829" s="318"/>
    </row>
    <row r="830" spans="2:21" ht="18.75">
      <c r="B830" s="316"/>
      <c r="F830" s="318"/>
      <c r="G830" s="501" t="s">
        <v>115</v>
      </c>
      <c r="H830" s="501"/>
      <c r="I830" s="501"/>
      <c r="J830" s="501"/>
      <c r="K830" s="501"/>
      <c r="L830" s="501"/>
      <c r="M830" s="501"/>
      <c r="N830" s="501"/>
      <c r="O830" s="501"/>
      <c r="P830" s="501"/>
      <c r="Q830" s="501"/>
      <c r="R830" s="501"/>
      <c r="S830" s="501"/>
      <c r="T830" s="318"/>
      <c r="U830" s="120">
        <v>20</v>
      </c>
    </row>
    <row r="831" spans="2:21" ht="7.5" customHeight="1">
      <c r="F831" s="318"/>
      <c r="G831" s="502"/>
      <c r="H831" s="502"/>
      <c r="I831" s="502"/>
      <c r="J831" s="502"/>
      <c r="K831" s="502"/>
      <c r="L831" s="502"/>
      <c r="M831" s="502"/>
      <c r="N831" s="502"/>
      <c r="O831" s="502"/>
      <c r="P831" s="502"/>
      <c r="Q831" s="502"/>
      <c r="R831" s="502"/>
      <c r="S831" s="502"/>
      <c r="T831" s="318"/>
    </row>
    <row r="832" spans="2:21" ht="70.5" customHeight="1">
      <c r="F832" s="318"/>
      <c r="G832" s="320"/>
      <c r="H832" s="498" t="s">
        <v>258</v>
      </c>
      <c r="I832" s="498"/>
      <c r="J832" s="498"/>
      <c r="K832" s="498"/>
      <c r="L832" s="498"/>
      <c r="M832" s="498"/>
      <c r="N832" s="498"/>
      <c r="O832" s="498"/>
      <c r="P832" s="498"/>
      <c r="Q832" s="498"/>
      <c r="R832" s="498"/>
      <c r="S832" s="321"/>
      <c r="T832" s="318"/>
    </row>
    <row r="833" spans="2:21">
      <c r="F833" s="318"/>
      <c r="G833" s="318"/>
      <c r="H833" s="318"/>
      <c r="I833" s="318"/>
      <c r="J833" s="318"/>
      <c r="K833" s="318"/>
      <c r="L833" s="318"/>
      <c r="M833" s="318"/>
      <c r="N833" s="318"/>
      <c r="O833" s="318"/>
      <c r="P833" s="318"/>
      <c r="Q833" s="318"/>
      <c r="R833" s="318"/>
      <c r="S833" s="318"/>
      <c r="T833" s="318"/>
    </row>
    <row r="834" spans="2:21" ht="320.10000000000002" customHeight="1">
      <c r="F834" s="318"/>
      <c r="G834" s="318"/>
      <c r="H834" s="318"/>
      <c r="I834" s="318"/>
      <c r="J834" s="318"/>
      <c r="K834" s="318"/>
      <c r="L834" s="318"/>
      <c r="M834" s="318"/>
      <c r="N834" s="318"/>
      <c r="O834" s="318"/>
      <c r="P834" s="318"/>
      <c r="Q834" s="318"/>
      <c r="R834" s="318"/>
      <c r="S834" s="318"/>
      <c r="T834" s="318"/>
    </row>
    <row r="835" spans="2:21" ht="150" customHeight="1">
      <c r="F835" s="318"/>
      <c r="G835" s="318"/>
      <c r="H835" s="318"/>
      <c r="I835" s="318"/>
      <c r="J835" s="318"/>
      <c r="K835" s="318"/>
      <c r="L835" s="318"/>
      <c r="M835" s="318"/>
      <c r="N835" s="318"/>
      <c r="O835" s="318"/>
      <c r="P835" s="318"/>
      <c r="Q835" s="318"/>
      <c r="R835" s="318"/>
      <c r="S835" s="318"/>
      <c r="T835" s="318"/>
    </row>
    <row r="836" spans="2:21" ht="18.75">
      <c r="B836" s="316"/>
      <c r="F836" s="318"/>
      <c r="G836" s="501" t="s">
        <v>114</v>
      </c>
      <c r="H836" s="501"/>
      <c r="I836" s="501"/>
      <c r="J836" s="501"/>
      <c r="K836" s="501"/>
      <c r="L836" s="501"/>
      <c r="M836" s="501"/>
      <c r="N836" s="501"/>
      <c r="O836" s="501"/>
      <c r="P836" s="501"/>
      <c r="Q836" s="501"/>
      <c r="R836" s="501"/>
      <c r="S836" s="501"/>
      <c r="T836" s="318"/>
      <c r="U836" s="120">
        <v>21</v>
      </c>
    </row>
    <row r="837" spans="2:21" ht="7.5" customHeight="1">
      <c r="F837" s="318"/>
      <c r="G837" s="503"/>
      <c r="H837" s="503"/>
      <c r="I837" s="503"/>
      <c r="J837" s="503"/>
      <c r="K837" s="503"/>
      <c r="L837" s="503"/>
      <c r="M837" s="503"/>
      <c r="N837" s="503"/>
      <c r="O837" s="503"/>
      <c r="P837" s="503"/>
      <c r="Q837" s="503"/>
      <c r="R837" s="503"/>
      <c r="S837" s="503"/>
      <c r="T837" s="318"/>
    </row>
    <row r="838" spans="2:21" ht="126" customHeight="1">
      <c r="F838" s="318"/>
      <c r="G838" s="321"/>
      <c r="H838" s="498" t="s">
        <v>164</v>
      </c>
      <c r="I838" s="498"/>
      <c r="J838" s="498"/>
      <c r="K838" s="498"/>
      <c r="L838" s="498"/>
      <c r="M838" s="498"/>
      <c r="N838" s="498"/>
      <c r="O838" s="498"/>
      <c r="P838" s="498"/>
      <c r="Q838" s="498"/>
      <c r="R838" s="498"/>
      <c r="S838" s="321"/>
      <c r="T838" s="318"/>
    </row>
    <row r="839" spans="2:21" ht="30.75" customHeight="1">
      <c r="F839" s="318"/>
      <c r="H839" s="499" t="s">
        <v>108</v>
      </c>
      <c r="I839" s="500"/>
      <c r="J839" s="500"/>
      <c r="K839" s="500"/>
      <c r="L839" s="500"/>
      <c r="M839" s="500"/>
      <c r="N839" s="500"/>
      <c r="O839" s="500"/>
      <c r="P839" s="500"/>
      <c r="Q839" s="500"/>
      <c r="R839" s="500"/>
      <c r="T839" s="318"/>
    </row>
    <row r="840" spans="2:21" ht="125.25" customHeight="1">
      <c r="F840" s="318"/>
      <c r="G840" s="335" t="s">
        <v>573</v>
      </c>
      <c r="H840" s="498" t="s">
        <v>267</v>
      </c>
      <c r="I840" s="498"/>
      <c r="J840" s="498"/>
      <c r="K840" s="498"/>
      <c r="L840" s="498"/>
      <c r="M840" s="498"/>
      <c r="N840" s="498"/>
      <c r="O840" s="498"/>
      <c r="P840" s="498"/>
      <c r="Q840" s="498"/>
      <c r="R840" s="498"/>
      <c r="S840" s="321"/>
      <c r="T840" s="318"/>
    </row>
    <row r="841" spans="2:21">
      <c r="F841" s="318"/>
      <c r="G841" s="318"/>
      <c r="H841" s="318"/>
      <c r="I841" s="318"/>
      <c r="J841" s="318"/>
      <c r="K841" s="318"/>
      <c r="L841" s="318"/>
      <c r="M841" s="318"/>
      <c r="N841" s="318"/>
      <c r="O841" s="318"/>
      <c r="P841" s="318"/>
      <c r="Q841" s="318"/>
      <c r="R841" s="318"/>
      <c r="S841" s="318"/>
      <c r="T841" s="318"/>
    </row>
    <row r="842" spans="2:21">
      <c r="F842" s="318"/>
      <c r="G842" s="318"/>
      <c r="H842" s="318"/>
      <c r="I842" s="318"/>
      <c r="J842" s="318"/>
      <c r="K842" s="318"/>
      <c r="L842" s="318"/>
      <c r="M842" s="318"/>
      <c r="N842" s="318"/>
      <c r="O842" s="318"/>
      <c r="P842" s="318"/>
      <c r="Q842" s="318"/>
      <c r="R842" s="318"/>
      <c r="S842" s="318"/>
      <c r="T842" s="318"/>
    </row>
    <row r="843" spans="2:21">
      <c r="F843" s="318"/>
      <c r="G843" s="318"/>
      <c r="H843" s="318"/>
      <c r="I843" s="318"/>
      <c r="J843" s="318"/>
      <c r="K843" s="318"/>
      <c r="L843" s="318"/>
      <c r="M843" s="318"/>
      <c r="N843" s="318"/>
      <c r="O843" s="318"/>
      <c r="P843" s="318"/>
      <c r="Q843" s="318"/>
      <c r="R843" s="318"/>
      <c r="S843" s="318"/>
      <c r="T843" s="318"/>
    </row>
    <row r="844" spans="2:21">
      <c r="F844" s="318"/>
      <c r="G844" s="318"/>
      <c r="H844" s="318"/>
      <c r="I844" s="318"/>
      <c r="J844" s="318"/>
      <c r="K844" s="318"/>
      <c r="L844" s="318"/>
      <c r="M844" s="318"/>
      <c r="N844" s="318"/>
      <c r="O844" s="318"/>
      <c r="P844" s="318"/>
      <c r="Q844" s="318"/>
      <c r="R844" s="318"/>
      <c r="S844" s="318"/>
      <c r="T844" s="318"/>
    </row>
    <row r="845" spans="2:21">
      <c r="F845" s="318"/>
      <c r="G845" s="318"/>
      <c r="H845" s="318"/>
      <c r="I845" s="318"/>
      <c r="J845" s="318"/>
      <c r="K845" s="318"/>
      <c r="L845" s="318"/>
      <c r="M845" s="318"/>
      <c r="N845" s="318"/>
      <c r="O845" s="318"/>
      <c r="P845" s="318"/>
      <c r="Q845" s="318"/>
      <c r="R845" s="318"/>
      <c r="S845" s="318"/>
      <c r="T845" s="318"/>
    </row>
    <row r="846" spans="2:21">
      <c r="F846" s="318"/>
      <c r="G846" s="318"/>
      <c r="H846" s="318"/>
      <c r="I846" s="318"/>
      <c r="J846" s="318"/>
      <c r="K846" s="318"/>
      <c r="L846" s="318"/>
      <c r="M846" s="318"/>
      <c r="N846" s="318"/>
      <c r="O846" s="318"/>
      <c r="P846" s="318"/>
      <c r="Q846" s="318"/>
      <c r="R846" s="318"/>
      <c r="S846" s="318"/>
      <c r="T846" s="318"/>
    </row>
    <row r="847" spans="2:21">
      <c r="F847" s="318"/>
      <c r="G847" s="318"/>
      <c r="H847" s="318"/>
      <c r="I847" s="318"/>
      <c r="J847" s="318"/>
      <c r="K847" s="318"/>
      <c r="L847" s="318"/>
      <c r="M847" s="318"/>
      <c r="N847" s="318"/>
      <c r="O847" s="318"/>
      <c r="P847" s="318"/>
      <c r="Q847" s="318"/>
      <c r="R847" s="318"/>
      <c r="S847" s="318"/>
      <c r="T847" s="318"/>
    </row>
    <row r="848" spans="2:21">
      <c r="F848" s="318"/>
      <c r="G848" s="318"/>
      <c r="H848" s="318"/>
      <c r="I848" s="318"/>
      <c r="J848" s="318"/>
      <c r="K848" s="318"/>
      <c r="L848" s="318"/>
      <c r="M848" s="318"/>
      <c r="N848" s="318"/>
      <c r="O848" s="318"/>
      <c r="P848" s="318"/>
      <c r="Q848" s="318"/>
      <c r="R848" s="318"/>
      <c r="S848" s="318"/>
      <c r="T848" s="318"/>
    </row>
    <row r="849" spans="6:20">
      <c r="F849" s="318"/>
      <c r="G849" s="318"/>
      <c r="H849" s="318"/>
      <c r="I849" s="318"/>
      <c r="J849" s="318"/>
      <c r="K849" s="318"/>
      <c r="L849" s="318"/>
      <c r="M849" s="318"/>
      <c r="N849" s="318"/>
      <c r="O849" s="318"/>
      <c r="P849" s="318"/>
      <c r="Q849" s="318"/>
      <c r="R849" s="318"/>
      <c r="S849" s="318"/>
      <c r="T849" s="318"/>
    </row>
    <row r="850" spans="6:20">
      <c r="F850" s="318"/>
      <c r="G850" s="318"/>
      <c r="H850" s="318"/>
      <c r="I850" s="318"/>
      <c r="J850" s="318"/>
      <c r="K850" s="318"/>
      <c r="L850" s="318"/>
      <c r="M850" s="318"/>
      <c r="N850" s="318"/>
      <c r="O850" s="318"/>
      <c r="P850" s="318"/>
      <c r="Q850" s="318"/>
      <c r="R850" s="318"/>
      <c r="S850" s="318"/>
      <c r="T850" s="318"/>
    </row>
    <row r="851" spans="6:20">
      <c r="F851" s="318"/>
      <c r="G851" s="318"/>
      <c r="H851" s="318"/>
      <c r="I851" s="318"/>
      <c r="J851" s="318"/>
      <c r="K851" s="318"/>
      <c r="L851" s="318"/>
      <c r="M851" s="318"/>
      <c r="N851" s="318"/>
      <c r="O851" s="318"/>
      <c r="P851" s="318"/>
      <c r="Q851" s="318"/>
      <c r="R851" s="318"/>
      <c r="S851" s="318"/>
      <c r="T851" s="318"/>
    </row>
    <row r="852" spans="6:20">
      <c r="F852" s="318"/>
      <c r="G852" s="318"/>
      <c r="H852" s="318"/>
      <c r="I852" s="318"/>
      <c r="J852" s="318"/>
      <c r="K852" s="318"/>
      <c r="L852" s="318"/>
      <c r="M852" s="318"/>
      <c r="N852" s="318"/>
      <c r="O852" s="318"/>
      <c r="P852" s="318"/>
      <c r="Q852" s="318"/>
      <c r="R852" s="318"/>
      <c r="S852" s="318"/>
      <c r="T852" s="318"/>
    </row>
    <row r="853" spans="6:20">
      <c r="F853" s="318"/>
      <c r="G853" s="318"/>
      <c r="H853" s="318"/>
      <c r="I853" s="318"/>
      <c r="J853" s="318"/>
      <c r="K853" s="318"/>
      <c r="L853" s="318"/>
      <c r="M853" s="318"/>
      <c r="N853" s="318"/>
      <c r="O853" s="318"/>
      <c r="P853" s="318"/>
      <c r="Q853" s="318"/>
      <c r="R853" s="318"/>
      <c r="S853" s="318"/>
      <c r="T853" s="318"/>
    </row>
    <row r="854" spans="6:20" hidden="1"/>
    <row r="855" spans="6:20" hidden="1"/>
    <row r="856" spans="6:20" hidden="1"/>
    <row r="857" spans="6:20" hidden="1"/>
    <row r="858" spans="6:20" hidden="1"/>
    <row r="859" spans="6:20" hidden="1"/>
    <row r="860" spans="6:20" hidden="1"/>
    <row r="861" spans="6:20" hidden="1"/>
    <row r="862" spans="6:20" hidden="1"/>
    <row r="863" spans="6:20" hidden="1"/>
    <row r="864" spans="6:20"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sheetData>
  <sheetProtection password="E863" sheet="1" objects="1" scenarios="1"/>
  <mergeCells count="441">
    <mergeCell ref="H16:R16"/>
    <mergeCell ref="H17:R17"/>
    <mergeCell ref="H18:R18"/>
    <mergeCell ref="H19:R19"/>
    <mergeCell ref="G23:S23"/>
    <mergeCell ref="G24:S24"/>
    <mergeCell ref="G7:S7"/>
    <mergeCell ref="G8:S8"/>
    <mergeCell ref="H9:R9"/>
    <mergeCell ref="G13:S13"/>
    <mergeCell ref="G14:S14"/>
    <mergeCell ref="H15:R15"/>
    <mergeCell ref="H37:R37"/>
    <mergeCell ref="G41:S41"/>
    <mergeCell ref="G42:S42"/>
    <mergeCell ref="H43:R43"/>
    <mergeCell ref="G47:S47"/>
    <mergeCell ref="G48:S48"/>
    <mergeCell ref="H25:R25"/>
    <mergeCell ref="G29:S29"/>
    <mergeCell ref="G30:S30"/>
    <mergeCell ref="H31:R31"/>
    <mergeCell ref="G35:S35"/>
    <mergeCell ref="G36:S36"/>
    <mergeCell ref="H61:R61"/>
    <mergeCell ref="G65:S65"/>
    <mergeCell ref="G66:S66"/>
    <mergeCell ref="H67:R67"/>
    <mergeCell ref="G71:S71"/>
    <mergeCell ref="G72:S72"/>
    <mergeCell ref="H49:R49"/>
    <mergeCell ref="G53:S53"/>
    <mergeCell ref="G54:S54"/>
    <mergeCell ref="H55:R55"/>
    <mergeCell ref="G59:S59"/>
    <mergeCell ref="G60:S60"/>
    <mergeCell ref="H85:R85"/>
    <mergeCell ref="H86:R86"/>
    <mergeCell ref="G89:S89"/>
    <mergeCell ref="G90:S90"/>
    <mergeCell ref="H91:R91"/>
    <mergeCell ref="G95:S95"/>
    <mergeCell ref="H73:R73"/>
    <mergeCell ref="G77:S77"/>
    <mergeCell ref="G78:S78"/>
    <mergeCell ref="H79:R79"/>
    <mergeCell ref="G83:S83"/>
    <mergeCell ref="G84:S84"/>
    <mergeCell ref="H104:R104"/>
    <mergeCell ref="G107:S107"/>
    <mergeCell ref="G108:S108"/>
    <mergeCell ref="H109:R109"/>
    <mergeCell ref="H110:R110"/>
    <mergeCell ref="H111:R111"/>
    <mergeCell ref="G96:S96"/>
    <mergeCell ref="H97:R97"/>
    <mergeCell ref="H98:R98"/>
    <mergeCell ref="G101:S101"/>
    <mergeCell ref="G102:S102"/>
    <mergeCell ref="H103:R103"/>
    <mergeCell ref="G122:S122"/>
    <mergeCell ref="H123:R123"/>
    <mergeCell ref="H124:R124"/>
    <mergeCell ref="G127:S127"/>
    <mergeCell ref="G128:S128"/>
    <mergeCell ref="H129:R129"/>
    <mergeCell ref="H112:R112"/>
    <mergeCell ref="G115:S115"/>
    <mergeCell ref="G116:S116"/>
    <mergeCell ref="H117:R117"/>
    <mergeCell ref="H118:R118"/>
    <mergeCell ref="G121:S121"/>
    <mergeCell ref="H141:R141"/>
    <mergeCell ref="G145:S145"/>
    <mergeCell ref="G146:S146"/>
    <mergeCell ref="H147:R147"/>
    <mergeCell ref="G151:S151"/>
    <mergeCell ref="G152:S152"/>
    <mergeCell ref="G133:S133"/>
    <mergeCell ref="G134:S134"/>
    <mergeCell ref="H135:R135"/>
    <mergeCell ref="H136:R136"/>
    <mergeCell ref="G139:S139"/>
    <mergeCell ref="G140:S140"/>
    <mergeCell ref="H165:R165"/>
    <mergeCell ref="G169:S169"/>
    <mergeCell ref="G170:S170"/>
    <mergeCell ref="H171:R171"/>
    <mergeCell ref="G175:S175"/>
    <mergeCell ref="G176:S176"/>
    <mergeCell ref="H153:R153"/>
    <mergeCell ref="G157:S157"/>
    <mergeCell ref="G158:S158"/>
    <mergeCell ref="H159:R159"/>
    <mergeCell ref="G163:S163"/>
    <mergeCell ref="G164:S164"/>
    <mergeCell ref="H189:R189"/>
    <mergeCell ref="H190:R190"/>
    <mergeCell ref="G193:S193"/>
    <mergeCell ref="G194:S194"/>
    <mergeCell ref="H195:R195"/>
    <mergeCell ref="G199:S199"/>
    <mergeCell ref="H177:R177"/>
    <mergeCell ref="G181:S181"/>
    <mergeCell ref="G182:S182"/>
    <mergeCell ref="H183:R183"/>
    <mergeCell ref="G187:S187"/>
    <mergeCell ref="G188:S188"/>
    <mergeCell ref="G212:S212"/>
    <mergeCell ref="H213:R213"/>
    <mergeCell ref="G217:S217"/>
    <mergeCell ref="G218:S218"/>
    <mergeCell ref="H219:R219"/>
    <mergeCell ref="H220:R220"/>
    <mergeCell ref="G200:S200"/>
    <mergeCell ref="H201:R201"/>
    <mergeCell ref="G205:S205"/>
    <mergeCell ref="G206:S206"/>
    <mergeCell ref="H207:R207"/>
    <mergeCell ref="G211:S211"/>
    <mergeCell ref="G235:S235"/>
    <mergeCell ref="G236:S236"/>
    <mergeCell ref="H237:R237"/>
    <mergeCell ref="G241:S241"/>
    <mergeCell ref="G242:S242"/>
    <mergeCell ref="H243:R243"/>
    <mergeCell ref="G223:S223"/>
    <mergeCell ref="G224:S224"/>
    <mergeCell ref="H225:R225"/>
    <mergeCell ref="G229:S229"/>
    <mergeCell ref="G230:S230"/>
    <mergeCell ref="H231:R231"/>
    <mergeCell ref="G259:S259"/>
    <mergeCell ref="G260:S260"/>
    <mergeCell ref="H261:R261"/>
    <mergeCell ref="G265:S265"/>
    <mergeCell ref="G266:S266"/>
    <mergeCell ref="H267:R267"/>
    <mergeCell ref="G247:S247"/>
    <mergeCell ref="G248:S248"/>
    <mergeCell ref="H249:R249"/>
    <mergeCell ref="G253:S253"/>
    <mergeCell ref="G254:S254"/>
    <mergeCell ref="H255:R255"/>
    <mergeCell ref="H279:R279"/>
    <mergeCell ref="H280:R280"/>
    <mergeCell ref="G283:S283"/>
    <mergeCell ref="G284:S284"/>
    <mergeCell ref="H285:R285"/>
    <mergeCell ref="G289:S289"/>
    <mergeCell ref="G271:S271"/>
    <mergeCell ref="G272:S272"/>
    <mergeCell ref="H273:R273"/>
    <mergeCell ref="H274:R274"/>
    <mergeCell ref="G277:S277"/>
    <mergeCell ref="G278:S278"/>
    <mergeCell ref="G302:S302"/>
    <mergeCell ref="H303:R303"/>
    <mergeCell ref="G307:S307"/>
    <mergeCell ref="G308:S308"/>
    <mergeCell ref="H309:R309"/>
    <mergeCell ref="G313:S313"/>
    <mergeCell ref="G290:S290"/>
    <mergeCell ref="H291:R291"/>
    <mergeCell ref="G295:S295"/>
    <mergeCell ref="G296:S296"/>
    <mergeCell ref="H297:R297"/>
    <mergeCell ref="G301:S301"/>
    <mergeCell ref="G325:S325"/>
    <mergeCell ref="G326:S326"/>
    <mergeCell ref="H327:R327"/>
    <mergeCell ref="G331:S331"/>
    <mergeCell ref="G332:S332"/>
    <mergeCell ref="H333:R333"/>
    <mergeCell ref="G314:S314"/>
    <mergeCell ref="H315:R315"/>
    <mergeCell ref="H316:R316"/>
    <mergeCell ref="G319:S319"/>
    <mergeCell ref="G320:S320"/>
    <mergeCell ref="H321:R321"/>
    <mergeCell ref="H345:R345"/>
    <mergeCell ref="G349:S349"/>
    <mergeCell ref="G350:S350"/>
    <mergeCell ref="H351:R351"/>
    <mergeCell ref="G355:S355"/>
    <mergeCell ref="G356:S356"/>
    <mergeCell ref="G337:S337"/>
    <mergeCell ref="G338:S338"/>
    <mergeCell ref="H339:R339"/>
    <mergeCell ref="H340:R340"/>
    <mergeCell ref="G343:S343"/>
    <mergeCell ref="G344:S344"/>
    <mergeCell ref="H369:R369"/>
    <mergeCell ref="G373:S373"/>
    <mergeCell ref="G374:S374"/>
    <mergeCell ref="H375:R375"/>
    <mergeCell ref="H376:R376"/>
    <mergeCell ref="H377:R377"/>
    <mergeCell ref="H357:R357"/>
    <mergeCell ref="G361:S361"/>
    <mergeCell ref="G362:S362"/>
    <mergeCell ref="H363:R363"/>
    <mergeCell ref="G367:S367"/>
    <mergeCell ref="G368:S368"/>
    <mergeCell ref="G392:S392"/>
    <mergeCell ref="G393:S393"/>
    <mergeCell ref="H394:R394"/>
    <mergeCell ref="G398:S398"/>
    <mergeCell ref="G399:S399"/>
    <mergeCell ref="H400:R400"/>
    <mergeCell ref="G380:S380"/>
    <mergeCell ref="G381:S381"/>
    <mergeCell ref="H382:R382"/>
    <mergeCell ref="G386:S386"/>
    <mergeCell ref="G387:S387"/>
    <mergeCell ref="H388:R388"/>
    <mergeCell ref="G416:S416"/>
    <mergeCell ref="G417:S417"/>
    <mergeCell ref="H418:R418"/>
    <mergeCell ref="G422:S422"/>
    <mergeCell ref="G423:S423"/>
    <mergeCell ref="H424:R424"/>
    <mergeCell ref="G404:S404"/>
    <mergeCell ref="G405:S405"/>
    <mergeCell ref="H406:R406"/>
    <mergeCell ref="G410:S410"/>
    <mergeCell ref="G411:S411"/>
    <mergeCell ref="H412:R412"/>
    <mergeCell ref="G440:S440"/>
    <mergeCell ref="G441:S441"/>
    <mergeCell ref="H442:R442"/>
    <mergeCell ref="G446:S446"/>
    <mergeCell ref="G447:S447"/>
    <mergeCell ref="H448:R448"/>
    <mergeCell ref="G428:S428"/>
    <mergeCell ref="G429:S429"/>
    <mergeCell ref="H430:R430"/>
    <mergeCell ref="G434:S434"/>
    <mergeCell ref="G435:S435"/>
    <mergeCell ref="H436:R436"/>
    <mergeCell ref="G464:S464"/>
    <mergeCell ref="G465:S465"/>
    <mergeCell ref="H466:R466"/>
    <mergeCell ref="G470:S470"/>
    <mergeCell ref="G471:S471"/>
    <mergeCell ref="H472:R472"/>
    <mergeCell ref="G452:S452"/>
    <mergeCell ref="G453:S453"/>
    <mergeCell ref="H454:R454"/>
    <mergeCell ref="G458:S458"/>
    <mergeCell ref="G459:S459"/>
    <mergeCell ref="H460:R460"/>
    <mergeCell ref="G488:S488"/>
    <mergeCell ref="G489:S489"/>
    <mergeCell ref="H490:R490"/>
    <mergeCell ref="G494:S494"/>
    <mergeCell ref="G495:S495"/>
    <mergeCell ref="H496:R496"/>
    <mergeCell ref="G476:S476"/>
    <mergeCell ref="G477:S477"/>
    <mergeCell ref="H478:R478"/>
    <mergeCell ref="G482:S482"/>
    <mergeCell ref="G483:S483"/>
    <mergeCell ref="H484:R484"/>
    <mergeCell ref="G512:S512"/>
    <mergeCell ref="G513:S513"/>
    <mergeCell ref="H514:R514"/>
    <mergeCell ref="G518:S518"/>
    <mergeCell ref="G519:S519"/>
    <mergeCell ref="H520:R520"/>
    <mergeCell ref="G500:S500"/>
    <mergeCell ref="G501:S501"/>
    <mergeCell ref="H502:R502"/>
    <mergeCell ref="G506:S506"/>
    <mergeCell ref="G507:S507"/>
    <mergeCell ref="H508:R508"/>
    <mergeCell ref="G536:S536"/>
    <mergeCell ref="G537:S537"/>
    <mergeCell ref="H538:R538"/>
    <mergeCell ref="G542:S542"/>
    <mergeCell ref="G543:S543"/>
    <mergeCell ref="H544:R544"/>
    <mergeCell ref="G524:S524"/>
    <mergeCell ref="G525:S525"/>
    <mergeCell ref="H526:R526"/>
    <mergeCell ref="G530:S530"/>
    <mergeCell ref="G531:S531"/>
    <mergeCell ref="H532:R532"/>
    <mergeCell ref="G560:S560"/>
    <mergeCell ref="G561:S561"/>
    <mergeCell ref="H562:R562"/>
    <mergeCell ref="G566:S566"/>
    <mergeCell ref="G567:S567"/>
    <mergeCell ref="H568:R568"/>
    <mergeCell ref="G548:S548"/>
    <mergeCell ref="G549:S549"/>
    <mergeCell ref="H550:R550"/>
    <mergeCell ref="G554:S554"/>
    <mergeCell ref="G555:S555"/>
    <mergeCell ref="H556:R556"/>
    <mergeCell ref="G584:S584"/>
    <mergeCell ref="G585:S585"/>
    <mergeCell ref="H586:R586"/>
    <mergeCell ref="G590:S590"/>
    <mergeCell ref="G591:S591"/>
    <mergeCell ref="H592:R592"/>
    <mergeCell ref="G572:S572"/>
    <mergeCell ref="G573:S573"/>
    <mergeCell ref="H574:R574"/>
    <mergeCell ref="G578:S578"/>
    <mergeCell ref="G579:S579"/>
    <mergeCell ref="H580:R580"/>
    <mergeCell ref="H604:R604"/>
    <mergeCell ref="G608:S608"/>
    <mergeCell ref="G609:S609"/>
    <mergeCell ref="H610:R610"/>
    <mergeCell ref="G614:S614"/>
    <mergeCell ref="G615:S615"/>
    <mergeCell ref="H593:R593"/>
    <mergeCell ref="G596:S596"/>
    <mergeCell ref="G597:S597"/>
    <mergeCell ref="H598:R598"/>
    <mergeCell ref="G602:S602"/>
    <mergeCell ref="G603:S603"/>
    <mergeCell ref="G627:S627"/>
    <mergeCell ref="H628:R628"/>
    <mergeCell ref="G632:S632"/>
    <mergeCell ref="G633:S633"/>
    <mergeCell ref="H634:R634"/>
    <mergeCell ref="G638:S638"/>
    <mergeCell ref="H616:R616"/>
    <mergeCell ref="G620:S620"/>
    <mergeCell ref="G621:S621"/>
    <mergeCell ref="H622:R622"/>
    <mergeCell ref="H623:R623"/>
    <mergeCell ref="G626:S626"/>
    <mergeCell ref="G651:S651"/>
    <mergeCell ref="H652:R652"/>
    <mergeCell ref="G656:S656"/>
    <mergeCell ref="G657:S657"/>
    <mergeCell ref="H658:R658"/>
    <mergeCell ref="G662:S662"/>
    <mergeCell ref="G639:S639"/>
    <mergeCell ref="H640:R640"/>
    <mergeCell ref="G644:S644"/>
    <mergeCell ref="G645:S645"/>
    <mergeCell ref="H646:R646"/>
    <mergeCell ref="G650:S650"/>
    <mergeCell ref="G675:S675"/>
    <mergeCell ref="H676:R676"/>
    <mergeCell ref="G680:S680"/>
    <mergeCell ref="G681:S681"/>
    <mergeCell ref="H682:R682"/>
    <mergeCell ref="G686:S686"/>
    <mergeCell ref="G663:S663"/>
    <mergeCell ref="H664:R664"/>
    <mergeCell ref="G668:S668"/>
    <mergeCell ref="G669:S669"/>
    <mergeCell ref="H670:R670"/>
    <mergeCell ref="G674:S674"/>
    <mergeCell ref="G699:S699"/>
    <mergeCell ref="H700:R700"/>
    <mergeCell ref="G704:S704"/>
    <mergeCell ref="G705:S705"/>
    <mergeCell ref="H706:R706"/>
    <mergeCell ref="H707:R707"/>
    <mergeCell ref="G687:S687"/>
    <mergeCell ref="H688:R688"/>
    <mergeCell ref="G692:S692"/>
    <mergeCell ref="G693:S693"/>
    <mergeCell ref="H694:R694"/>
    <mergeCell ref="G698:S698"/>
    <mergeCell ref="G722:S722"/>
    <mergeCell ref="G723:S723"/>
    <mergeCell ref="H724:R724"/>
    <mergeCell ref="G728:S728"/>
    <mergeCell ref="G729:S729"/>
    <mergeCell ref="H730:R730"/>
    <mergeCell ref="G710:S710"/>
    <mergeCell ref="G711:S711"/>
    <mergeCell ref="H712:R712"/>
    <mergeCell ref="G716:S716"/>
    <mergeCell ref="G717:S717"/>
    <mergeCell ref="H718:R718"/>
    <mergeCell ref="G746:S746"/>
    <mergeCell ref="G747:S747"/>
    <mergeCell ref="H748:R748"/>
    <mergeCell ref="G752:S752"/>
    <mergeCell ref="G753:S753"/>
    <mergeCell ref="H754:R754"/>
    <mergeCell ref="G734:S734"/>
    <mergeCell ref="G735:S735"/>
    <mergeCell ref="H736:R736"/>
    <mergeCell ref="G740:S740"/>
    <mergeCell ref="G741:S741"/>
    <mergeCell ref="H742:R742"/>
    <mergeCell ref="G770:S770"/>
    <mergeCell ref="G771:S771"/>
    <mergeCell ref="H772:R772"/>
    <mergeCell ref="G776:S776"/>
    <mergeCell ref="G777:S777"/>
    <mergeCell ref="H778:R778"/>
    <mergeCell ref="G758:S758"/>
    <mergeCell ref="G759:S759"/>
    <mergeCell ref="H760:R760"/>
    <mergeCell ref="G764:S764"/>
    <mergeCell ref="G765:S765"/>
    <mergeCell ref="H766:R766"/>
    <mergeCell ref="G794:S794"/>
    <mergeCell ref="G795:S795"/>
    <mergeCell ref="H796:R796"/>
    <mergeCell ref="G800:S800"/>
    <mergeCell ref="G801:S801"/>
    <mergeCell ref="H802:R802"/>
    <mergeCell ref="G782:S782"/>
    <mergeCell ref="G783:S783"/>
    <mergeCell ref="H784:R784"/>
    <mergeCell ref="G788:S788"/>
    <mergeCell ref="G789:S789"/>
    <mergeCell ref="H790:R790"/>
    <mergeCell ref="H815:R815"/>
    <mergeCell ref="G818:S818"/>
    <mergeCell ref="G819:S819"/>
    <mergeCell ref="H820:R820"/>
    <mergeCell ref="G824:S824"/>
    <mergeCell ref="G825:S825"/>
    <mergeCell ref="G806:S806"/>
    <mergeCell ref="G807:S807"/>
    <mergeCell ref="H808:R808"/>
    <mergeCell ref="G812:S812"/>
    <mergeCell ref="G813:S813"/>
    <mergeCell ref="H814:R814"/>
    <mergeCell ref="H838:R838"/>
    <mergeCell ref="H839:R839"/>
    <mergeCell ref="H840:R840"/>
    <mergeCell ref="H826:R826"/>
    <mergeCell ref="G830:S830"/>
    <mergeCell ref="G831:S831"/>
    <mergeCell ref="H832:R832"/>
    <mergeCell ref="G836:S836"/>
    <mergeCell ref="G837:S837"/>
  </mergeCells>
  <hyperlinks>
    <hyperlink ref="H112" r:id="rId1"/>
    <hyperlink ref="H623" r:id="rId2"/>
    <hyperlink ref="H839" r:id="rId3"/>
    <hyperlink ref="H815" r:id="rId4"/>
    <hyperlink ref="H124" r:id="rId5"/>
    <hyperlink ref="G404:S404" location="ART_RRT_da_Execução_da_Obra2" tooltip="Ir ao item na Lista de Documentos" display="ART/RRT da Execução da Obra2"/>
    <hyperlink ref="G398:S398" location="ART_RRT_dos_projetos_de_edificação2" tooltip="Ir ao item na Lista de Documentos" display="ART/RRT dos projetos de edificação2"/>
    <hyperlink ref="H118" r:id="rId6"/>
    <hyperlink ref="G840:S840" location="Certificado_de_cadastramento_do_Ministério_do_Turismo2" display="Certificado_de_cadastramento_do_Ministério_do_Turismo2"/>
    <hyperlink ref="H840:R840" location="Certificado_de_cadastramento_do_Ministério_do_Turismo2" tooltip="Ir ao item na Lista de Documentos" display="Certificado_de_cadastramento_do_Ministério_do_Turismo2"/>
    <hyperlink ref="H98:R98" r:id="rId7" display="https://servicos.ibama.gov.br/ctf/publico/areasembargadas/ConsultaPublicaAreasEmbargadas.php"/>
    <hyperlink ref="H110" r:id="rId8"/>
    <hyperlink ref="H136" r:id="rId9"/>
    <hyperlink ref="H316" r:id="rId10"/>
    <hyperlink ref="G19:S19" location="Projeto_Econômico_e_Plano_de_Aplicação_Orçamento_detalhado2" tooltip="Ir ao item na Lista de Documentos" display="Projeto Econômico e Plano de Aplicação/Orçamento detalhado2"/>
  </hyperlinks>
  <pageMargins left="0.511811024" right="0.511811024" top="0.78740157499999996" bottom="0.78740157499999996" header="0.31496062000000002" footer="0.31496062000000002"/>
  <pageSetup paperSize="9" orientation="portrait"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B1:I115"/>
  <sheetViews>
    <sheetView showGridLines="0" showRowColHeaders="0" topLeftCell="B2" zoomScaleNormal="100" workbookViewId="0">
      <selection activeCell="I55" sqref="I55"/>
    </sheetView>
  </sheetViews>
  <sheetFormatPr defaultColWidth="0" defaultRowHeight="15" customHeight="1" zeroHeight="1"/>
  <cols>
    <col min="1" max="1" width="9.140625" style="120" hidden="1" customWidth="1"/>
    <col min="2" max="2" width="17.28515625" style="120" customWidth="1"/>
    <col min="3" max="3" width="0.42578125" style="120" customWidth="1"/>
    <col min="4" max="4" width="2.140625" style="120" customWidth="1"/>
    <col min="5" max="5" width="92.140625" style="120" customWidth="1"/>
    <col min="6" max="6" width="2.42578125" style="120" customWidth="1"/>
    <col min="7" max="7" width="0.28515625" style="120" customWidth="1"/>
    <col min="8" max="9" width="9.140625" style="120" customWidth="1"/>
    <col min="10" max="16384" width="9.140625" style="120" hidden="1"/>
  </cols>
  <sheetData>
    <row r="1" spans="2:9" ht="7.5" hidden="1" customHeight="1">
      <c r="B1" s="225"/>
      <c r="C1" s="225"/>
      <c r="D1" s="225"/>
      <c r="E1" s="225"/>
      <c r="F1" s="225"/>
      <c r="G1" s="225"/>
      <c r="H1" s="225"/>
      <c r="I1" s="225"/>
    </row>
    <row r="2" spans="2:9">
      <c r="B2" s="225"/>
      <c r="C2" s="225"/>
      <c r="D2" s="225"/>
      <c r="E2" s="513" t="s">
        <v>575</v>
      </c>
      <c r="F2" s="513"/>
      <c r="G2" s="225"/>
      <c r="H2" s="225"/>
      <c r="I2" s="225"/>
    </row>
    <row r="3" spans="2:9" ht="12" customHeight="1">
      <c r="B3" s="225"/>
      <c r="C3" s="225"/>
      <c r="D3" s="225"/>
      <c r="E3" s="225"/>
      <c r="F3" s="225"/>
      <c r="G3" s="225"/>
      <c r="H3" s="225"/>
      <c r="I3" s="225"/>
    </row>
    <row r="4" spans="2:9" ht="12" customHeight="1">
      <c r="B4" s="225"/>
      <c r="C4" s="225"/>
      <c r="D4" s="225"/>
      <c r="E4" s="225"/>
      <c r="F4" s="225"/>
      <c r="G4" s="225"/>
      <c r="H4" s="225"/>
      <c r="I4" s="225"/>
    </row>
    <row r="5" spans="2:9" ht="2.25" customHeight="1">
      <c r="B5" s="225"/>
      <c r="C5" s="226"/>
      <c r="D5" s="227"/>
      <c r="E5" s="227"/>
      <c r="F5" s="227"/>
      <c r="G5" s="228"/>
      <c r="H5" s="225"/>
      <c r="I5" s="225"/>
    </row>
    <row r="6" spans="2:9">
      <c r="B6" s="225"/>
      <c r="C6" s="229"/>
      <c r="D6" s="514" t="s">
        <v>457</v>
      </c>
      <c r="E6" s="514"/>
      <c r="F6" s="230"/>
      <c r="G6" s="231"/>
      <c r="H6" s="225"/>
      <c r="I6" s="225"/>
    </row>
    <row r="7" spans="2:9">
      <c r="B7" s="225"/>
      <c r="C7" s="229"/>
      <c r="D7" s="232"/>
      <c r="E7" s="232"/>
      <c r="F7" s="232"/>
      <c r="G7" s="231"/>
      <c r="H7" s="225"/>
      <c r="I7" s="225"/>
    </row>
    <row r="8" spans="2:9">
      <c r="B8" s="225"/>
      <c r="C8" s="229"/>
      <c r="D8" s="233"/>
      <c r="E8" s="234" t="s">
        <v>458</v>
      </c>
      <c r="F8" s="53"/>
      <c r="G8" s="231"/>
      <c r="H8" s="225"/>
      <c r="I8" s="225"/>
    </row>
    <row r="9" spans="2:9" ht="15.75">
      <c r="B9" s="225"/>
      <c r="C9" s="229"/>
      <c r="D9" s="233"/>
      <c r="E9" s="235"/>
      <c r="F9" s="53"/>
      <c r="G9" s="231"/>
      <c r="H9" s="225"/>
      <c r="I9" s="225"/>
    </row>
    <row r="10" spans="2:9" ht="15.75">
      <c r="B10" s="225"/>
      <c r="C10" s="229"/>
      <c r="D10" s="233"/>
      <c r="E10" s="235" t="s">
        <v>459</v>
      </c>
      <c r="F10" s="236"/>
      <c r="G10" s="237"/>
      <c r="H10" s="225"/>
      <c r="I10" s="225"/>
    </row>
    <row r="11" spans="2:9" ht="6" customHeight="1">
      <c r="B11" s="225"/>
      <c r="C11" s="229"/>
      <c r="D11" s="233"/>
      <c r="E11" s="235"/>
      <c r="F11" s="53"/>
      <c r="G11" s="231"/>
      <c r="H11" s="225"/>
      <c r="I11" s="225"/>
    </row>
    <row r="12" spans="2:9" ht="15.75">
      <c r="B12" s="225"/>
      <c r="C12" s="229"/>
      <c r="D12" s="233"/>
      <c r="E12" s="238" t="s">
        <v>460</v>
      </c>
      <c r="F12" s="236"/>
      <c r="G12" s="237"/>
      <c r="H12" s="225"/>
      <c r="I12" s="225"/>
    </row>
    <row r="13" spans="2:9" ht="15.75">
      <c r="B13" s="225"/>
      <c r="C13" s="229"/>
      <c r="D13" s="233"/>
      <c r="E13" s="238" t="s">
        <v>461</v>
      </c>
      <c r="F13" s="236"/>
      <c r="G13" s="237"/>
      <c r="H13" s="225"/>
      <c r="I13" s="225"/>
    </row>
    <row r="14" spans="2:9" ht="15.75">
      <c r="B14" s="225"/>
      <c r="C14" s="229"/>
      <c r="D14" s="233"/>
      <c r="E14" s="238" t="s">
        <v>462</v>
      </c>
      <c r="F14" s="236"/>
      <c r="G14" s="237"/>
      <c r="H14" s="225"/>
      <c r="I14" s="225"/>
    </row>
    <row r="15" spans="2:9" ht="15.75">
      <c r="B15" s="225"/>
      <c r="C15" s="229"/>
      <c r="D15" s="233"/>
      <c r="E15" s="235"/>
      <c r="F15" s="53"/>
      <c r="G15" s="231"/>
      <c r="H15" s="225"/>
      <c r="I15" s="225"/>
    </row>
    <row r="16" spans="2:9">
      <c r="B16" s="225"/>
      <c r="C16" s="229"/>
      <c r="D16" s="233"/>
      <c r="E16" s="234" t="s">
        <v>463</v>
      </c>
      <c r="F16" s="53"/>
      <c r="G16" s="231"/>
      <c r="H16" s="225"/>
      <c r="I16" s="225"/>
    </row>
    <row r="17" spans="2:9" ht="15.75">
      <c r="B17" s="225"/>
      <c r="C17" s="229"/>
      <c r="D17" s="233"/>
      <c r="E17" s="235"/>
      <c r="F17" s="236"/>
      <c r="G17" s="237"/>
      <c r="H17" s="225"/>
      <c r="I17" s="225"/>
    </row>
    <row r="18" spans="2:9" ht="31.5">
      <c r="B18" s="225"/>
      <c r="C18" s="229"/>
      <c r="D18" s="233"/>
      <c r="E18" s="235" t="s">
        <v>464</v>
      </c>
      <c r="F18" s="236"/>
      <c r="G18" s="237"/>
      <c r="H18" s="225"/>
      <c r="I18" s="225"/>
    </row>
    <row r="19" spans="2:9" ht="15.75">
      <c r="B19" s="225"/>
      <c r="C19" s="229"/>
      <c r="D19" s="233"/>
      <c r="E19" s="235"/>
      <c r="F19" s="53"/>
      <c r="G19" s="231"/>
      <c r="H19" s="225"/>
      <c r="I19" s="225"/>
    </row>
    <row r="20" spans="2:9" ht="15.75">
      <c r="B20" s="225"/>
      <c r="C20" s="229"/>
      <c r="D20" s="233"/>
      <c r="E20" s="235" t="s">
        <v>465</v>
      </c>
      <c r="F20" s="236"/>
      <c r="G20" s="237"/>
      <c r="H20" s="225"/>
      <c r="I20" s="225"/>
    </row>
    <row r="21" spans="2:9" ht="15.75">
      <c r="B21" s="225"/>
      <c r="C21" s="229"/>
      <c r="D21" s="233"/>
      <c r="E21" s="235"/>
      <c r="F21" s="236"/>
      <c r="G21" s="237"/>
      <c r="H21" s="225"/>
      <c r="I21" s="225"/>
    </row>
    <row r="22" spans="2:9" ht="15.75">
      <c r="B22" s="225"/>
      <c r="C22" s="229"/>
      <c r="D22" s="233"/>
      <c r="E22" s="235" t="s">
        <v>481</v>
      </c>
      <c r="F22" s="236"/>
      <c r="G22" s="237"/>
      <c r="H22" s="225"/>
      <c r="I22" s="225"/>
    </row>
    <row r="23" spans="2:9" ht="15.75">
      <c r="B23" s="225"/>
      <c r="C23" s="229"/>
      <c r="D23" s="233"/>
      <c r="E23" s="235"/>
      <c r="F23" s="236"/>
      <c r="G23" s="237"/>
      <c r="H23" s="225"/>
      <c r="I23" s="225"/>
    </row>
    <row r="24" spans="2:9" ht="31.5">
      <c r="B24" s="225"/>
      <c r="C24" s="229"/>
      <c r="D24" s="233"/>
      <c r="E24" s="235" t="s">
        <v>466</v>
      </c>
      <c r="F24" s="236"/>
      <c r="G24" s="237"/>
      <c r="H24" s="225"/>
      <c r="I24" s="225"/>
    </row>
    <row r="25" spans="2:9" ht="15.75">
      <c r="B25" s="225"/>
      <c r="C25" s="229"/>
      <c r="D25" s="233"/>
      <c r="E25" s="235"/>
      <c r="F25" s="53"/>
      <c r="G25" s="231"/>
      <c r="H25" s="225"/>
      <c r="I25" s="225"/>
    </row>
    <row r="26" spans="2:9" ht="31.5">
      <c r="B26" s="225"/>
      <c r="C26" s="229"/>
      <c r="D26" s="233"/>
      <c r="E26" s="235" t="s">
        <v>467</v>
      </c>
      <c r="F26" s="236"/>
      <c r="G26" s="237"/>
      <c r="H26" s="225"/>
      <c r="I26" s="225"/>
    </row>
    <row r="27" spans="2:9" ht="15.75">
      <c r="B27" s="225"/>
      <c r="C27" s="229"/>
      <c r="D27" s="233"/>
      <c r="E27" s="235"/>
      <c r="F27" s="236"/>
      <c r="G27" s="237"/>
      <c r="H27" s="225"/>
      <c r="I27" s="225"/>
    </row>
    <row r="28" spans="2:9" ht="31.5">
      <c r="B28" s="225"/>
      <c r="C28" s="229"/>
      <c r="D28" s="233"/>
      <c r="E28" s="235" t="s">
        <v>468</v>
      </c>
      <c r="F28" s="236"/>
      <c r="G28" s="237"/>
      <c r="H28" s="225"/>
      <c r="I28" s="225"/>
    </row>
    <row r="29" spans="2:9" ht="15.75">
      <c r="B29" s="225"/>
      <c r="C29" s="229"/>
      <c r="D29" s="233"/>
      <c r="E29" s="235"/>
      <c r="F29" s="53"/>
      <c r="G29" s="231"/>
      <c r="H29" s="225"/>
      <c r="I29" s="225"/>
    </row>
    <row r="30" spans="2:9" ht="31.5">
      <c r="B30" s="225"/>
      <c r="C30" s="229"/>
      <c r="D30" s="233"/>
      <c r="E30" s="235" t="s">
        <v>469</v>
      </c>
      <c r="F30" s="236"/>
      <c r="G30" s="237"/>
      <c r="H30" s="225"/>
      <c r="I30" s="225"/>
    </row>
    <row r="31" spans="2:9" ht="15.75">
      <c r="B31" s="225"/>
      <c r="C31" s="229"/>
      <c r="D31" s="233"/>
      <c r="E31" s="235"/>
      <c r="F31" s="53"/>
      <c r="G31" s="231"/>
      <c r="H31" s="225"/>
      <c r="I31" s="225"/>
    </row>
    <row r="32" spans="2:9" ht="31.5">
      <c r="B32" s="225"/>
      <c r="C32" s="229"/>
      <c r="D32" s="233"/>
      <c r="E32" s="235" t="s">
        <v>470</v>
      </c>
      <c r="F32" s="236"/>
      <c r="G32" s="237"/>
      <c r="H32" s="225"/>
      <c r="I32" s="225"/>
    </row>
    <row r="33" spans="2:9" ht="15.75">
      <c r="B33" s="225"/>
      <c r="C33" s="229"/>
      <c r="D33" s="233"/>
      <c r="E33" s="235"/>
      <c r="F33" s="53"/>
      <c r="G33" s="231"/>
      <c r="H33" s="225"/>
      <c r="I33" s="225"/>
    </row>
    <row r="34" spans="2:9" ht="47.25">
      <c r="B34" s="225"/>
      <c r="C34" s="229"/>
      <c r="D34" s="233"/>
      <c r="E34" s="235" t="s">
        <v>471</v>
      </c>
      <c r="F34" s="236"/>
      <c r="G34" s="237"/>
      <c r="H34" s="225"/>
      <c r="I34" s="225"/>
    </row>
    <row r="35" spans="2:9" ht="15.75">
      <c r="B35" s="225"/>
      <c r="C35" s="229"/>
      <c r="D35" s="233"/>
      <c r="E35" s="235"/>
      <c r="F35" s="53"/>
      <c r="G35" s="231"/>
      <c r="H35" s="225"/>
      <c r="I35" s="225"/>
    </row>
    <row r="36" spans="2:9" ht="47.25">
      <c r="B36" s="225"/>
      <c r="C36" s="229"/>
      <c r="D36" s="233"/>
      <c r="E36" s="235" t="s">
        <v>472</v>
      </c>
      <c r="F36" s="236"/>
      <c r="G36" s="237"/>
      <c r="H36" s="225"/>
      <c r="I36" s="225"/>
    </row>
    <row r="37" spans="2:9" ht="15.75">
      <c r="B37" s="225"/>
      <c r="C37" s="229"/>
      <c r="D37" s="233"/>
      <c r="E37" s="235"/>
      <c r="F37" s="236"/>
      <c r="G37" s="237"/>
      <c r="H37" s="225"/>
      <c r="I37" s="225"/>
    </row>
    <row r="38" spans="2:9" ht="110.25">
      <c r="B38" s="225"/>
      <c r="C38" s="229"/>
      <c r="D38" s="233"/>
      <c r="E38" s="235" t="s">
        <v>473</v>
      </c>
      <c r="F38" s="236"/>
      <c r="G38" s="237"/>
      <c r="H38" s="225"/>
      <c r="I38" s="225"/>
    </row>
    <row r="39" spans="2:9" ht="15.75">
      <c r="B39" s="225"/>
      <c r="C39" s="229"/>
      <c r="D39" s="233"/>
      <c r="E39" s="235"/>
      <c r="F39" s="53"/>
      <c r="G39" s="231"/>
      <c r="H39" s="225"/>
      <c r="I39" s="225"/>
    </row>
    <row r="40" spans="2:9">
      <c r="B40" s="225"/>
      <c r="C40" s="229"/>
      <c r="D40" s="233"/>
      <c r="E40" s="234" t="s">
        <v>474</v>
      </c>
      <c r="F40" s="53"/>
      <c r="G40" s="231"/>
      <c r="H40" s="225"/>
      <c r="I40" s="225"/>
    </row>
    <row r="41" spans="2:9" ht="15.75">
      <c r="B41" s="225"/>
      <c r="C41" s="229"/>
      <c r="D41" s="233"/>
      <c r="E41" s="235"/>
      <c r="F41" s="53"/>
      <c r="G41" s="231"/>
      <c r="H41" s="225"/>
      <c r="I41" s="225"/>
    </row>
    <row r="42" spans="2:9" ht="15.75">
      <c r="B42" s="225"/>
      <c r="C42" s="229"/>
      <c r="D42" s="233"/>
      <c r="E42" s="235" t="s">
        <v>475</v>
      </c>
      <c r="F42" s="236"/>
      <c r="G42" s="237"/>
      <c r="H42" s="225"/>
      <c r="I42" s="225"/>
    </row>
    <row r="43" spans="2:9" ht="15.75">
      <c r="B43" s="225"/>
      <c r="C43" s="229"/>
      <c r="D43" s="233"/>
      <c r="E43" s="235"/>
      <c r="F43" s="236"/>
      <c r="G43" s="237"/>
      <c r="H43" s="225"/>
      <c r="I43" s="225"/>
    </row>
    <row r="44" spans="2:9" ht="31.5">
      <c r="B44" s="225"/>
      <c r="C44" s="229"/>
      <c r="D44" s="233"/>
      <c r="E44" s="235" t="s">
        <v>476</v>
      </c>
      <c r="F44" s="236"/>
      <c r="G44" s="237"/>
      <c r="H44" s="225"/>
      <c r="I44" s="225"/>
    </row>
    <row r="45" spans="2:9" ht="15.75">
      <c r="B45" s="225"/>
      <c r="C45" s="229"/>
      <c r="D45" s="233"/>
      <c r="E45" s="235"/>
      <c r="F45" s="239"/>
      <c r="G45" s="240"/>
      <c r="H45" s="225"/>
      <c r="I45" s="225"/>
    </row>
    <row r="46" spans="2:9" ht="31.5">
      <c r="B46" s="225"/>
      <c r="C46" s="229"/>
      <c r="D46" s="233"/>
      <c r="E46" s="235" t="s">
        <v>477</v>
      </c>
      <c r="F46" s="239"/>
      <c r="G46" s="240"/>
      <c r="H46" s="225"/>
      <c r="I46" s="225"/>
    </row>
    <row r="47" spans="2:9" ht="15.75">
      <c r="B47" s="225"/>
      <c r="C47" s="229"/>
      <c r="D47" s="233"/>
      <c r="E47" s="235"/>
      <c r="F47" s="239"/>
      <c r="G47" s="240"/>
      <c r="H47" s="225"/>
      <c r="I47" s="225"/>
    </row>
    <row r="48" spans="2:9" ht="15.75">
      <c r="B48" s="225"/>
      <c r="C48" s="229"/>
      <c r="D48" s="233"/>
      <c r="E48" s="235" t="s">
        <v>478</v>
      </c>
      <c r="F48" s="236"/>
      <c r="G48" s="237"/>
      <c r="H48" s="225"/>
      <c r="I48" s="225"/>
    </row>
    <row r="49" spans="2:9" ht="15.75">
      <c r="B49" s="225"/>
      <c r="C49" s="229"/>
      <c r="D49" s="233"/>
      <c r="E49" s="235"/>
      <c r="F49" s="236"/>
      <c r="G49" s="237"/>
      <c r="H49" s="225"/>
      <c r="I49" s="225"/>
    </row>
    <row r="50" spans="2:9" ht="15.75">
      <c r="B50" s="225"/>
      <c r="C50" s="229"/>
      <c r="D50" s="233"/>
      <c r="E50" s="235" t="s">
        <v>479</v>
      </c>
      <c r="F50" s="236"/>
      <c r="G50" s="237"/>
      <c r="H50" s="225"/>
      <c r="I50" s="225"/>
    </row>
    <row r="51" spans="2:9" ht="15.75">
      <c r="B51" s="225"/>
      <c r="C51" s="229"/>
      <c r="D51" s="233"/>
      <c r="E51" s="235"/>
      <c r="F51" s="236"/>
      <c r="G51" s="237"/>
      <c r="H51" s="225"/>
      <c r="I51" s="225"/>
    </row>
    <row r="52" spans="2:9" ht="15.75">
      <c r="B52" s="225"/>
      <c r="C52" s="229"/>
      <c r="D52" s="233"/>
      <c r="E52" s="235" t="s">
        <v>480</v>
      </c>
      <c r="F52" s="236"/>
      <c r="G52" s="237"/>
      <c r="H52" s="225"/>
      <c r="I52" s="225"/>
    </row>
    <row r="53" spans="2:9" ht="15.75">
      <c r="B53" s="225"/>
      <c r="C53" s="229"/>
      <c r="D53" s="233"/>
      <c r="E53" s="235"/>
      <c r="F53" s="239"/>
      <c r="G53" s="240"/>
      <c r="H53" s="225"/>
      <c r="I53" s="225"/>
    </row>
    <row r="54" spans="2:9" ht="3" customHeight="1">
      <c r="B54" s="225"/>
      <c r="C54" s="241"/>
      <c r="D54" s="242"/>
      <c r="E54" s="243"/>
      <c r="F54" s="243"/>
      <c r="G54" s="244"/>
      <c r="H54" s="225"/>
      <c r="I54" s="225"/>
    </row>
    <row r="55" spans="2:9" ht="15.75">
      <c r="B55" s="225"/>
      <c r="C55" s="225"/>
      <c r="D55" s="225"/>
      <c r="E55" s="245"/>
      <c r="F55" s="245"/>
      <c r="G55" s="245"/>
      <c r="H55" s="225"/>
      <c r="I55" s="225"/>
    </row>
    <row r="56" spans="2:9" hidden="1">
      <c r="B56" s="225"/>
      <c r="C56" s="225"/>
      <c r="D56" s="225"/>
      <c r="E56" s="246"/>
      <c r="F56" s="225"/>
      <c r="G56" s="225"/>
      <c r="H56" s="225"/>
      <c r="I56" s="225"/>
    </row>
    <row r="57" spans="2:9" hidden="1">
      <c r="B57" s="225"/>
      <c r="C57" s="225"/>
      <c r="D57" s="225"/>
      <c r="E57" s="225"/>
      <c r="F57" s="225"/>
      <c r="G57" s="225"/>
      <c r="H57" s="225"/>
      <c r="I57" s="225"/>
    </row>
    <row r="58" spans="2:9" hidden="1">
      <c r="B58" s="225"/>
      <c r="C58" s="225"/>
      <c r="D58" s="225"/>
      <c r="E58" s="225"/>
      <c r="F58" s="225"/>
      <c r="G58" s="225"/>
      <c r="H58" s="225"/>
      <c r="I58" s="225"/>
    </row>
    <row r="59" spans="2:9" hidden="1">
      <c r="B59" s="225"/>
      <c r="C59" s="225"/>
      <c r="D59" s="225"/>
      <c r="E59" s="225"/>
      <c r="F59" s="225"/>
      <c r="G59" s="225"/>
      <c r="H59" s="225"/>
      <c r="I59" s="225"/>
    </row>
    <row r="60" spans="2:9" hidden="1">
      <c r="B60" s="225"/>
      <c r="C60" s="225"/>
      <c r="D60" s="225"/>
      <c r="E60" s="225"/>
      <c r="F60" s="225"/>
      <c r="G60" s="225"/>
      <c r="H60" s="225"/>
      <c r="I60" s="225"/>
    </row>
    <row r="61" spans="2:9" hidden="1">
      <c r="B61" s="225"/>
      <c r="C61" s="225"/>
      <c r="D61" s="225"/>
      <c r="E61" s="225"/>
      <c r="F61" s="225"/>
      <c r="G61" s="225"/>
      <c r="H61" s="225"/>
      <c r="I61" s="225"/>
    </row>
    <row r="62" spans="2:9" hidden="1">
      <c r="B62" s="225"/>
      <c r="C62" s="225"/>
      <c r="D62" s="225"/>
      <c r="E62" s="225"/>
      <c r="F62" s="225"/>
      <c r="G62" s="225"/>
      <c r="H62" s="225"/>
      <c r="I62" s="225"/>
    </row>
    <row r="63" spans="2:9" hidden="1">
      <c r="B63" s="225"/>
      <c r="C63" s="225"/>
      <c r="D63" s="225"/>
      <c r="E63" s="225"/>
      <c r="F63" s="225"/>
      <c r="G63" s="225"/>
      <c r="H63" s="225"/>
      <c r="I63" s="225"/>
    </row>
    <row r="64" spans="2:9" hidden="1">
      <c r="B64" s="225"/>
      <c r="C64" s="225"/>
      <c r="D64" s="225"/>
      <c r="E64" s="225"/>
      <c r="F64" s="225"/>
      <c r="G64" s="225"/>
      <c r="H64" s="225"/>
      <c r="I64" s="225"/>
    </row>
    <row r="65" spans="2:9" hidden="1">
      <c r="B65" s="225"/>
      <c r="C65" s="225"/>
      <c r="D65" s="225"/>
      <c r="E65" s="225"/>
      <c r="F65" s="225"/>
      <c r="G65" s="225"/>
      <c r="H65" s="225"/>
      <c r="I65" s="225"/>
    </row>
    <row r="66" spans="2:9" hidden="1">
      <c r="B66" s="225"/>
      <c r="C66" s="225"/>
      <c r="D66" s="225"/>
      <c r="E66" s="225"/>
      <c r="F66" s="225"/>
      <c r="G66" s="225"/>
      <c r="H66" s="225"/>
      <c r="I66" s="225"/>
    </row>
    <row r="67" spans="2:9" hidden="1">
      <c r="B67" s="225"/>
      <c r="C67" s="225"/>
      <c r="D67" s="225"/>
      <c r="E67" s="225"/>
      <c r="F67" s="225"/>
      <c r="G67" s="225"/>
      <c r="H67" s="225"/>
      <c r="I67" s="225"/>
    </row>
    <row r="68" spans="2:9" hidden="1">
      <c r="B68" s="225"/>
      <c r="C68" s="225"/>
      <c r="D68" s="225"/>
      <c r="E68" s="225"/>
      <c r="F68" s="225"/>
      <c r="G68" s="225"/>
      <c r="H68" s="225"/>
      <c r="I68" s="225"/>
    </row>
    <row r="69" spans="2:9" hidden="1">
      <c r="B69" s="225"/>
      <c r="C69" s="225"/>
      <c r="D69" s="225"/>
      <c r="E69" s="225"/>
      <c r="F69" s="225"/>
      <c r="G69" s="225"/>
      <c r="H69" s="225"/>
      <c r="I69" s="225"/>
    </row>
    <row r="70" spans="2:9" hidden="1">
      <c r="B70" s="225"/>
      <c r="C70" s="225"/>
      <c r="D70" s="225"/>
      <c r="E70" s="225"/>
      <c r="F70" s="225"/>
      <c r="G70" s="225"/>
      <c r="H70" s="225"/>
      <c r="I70" s="225"/>
    </row>
    <row r="71" spans="2:9" hidden="1"/>
    <row r="72" spans="2:9" hidden="1"/>
    <row r="73" spans="2:9" hidden="1"/>
    <row r="74" spans="2:9" hidden="1"/>
    <row r="75" spans="2:9" hidden="1"/>
    <row r="76" spans="2:9" hidden="1"/>
    <row r="77" spans="2:9" hidden="1"/>
    <row r="78" spans="2:9" hidden="1"/>
    <row r="79" spans="2:9" hidden="1"/>
    <row r="80" spans="2:9"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sheetData>
  <sheetProtection password="E863" sheet="1" objects="1" scenarios="1"/>
  <mergeCells count="2">
    <mergeCell ref="E2:F2"/>
    <mergeCell ref="D6:E6"/>
  </mergeCells>
  <hyperlinks>
    <hyperlink ref="E2:F2" location="Menu!A1" tooltip="Ir ao Menu" display="Menu"/>
  </hyperlinks>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341</vt:i4>
      </vt:variant>
    </vt:vector>
  </HeadingPairs>
  <TitlesOfParts>
    <vt:vector size="347" baseType="lpstr">
      <vt:lpstr>Menu</vt:lpstr>
      <vt:lpstr>Não Rural PJ</vt:lpstr>
      <vt:lpstr>Orientações Não Rural PJ</vt:lpstr>
      <vt:lpstr>PJ Projeto FDA</vt:lpstr>
      <vt:lpstr>Orientações PJ Proj FDA</vt:lpstr>
      <vt:lpstr>Instruções</vt:lpstr>
      <vt:lpstr>'Orientações PJ Proj FDA'!Alvará_de_Construção___da_edificação_objeto_do_pleito</vt:lpstr>
      <vt:lpstr>Alvará_de_Construção___da_edificação_objeto_do_pleito</vt:lpstr>
      <vt:lpstr>'Orientações PJ Proj FDA'!Alvará_de_Funcionamento</vt:lpstr>
      <vt:lpstr>Alvará_de_Funcionamento</vt:lpstr>
      <vt:lpstr>'Orientações PJ Proj FDA'!Aprovação_do_projeto_arquitetônico_pela_ANVISA</vt:lpstr>
      <vt:lpstr>Aprovação_do_projeto_arquitetônico_pela_ANVISA</vt:lpstr>
      <vt:lpstr>Aprovação_do_Projeto_pelo_MAPA_ANVISA_ou_entidades_delegadas_conveniadas</vt:lpstr>
      <vt:lpstr>'Não Rural PJ'!Area_de_impressao</vt:lpstr>
      <vt:lpstr>'Orientações PJ Proj FDA'!Area_de_impressao</vt:lpstr>
      <vt:lpstr>'PJ Projeto FDA'!Area_de_impressao</vt:lpstr>
      <vt:lpstr>ART_da_Execução_da_Obra</vt:lpstr>
      <vt:lpstr>'Orientações PJ Proj FDA'!ART_do_Laudo_de_Avaliação</vt:lpstr>
      <vt:lpstr>ART_do_Laudo_de_Avaliação</vt:lpstr>
      <vt:lpstr>ART_do_Orçamento__Memorial_Descritivo_e_Cronograma_físico_financeiro</vt:lpstr>
      <vt:lpstr>ART_dos_projetos_de_edificação</vt:lpstr>
      <vt:lpstr>ART_RRT_da_Execução_da_Obra</vt:lpstr>
      <vt:lpstr>ART_RRT_do_Orçamento__Memorial_Descritivo_e_Cronograma_físico_financeiro</vt:lpstr>
      <vt:lpstr>ART_RRT_dos_projetos_de_edificação</vt:lpstr>
      <vt:lpstr>'Orientações PJ Proj FDA'!Ata_da_Assembléia_que_elegeu_a_atual_diretoria_e_conselho_de_administração___Em_caso_de_S.A.</vt:lpstr>
      <vt:lpstr>Ata_da_Assembléia_que_elegeu_a_atual_diretoria_e_conselho_de_administração___Em_caso_de_S.A.</vt:lpstr>
      <vt:lpstr>Ato_constitutivo_da_sociedade_e_suas_modificações_das_coligadas</vt:lpstr>
      <vt:lpstr>'Orientações PJ Proj FDA'!Ato_constitutivo_da_sociedade_e_suas_modificações_ou_Requerimento_de_Empresário_Individual</vt:lpstr>
      <vt:lpstr>Ato_constitutivo_da_sociedade_e_suas_modificações_ou_Requerimento_de_Empresário_Individual</vt:lpstr>
      <vt:lpstr>Ato_constitutivo_da_sociedade_e_suas_modificações2</vt:lpstr>
      <vt:lpstr>'Orientações PJ Proj FDA'!Autorização_Ambiental_de_Transporte_Interestadual_de_Produtos_Perigosos</vt:lpstr>
      <vt:lpstr>Autorização_Ambiental_de_Transporte_Interestadual_de_Produtos_Perigosos</vt:lpstr>
      <vt:lpstr>Autorização_Ambiental_de_Transporte_Interestadual_de_Produtos_Perigosos3</vt:lpstr>
      <vt:lpstr>'Orientações PJ Proj FDA'!Autorização_da_ANP</vt:lpstr>
      <vt:lpstr>Autorização_da_ANP</vt:lpstr>
      <vt:lpstr>Autorização_da_ANTAQ</vt:lpstr>
      <vt:lpstr>Autorização_da_ANTAQ_ou_órgão_regulador_estadual</vt:lpstr>
      <vt:lpstr>'Orientações PJ Proj FDA'!Autorização_da_ANTT</vt:lpstr>
      <vt:lpstr>Autorização_da_ANTT</vt:lpstr>
      <vt:lpstr>'Orientações PJ Proj FDA'!Autorização_da_ANVISA_ou_entidades_delegada_conveniada</vt:lpstr>
      <vt:lpstr>Autorização_da_ANVISA_ou_entidades_delegada_conveniada</vt:lpstr>
      <vt:lpstr>'Orientações PJ Proj FDA'!Autorização_de_exploração_florestal___AUTEF</vt:lpstr>
      <vt:lpstr>Autorização_de_exploração_florestal___AUTEF</vt:lpstr>
      <vt:lpstr>Autorização_do_MAPA_ANVISA_ou_entidades_delegadas_conveniadas</vt:lpstr>
      <vt:lpstr>Autorização_do_MAPA_ANVISA_ou_entidades_delegadas_conveniadas___se_em_operação</vt:lpstr>
      <vt:lpstr>Autorização_para_apresentar_o_projeto_definitivo_ao_Banco</vt:lpstr>
      <vt:lpstr>'Orientações PJ Proj FDA'!Autorização_para_transporte_de_carga_na_navegação_interior_de_percurso_longitudinal_interestadual_internacional</vt:lpstr>
      <vt:lpstr>Autorização_para_transporte_de_carga_na_navegação_interior_de_percurso_longitudinal_interestadual_internacional</vt:lpstr>
      <vt:lpstr>Balanço_Analítico_do_último_exercício_e_Balancete_com_DRE_das_Empresas_coligadas</vt:lpstr>
      <vt:lpstr>Balanço_com_DRE_do_último_exercício_e_Balancete</vt:lpstr>
      <vt:lpstr>'Orientações PJ Proj FDA'!Cadastro_Específico_do_INSS__CEI___referente_à_matrícula_da_obra</vt:lpstr>
      <vt:lpstr>Cadastro_Específico_do_INSS__CEI___referente_à_matrícula_da_obra</vt:lpstr>
      <vt:lpstr>Cadastro_Nacional_de_Empresas_Inidôneas_e_Suspensas__CEIS</vt:lpstr>
      <vt:lpstr>'Orientações PJ Proj FDA'!Catálogos_Folder_s</vt:lpstr>
      <vt:lpstr>Catálogos_Folder_s</vt:lpstr>
      <vt:lpstr>'Orientações PJ Proj FDA'!Certidão_de_averbação_das_benfeitorias_existentes</vt:lpstr>
      <vt:lpstr>Certidão_de_averbação_das_benfeitorias_existentes</vt:lpstr>
      <vt:lpstr>'Orientações PJ Proj FDA'!Certidão_de_Cadeia_Dominial_ou_Vintenária</vt:lpstr>
      <vt:lpstr>Certidão_de_Cadeia_Dominial_ou_Vintenária</vt:lpstr>
      <vt:lpstr>'Orientações PJ Proj FDA'!Certidão_de_inexistência_de_ônus_de_Imposto_Predial_e_Territorial_Urbano___IPTU</vt:lpstr>
      <vt:lpstr>Certidão_de_inexistência_de_ônus_de_Imposto_Predial_e_Territorial_Urbano___IPTU</vt:lpstr>
      <vt:lpstr>'Orientações PJ Proj FDA'!Certidão_de_inexistência_de_ônus_ou_certidão_de_inteiro_teor</vt:lpstr>
      <vt:lpstr>Certidão_de_Inexistência_de_Ônus_ou_Certidão_de_Inteiro_Teor</vt:lpstr>
      <vt:lpstr>'Orientações PJ Proj FDA'!Certidão_de_inexistência_de_ônus_sobre_máquinas__instalações__etc.___expedida_pelo_CRTD</vt:lpstr>
      <vt:lpstr>Certidão_de_inexistência_de_ônus_sobre_máquinas__instalações__etc.___expedida_pelo_CRTD</vt:lpstr>
      <vt:lpstr>Certidão_de_inexistência_de_ônus_sobre_o_imóvel__se_bens_fixados_oferecidos_em_garantia_e_dele_removíveis</vt:lpstr>
      <vt:lpstr>Certidão_de_inexistência_de_ônus_sobre_o_imóvel_se_bens_oferecidos_em_garantia_fixados_e_dele_removíveis</vt:lpstr>
      <vt:lpstr>Certidão_de_regularidade_junto_ao_CREA___da_empresa_estaleiro_construtor</vt:lpstr>
      <vt:lpstr>'Orientações PJ Proj FDA'!Certidão_Negativa_de_Débito_de_ITR</vt:lpstr>
      <vt:lpstr>Certidão_Negativa_de_Débito_de_ITR</vt:lpstr>
      <vt:lpstr>'Orientações PJ Proj FDA'!Certidão_Negativa_de_Débitos_Trabalhistas___TST</vt:lpstr>
      <vt:lpstr>Certidão_Negativa_de_Débitos_Trabalhistas___TST</vt:lpstr>
      <vt:lpstr>'Orientações PJ Proj FDA'!Certidão_Negativa_de_Embargo_de_área_para_uso_econômico___IBAMA</vt:lpstr>
      <vt:lpstr>Certidão_Negativa_de_Embargo_de_área_para_uso_econômico___IBAMA</vt:lpstr>
      <vt:lpstr>Certidão_Negativa_de_Embargo_de_área_para_uso_econômico___IBAMA3</vt:lpstr>
      <vt:lpstr>Certidão_negativa_de_ônus__tributário_e_créditos_do_Estado</vt:lpstr>
      <vt:lpstr>'Orientações PJ Proj FDA'!Certidão_negativa_de_ônus_sobre_a_aeronave</vt:lpstr>
      <vt:lpstr>Certidão_negativa_de_ônus_sobre_a_aeronave</vt:lpstr>
      <vt:lpstr>Certidão_negativa_de_ônus_sobre_a_embarcação</vt:lpstr>
      <vt:lpstr>Certidão_negativa_de_ônus_sobre_a_embarcação___fornecida_pelo_Tribunal_Marítimo</vt:lpstr>
      <vt:lpstr>'Orientações PJ Proj FDA'!Certidão_Negativa_de_Terra_Indígena___expedida_pela_FUNAI</vt:lpstr>
      <vt:lpstr>Certidão_Negativa_de_Terra_Indígena___expedida_pela_FUNAI</vt:lpstr>
      <vt:lpstr>'Orientações PJ Proj FDA'!Certidão_que_comprove_a_propriedade_ou_Contrato_de_arrendamento_aluguel___do_imóvel_onde_opera</vt:lpstr>
      <vt:lpstr>Certidão_que_comprove_a_propriedade_ou_Contrato_de_arrendamento_aluguel___do_imóvel_onde_opera</vt:lpstr>
      <vt:lpstr>'Orientações PJ Proj FDA'!Certificado_de_aeronavegabilidade___expedido_pela_ANAC</vt:lpstr>
      <vt:lpstr>Certificado_de_aeronavegabilidade___expedido_pela_ANAC</vt:lpstr>
      <vt:lpstr>'Orientações PJ Proj FDA'!Certificado_de_Armador_emitido_pelo_Tribunal_Marítimo</vt:lpstr>
      <vt:lpstr>Certificado_de_Armador_emitido_pelo_Tribunal_Marítimo</vt:lpstr>
      <vt:lpstr>Certificado_de_autorização_de_voo___expedido_pela_ANAC</vt:lpstr>
      <vt:lpstr>Certificado_de_autorização_de_vôo___expedido_pela_ANAC</vt:lpstr>
      <vt:lpstr>'Orientações PJ Proj FDA'!Certificado_de_cadastramento_do_Ministério_do_Turismo</vt:lpstr>
      <vt:lpstr>Certificado_de_cadastramento_do_Ministério_do_Turismo</vt:lpstr>
      <vt:lpstr>'Orientações PJ Proj FDA'!Certificado_de_Cadastro_do_Imóvel_Rural___CCIR</vt:lpstr>
      <vt:lpstr>Certificado_de_Cadastro_do_Imóvel_Rural___CCIR</vt:lpstr>
      <vt:lpstr>'Orientações PJ Proj FDA'!Certificado_de_Classificação_de_Casco_e_Estrutura</vt:lpstr>
      <vt:lpstr>Certificado_de_Classificação_de_Casco_e_Estrutura</vt:lpstr>
      <vt:lpstr>'Orientações PJ Proj FDA'!Certificado_de_Classificação_de_Máquinas__Equipamentos_e_Eletricidade</vt:lpstr>
      <vt:lpstr>Certificado_de_Classificação_de_Máquinas__Equipamentos_e_Eletricidade</vt:lpstr>
      <vt:lpstr>'Orientações PJ Proj FDA'!Certificado_de_Empreendimento_Implantado</vt:lpstr>
      <vt:lpstr>Certificado_de_Empreendimento_Implantado</vt:lpstr>
      <vt:lpstr>Certificado_de_matrícula_e_nacionalidade</vt:lpstr>
      <vt:lpstr>Certificado_de_matrícula_e_nacionalidade___expedido_pela_Agência_Nacional_de_Aviação_Civil___ANAC</vt:lpstr>
      <vt:lpstr>Certificado_de_Regularidade___IBAMA</vt:lpstr>
      <vt:lpstr>Certificado_de_Regularidade___IBAMA___se_atividade_potencialmente_poluidora_ou_utilizadora_de_recursos_ambientais</vt:lpstr>
      <vt:lpstr>'Orientações PJ Proj FDA'!Certificado_de_Segurança_da_Navegação__CSN</vt:lpstr>
      <vt:lpstr>Certificado_de_Segurança_da_Navegação__CSN</vt:lpstr>
      <vt:lpstr>'Orientações PJ Proj FDA'!Comprovação_da_capacidade_de_aporte_de_recursos_próprios</vt:lpstr>
      <vt:lpstr>Comprovação_da_capacidade_de_aporte_de_recursos_próprios</vt:lpstr>
      <vt:lpstr>'Orientações PJ Proj FDA'!Comprovante_de_benefícios_fiscais</vt:lpstr>
      <vt:lpstr>Comprovante_de_benefícios_fiscais</vt:lpstr>
      <vt:lpstr>'Orientações PJ Proj FDA'!Comprovante_de_pagamento_da_Taxa_de_Controle_e_Fiscalização_Ambiental_TCFA___IBAMA</vt:lpstr>
      <vt:lpstr>Comprovante_de_pagamento_da_Taxa_de_Controle_e_Fiscalização_Ambiental_TCFA___IBAMA</vt:lpstr>
      <vt:lpstr>Comprovante_de_quitação_de_anuidade_junto_ao_CREA</vt:lpstr>
      <vt:lpstr>Consulta_ao_Cadastro_Nacional_de_Empresas_Inidôneas_e_Suspensas__CEIS</vt:lpstr>
      <vt:lpstr>Contrato_de_prestação_de_serviços_entre_proponente_e_assistência_técnica_projetista</vt:lpstr>
      <vt:lpstr>Contrato_de_prestação_de_serviços_entre_proponente_e_projetista</vt:lpstr>
      <vt:lpstr>Contrato_entre_estaleiro_construtor_e_empresa_Certificadora_das_Normas_da_Autoridade_Marítima</vt:lpstr>
      <vt:lpstr>'Orientações PJ Proj FDA'!Contrato_firmado_com_os_fornecedores</vt:lpstr>
      <vt:lpstr>Contrato_firmado_com_os_fornecedores</vt:lpstr>
      <vt:lpstr>'Orientações PJ Proj FDA'!Contrato_ou_proposta_de_construção_da_embarcação_entre_armador_e_a_empresa_construtora_estaleiro</vt:lpstr>
      <vt:lpstr>Contrato_ou_proposta_de_construção_da_embarcação_entre_armador_e_a_empresa_construtora_estaleiro</vt:lpstr>
      <vt:lpstr>'Orientações PJ Proj FDA'!Cronograma_físico_financeiro___das_construções_civis_a_realizar</vt:lpstr>
      <vt:lpstr>Cronograma_físico_financeiro___das_construções_civis_a_realizar</vt:lpstr>
      <vt:lpstr>'Orientações PJ Proj FDA'!Cronograma_físico_financeiro_do_empreendimento</vt:lpstr>
      <vt:lpstr>Cronograma_físico_financeiro_do_empreendimento</vt:lpstr>
      <vt:lpstr>Curriculum_Vitae___dos_dirigentes</vt:lpstr>
      <vt:lpstr>'Orientações PJ Proj FDA'!Da_Proponente</vt:lpstr>
      <vt:lpstr>Da_Proponente</vt:lpstr>
      <vt:lpstr>'Orientações PJ Proj FDA'!Das_Coligadas</vt:lpstr>
      <vt:lpstr>Das_Coligadas</vt:lpstr>
      <vt:lpstr>'Orientações PJ Proj FDA'!Declaração_de_inexistência_de_embargo_vigentes___se_Imóvel_Rural</vt:lpstr>
      <vt:lpstr>Declaração_de_inexistência_de_embargo_vigentes___se_Imóvel_Rural</vt:lpstr>
      <vt:lpstr>'Orientações PJ Proj FDA'!Declaração_de_Origem_Florestal___DOF</vt:lpstr>
      <vt:lpstr>Declaração_de_Origem_Florestal___DOF</vt:lpstr>
      <vt:lpstr>Declaração_de_Regularidade_da_Situação_junto_à_Comissão_de_Valores_Mobiliários</vt:lpstr>
      <vt:lpstr>Declaração_de_Regularidade_da_Situação_junto_à_Comissão_de_Valores_Mobiliários___fornecidas_pela_CVM</vt:lpstr>
      <vt:lpstr>Declaração_de_Regularidade_da_Situação_junto_à_SUDAM</vt:lpstr>
      <vt:lpstr>Declaração_de_Regularidade_da_Situação_junto_a_SUDAM__fornecida_pelo_Banco_da_Amazônia</vt:lpstr>
      <vt:lpstr>'Orientações PJ Proj FDA'!Declaração_do_BNDES</vt:lpstr>
      <vt:lpstr>Declaração_do_BNDES</vt:lpstr>
      <vt:lpstr>Declaração_dos_sócios_administradores_quanto_a_não_se_encontrar_na_condição_de_Servidor_Públ._Federal</vt:lpstr>
      <vt:lpstr>Declaração_dos_sócios_administradores_quanto_a_não_se_encontrar_na_condição_de_servidor_público_federal</vt:lpstr>
      <vt:lpstr>'Orientações PJ Proj FDA'!Declaração_quanto_a_regularidade_para_com_a_CVM_e_Fundos_Constitucionais_de_Financ._Invest.</vt:lpstr>
      <vt:lpstr>Declaração_quanto_a_regularidade_para_com_a_CVM_e_Fundos_Constitucionais_de_Financ._Invest.</vt:lpstr>
      <vt:lpstr>'Orientações PJ Proj FDA'!Do_Projeto</vt:lpstr>
      <vt:lpstr>Do_Projeto</vt:lpstr>
      <vt:lpstr>'Orientações PJ Proj FDA'!Dos_sócios_avalistas_dirigentes</vt:lpstr>
      <vt:lpstr>Dos_sócios_avalistas_dirigentes</vt:lpstr>
      <vt:lpstr>'Orientações PJ Proj FDA'!Especificações_quanto_a_administração_do_Shopping__própria__ou_Contrato_com_empresa_administradora</vt:lpstr>
      <vt:lpstr>Especificações_quanto_a_administração_do_Shopping__própria__ou_Contrato_com_empresa_administradora</vt:lpstr>
      <vt:lpstr>'Orientações PJ Proj FDA'!Estação_de_Tratamento_de_Esgoto</vt:lpstr>
      <vt:lpstr>Estação_de_Tratamento_de_Esgoto</vt:lpstr>
      <vt:lpstr>Estatuto_Contrato_Social__com_respectivas_alterações</vt:lpstr>
      <vt:lpstr>'Orientações PJ Proj FDA'!Estudo_de_Impacto_de_Trânsito</vt:lpstr>
      <vt:lpstr>Estudo_de_Impacto_de_Trânsito</vt:lpstr>
      <vt:lpstr>'Orientações PJ Proj FDA'!Estudo_de_Impacto_de_Vizinhança</vt:lpstr>
      <vt:lpstr>Estudo_de_Impacto_de_Vizinhança</vt:lpstr>
      <vt:lpstr>'Orientações PJ Proj FDA'!Estudo_de_Mercado</vt:lpstr>
      <vt:lpstr>Estudo_de_Mercado</vt:lpstr>
      <vt:lpstr>'Orientações PJ Proj FDA'!Estudos_geológicos_sobre_a_jazida</vt:lpstr>
      <vt:lpstr>Estudos_geológicos_sobre_a_jazida</vt:lpstr>
      <vt:lpstr>'Orientações PJ Proj FDA'!Extratos_dos_financiamentos_em_andamento_em_outras_instituições_financeiras</vt:lpstr>
      <vt:lpstr>Extratos_dos_financiamentos_em_andamento_em_outras_instituições_financeiras</vt:lpstr>
      <vt:lpstr>'Orientações PJ Proj FDA'!Formação_e_experiência_profissional_dos_sócios_dirigentes</vt:lpstr>
      <vt:lpstr>Formação_e_experiência_profissional_dos_sócios_dirigentes</vt:lpstr>
      <vt:lpstr>Formulário_de_Informações_Sócio_Ambiental___FISA_ou_Questionário_Sócio_Ambiental___QSA</vt:lpstr>
      <vt:lpstr>Formulário_de_Informações_Socioambiental___FISA_ou_Questionário_Socioambiental___QSA</vt:lpstr>
      <vt:lpstr>'PJ Projeto FDA'!ImovGar_F</vt:lpstr>
      <vt:lpstr>ImovGar_F</vt:lpstr>
      <vt:lpstr>'PJ Projeto FDA'!ImovGar_I</vt:lpstr>
      <vt:lpstr>ImovGar_I</vt:lpstr>
      <vt:lpstr>'PJ Projeto FDA'!ImovGar1</vt:lpstr>
      <vt:lpstr>ImovGar1</vt:lpstr>
      <vt:lpstr>'PJ Projeto FDA'!ImovGar2</vt:lpstr>
      <vt:lpstr>ImovGar2</vt:lpstr>
      <vt:lpstr>'PJ Projeto FDA'!ImovGar4</vt:lpstr>
      <vt:lpstr>ImovGar4</vt:lpstr>
      <vt:lpstr>'PJ Projeto FDA'!ImovGar5</vt:lpstr>
      <vt:lpstr>ImovGar5</vt:lpstr>
      <vt:lpstr>'PJ Projeto FDA'!ImovGarantia_3</vt:lpstr>
      <vt:lpstr>ImovGarantia_3</vt:lpstr>
      <vt:lpstr>'PJ Projeto FDA'!ImovSup_3</vt:lpstr>
      <vt:lpstr>ImovSup_3</vt:lpstr>
      <vt:lpstr>Inscrição_na_Junta_Comercial_que_comprove_a_atividade_de_Shopping_Center</vt:lpstr>
      <vt:lpstr>'Orientações PJ Proj FDA'!Instrumento_de_mandato_procurações</vt:lpstr>
      <vt:lpstr>Instrumento_de_mandato_procurações</vt:lpstr>
      <vt:lpstr>'Orientações PJ Proj FDA'!Instrumento_de_promessa_de_compra_e_venda_do_imóvel_objeto_do_crédito</vt:lpstr>
      <vt:lpstr>Instrumento_de_promessa_de_compra_e_venda_do_imóvel_objeto_do_crédito</vt:lpstr>
      <vt:lpstr>'Orientações PJ Proj FDA'!Instrumentos_contratuais_dos_financiamentos_em_andamento_em_outras_instituições_financeiras</vt:lpstr>
      <vt:lpstr>Instrumentos_contratuais_dos_financiamentos_em_andamento_em_outras_instituições_financeiras</vt:lpstr>
      <vt:lpstr>Int_1</vt:lpstr>
      <vt:lpstr>Int_10</vt:lpstr>
      <vt:lpstr>Int_12</vt:lpstr>
      <vt:lpstr>Int_13</vt:lpstr>
      <vt:lpstr>Int_14</vt:lpstr>
      <vt:lpstr>Int_15</vt:lpstr>
      <vt:lpstr>Int_18</vt:lpstr>
      <vt:lpstr>Int_19</vt:lpstr>
      <vt:lpstr>Int_2</vt:lpstr>
      <vt:lpstr>Int_20</vt:lpstr>
      <vt:lpstr>Int_21</vt:lpstr>
      <vt:lpstr>Int_22</vt:lpstr>
      <vt:lpstr>Int_23</vt:lpstr>
      <vt:lpstr>Int_24</vt:lpstr>
      <vt:lpstr>Int_25</vt:lpstr>
      <vt:lpstr>Int_26</vt:lpstr>
      <vt:lpstr>Int_27</vt:lpstr>
      <vt:lpstr>Int_28</vt:lpstr>
      <vt:lpstr>Int_29</vt:lpstr>
      <vt:lpstr>Int_3</vt:lpstr>
      <vt:lpstr>Int_30</vt:lpstr>
      <vt:lpstr>Int_31</vt:lpstr>
      <vt:lpstr>Int_32</vt:lpstr>
      <vt:lpstr>Int_33</vt:lpstr>
      <vt:lpstr>Int_34</vt:lpstr>
      <vt:lpstr>Int_35</vt:lpstr>
      <vt:lpstr>Int_36</vt:lpstr>
      <vt:lpstr>Int_37</vt:lpstr>
      <vt:lpstr>Int_38</vt:lpstr>
      <vt:lpstr>Int_39</vt:lpstr>
      <vt:lpstr>Int_4</vt:lpstr>
      <vt:lpstr>Int_40</vt:lpstr>
      <vt:lpstr>Int_41</vt:lpstr>
      <vt:lpstr>Int_42</vt:lpstr>
      <vt:lpstr>Int_43</vt:lpstr>
      <vt:lpstr>Int_5</vt:lpstr>
      <vt:lpstr>Int_6</vt:lpstr>
      <vt:lpstr>Int_7</vt:lpstr>
      <vt:lpstr>Int_8</vt:lpstr>
      <vt:lpstr>Int_9</vt:lpstr>
      <vt:lpstr>Justificativa_das_Ações_Trabalhistas_em_julgamento_e_documentos_onde_conste__fase_e_valores_atualizados</vt:lpstr>
      <vt:lpstr>Justificativa_das_Ações_Trabalhistas_em_julgamento_e_indicação_da_fase_e_valores_atualizados</vt:lpstr>
      <vt:lpstr>'Orientações PJ Proj FDA'!Laudo_de_Avaliação___das_garantias</vt:lpstr>
      <vt:lpstr>Laudo_de_Avaliação___das_garantias</vt:lpstr>
      <vt:lpstr>'Orientações PJ Proj FDA'!Layout_das_construções_civis</vt:lpstr>
      <vt:lpstr>Layout_das_construções_civis</vt:lpstr>
      <vt:lpstr>'Orientações PJ Proj FDA'!Layout_das_máquinas_e_equipamentos</vt:lpstr>
      <vt:lpstr>Layout_das_máquinas_e_equipamentos</vt:lpstr>
      <vt:lpstr>Levantamentos_extra_contábeis_ou_Balanço_com_DRE_do_último_exercício_e_Balancete</vt:lpstr>
      <vt:lpstr>Levantamentos_extra_contábeis_ou_Balanço_com_DRE_do_último_exercício_e_Balancete2</vt:lpstr>
      <vt:lpstr>Levantamentos_extra_contábeis_ou_Balanço_do_último_exercício_e_Balancete_com_DRE</vt:lpstr>
      <vt:lpstr>'Orientações PJ Proj FDA'!Licença_da_Embarcação</vt:lpstr>
      <vt:lpstr>Licença_da_Embarcação</vt:lpstr>
      <vt:lpstr>'Orientações PJ Proj FDA'!Licença_de_Operação_vigente_da_empresa_construtora_estaleiro</vt:lpstr>
      <vt:lpstr>Licença_de_Operação_vigente_da_empresa_construtora_estaleiro</vt:lpstr>
      <vt:lpstr>'Orientações PJ Proj FDA'!Licença_expedida_pela_autoridade_administrativa_do_município_de_localização_da_jazida</vt:lpstr>
      <vt:lpstr>Licença_expedida_pela_autoridade_administrativa_do_município_de_localização_da_jazida</vt:lpstr>
      <vt:lpstr>'Orientações PJ Proj FDA'!Licença_Prévia_ou_Licença_de_Instalação_ou_Licença_de_Operação_ou_dispensa_de_licenciamento</vt:lpstr>
      <vt:lpstr>Licença_Prévia_ou_Licença_de_Instalação_ou_Licença_de_Operação_ou_dispensa_de_licenciamento</vt:lpstr>
      <vt:lpstr>Licença_Provisória_de_Construção_de_Embarcação_emitida_pela_empresa_Certificadora</vt:lpstr>
      <vt:lpstr>Limite_de_Participação_do_Banco_no_financiamento___Planilha_Percentual_de_Participação</vt:lpstr>
      <vt:lpstr>'Orientações PJ Proj FDA'!Memorial_descritivo___das_construções_civis_a_realizar</vt:lpstr>
      <vt:lpstr>Memorial_descritivo___das_construções_civis_a_realizar</vt:lpstr>
      <vt:lpstr>'Orientações PJ Proj FDA'!Minuta_do_Contrato_de_Locação_e_Normas_Complementares</vt:lpstr>
      <vt:lpstr>Minuta_do_Contrato_de_Locação_e_Normas_Complementares</vt:lpstr>
      <vt:lpstr>'Orientações PJ Proj FDA'!Minuta_do_Estatuto_da_Associação_de_Lojistas</vt:lpstr>
      <vt:lpstr>Minuta_do_Estatuto_da_Associação_de_Lojistas</vt:lpstr>
      <vt:lpstr>Minuta_do_Regimento_Interno</vt:lpstr>
      <vt:lpstr>'Orientações PJ Proj FDA'!Minuta_dos_Contratos_de_Lojas_Âncoras_com_o_Shopping</vt:lpstr>
      <vt:lpstr>Minuta_dos_Contratos_de_Lojas_Âncoras_com_o_Shopping</vt:lpstr>
      <vt:lpstr>'Orientações PJ Proj FDA'!Orçamento_detalhado___das_construções_civis_a_realizar</vt:lpstr>
      <vt:lpstr>Orçamento_detalhado___das_construções_civis_a_realizar</vt:lpstr>
      <vt:lpstr>'Orientações PJ Proj FDA'!Planta_de_localização_situação</vt:lpstr>
      <vt:lpstr>Planta_de_localização_situação</vt:lpstr>
      <vt:lpstr>'Orientações PJ Proj FDA'!Portaria_de_Lavra__com_prova_de_respectiva_transcrição_do_DNPM</vt:lpstr>
      <vt:lpstr>Portaria_de_Lavra__com_prova_de_respectiva_transcrição_do_DNPM</vt:lpstr>
      <vt:lpstr>Projeto__Cronograma_físico_financeiro_e_ART_para_embarcação_a_ser_construída_e_objeto_do_financiamento</vt:lpstr>
      <vt:lpstr>'Orientações PJ Proj FDA'!Projeto_aprovado_pelo_DNPM</vt:lpstr>
      <vt:lpstr>Projeto_aprovado_pelo_DNPM</vt:lpstr>
      <vt:lpstr>Projeto_Combate_a_Incêndio</vt:lpstr>
      <vt:lpstr>'Orientações PJ Proj FDA'!Projeto_da_Fundação</vt:lpstr>
      <vt:lpstr>Projeto_da_Fundação</vt:lpstr>
      <vt:lpstr>Projeto_de_Prevenção_e_Combate_a_Incêndio_ou_Comprovação_da_dispensa</vt:lpstr>
      <vt:lpstr>Projeto_do_Sistema_de_Proteção_Contra_Descargas_Atmosféricas</vt:lpstr>
      <vt:lpstr>Projeto_do_Sistema_de_Proteção_Contra_Descargas_Atmosféricas_ou_Comprovação_da_dispensa</vt:lpstr>
      <vt:lpstr>Projeto_e_ART_para_embarcaçõe_a_ser_construída_e_objeto_do_financiamento</vt:lpstr>
      <vt:lpstr>'Orientações PJ Proj FDA'!Projeto_Econômico_e_Plano_de_Aplicação_Orçamento_detalhado</vt:lpstr>
      <vt:lpstr>Projeto_Econômico_e_Plano_de_Aplicação_Orçamento_detalhado</vt:lpstr>
      <vt:lpstr>'Orientações PJ Proj FDA'!Projeto_Elétrico</vt:lpstr>
      <vt:lpstr>Projeto_Elétrico</vt:lpstr>
      <vt:lpstr>'Orientações PJ Proj FDA'!Projeto_Estrutural</vt:lpstr>
      <vt:lpstr>Projeto_Estrutural</vt:lpstr>
      <vt:lpstr>'Orientações PJ Proj FDA'!Projeto_Hidrossanitário</vt:lpstr>
      <vt:lpstr>Projeto_Hidrossanitário</vt:lpstr>
      <vt:lpstr>'Orientações PJ Proj FDA'!Projetos_arquitetônico_das_construções_civis_a_realizar</vt:lpstr>
      <vt:lpstr>Projetos_arquitetônico_das_construções_civis_a_realizar</vt:lpstr>
      <vt:lpstr>Promessa_de_Compra_e_Venda_da_Embarcação</vt:lpstr>
      <vt:lpstr>'Orientações PJ Proj FDA'!Proposta_de_seguro_de_construção_a_ser_contratado_pelo_estaleiro_construtor</vt:lpstr>
      <vt:lpstr>Proposta_de_seguro_de_construção_a_ser_contratado_pelo_estaleiro_construtor</vt:lpstr>
      <vt:lpstr>Proposta_de_seguro_do_casco___patrimonial</vt:lpstr>
      <vt:lpstr>'Orientações PJ Proj FDA'!Proposta_de_Seguro_do_Casco_da_Aeronave</vt:lpstr>
      <vt:lpstr>Proposta_de_Seguro_do_Casco_da_Aeronave</vt:lpstr>
      <vt:lpstr>'Orientações PJ Proj FDA'!Proposta_orçamento_de_construção_por_estaleiro</vt:lpstr>
      <vt:lpstr>Proposta_orçamento_de_construção_por_estaleiro</vt:lpstr>
      <vt:lpstr>'Orientações PJ Proj FDA'!Propostas_de_fornecimento</vt:lpstr>
      <vt:lpstr>Propostas_de_fornecimento</vt:lpstr>
      <vt:lpstr>Quadro_de_endividamento_com_base_no_SCR</vt:lpstr>
      <vt:lpstr>'Orientações PJ Proj FDA'!Registro_da_empresa_estaleiro_construtor_no_CREA</vt:lpstr>
      <vt:lpstr>Registro_da_empresa_estaleiro_construtor_no_CREA</vt:lpstr>
      <vt:lpstr>Relação_Anual_de_Informações_Sociais___RAIS</vt:lpstr>
      <vt:lpstr>'Orientações PJ Proj FDA'!Relação_Patrimonial_com_estimativa_de_valores_e_ou_IRPF</vt:lpstr>
      <vt:lpstr>Relação_Patrimonial_com_estimativa_de_valores_e_ou_IRPF</vt:lpstr>
      <vt:lpstr>'Orientações PJ Proj FDA'!Se_Aeronave</vt:lpstr>
      <vt:lpstr>Se_Aeronave</vt:lpstr>
      <vt:lpstr>Se_embarcação_a_ser_construídas</vt:lpstr>
      <vt:lpstr>'Orientações PJ Proj FDA'!Se_embarcação_existente</vt:lpstr>
      <vt:lpstr>Se_embarcação_existente</vt:lpstr>
      <vt:lpstr>Se_embarcações_a_serem_construídas</vt:lpstr>
      <vt:lpstr>'Orientações PJ Proj FDA'!Se_Empresa_de_Transporte_Terrestre</vt:lpstr>
      <vt:lpstr>Se_Empresa_de_Transporte_Terrestre</vt:lpstr>
      <vt:lpstr>'Orientações PJ Proj FDA'!Se_Empresa_de_Transportes_Aquaviário</vt:lpstr>
      <vt:lpstr>Se_Empresa_de_Transportes_Aquaviário</vt:lpstr>
      <vt:lpstr>'Orientações PJ Proj FDA'!Se_financiamento_para_aquisição_de_imóvel</vt:lpstr>
      <vt:lpstr>Se_financiamento_para_aquisição_de_imóvel</vt:lpstr>
      <vt:lpstr>'Orientações PJ Proj FDA'!Se_Imóvel_Objeto_de_Garantia</vt:lpstr>
      <vt:lpstr>Se_Imóvel_Objeto_de_Garantia</vt:lpstr>
      <vt:lpstr>'Orientações PJ Proj FDA'!Se_indústria_Alimentícia</vt:lpstr>
      <vt:lpstr>Se_indústria_Alimentícia</vt:lpstr>
      <vt:lpstr>'Orientações PJ Proj FDA'!Se_Indústria_de_Beneficiamento_de_Madeira</vt:lpstr>
      <vt:lpstr>Se_Indústria_de_Beneficiamento_de_Madeira</vt:lpstr>
      <vt:lpstr>'Orientações PJ Proj FDA'!Se_Indústria_Mineral</vt:lpstr>
      <vt:lpstr>Se_Indústria_Mineral</vt:lpstr>
      <vt:lpstr>'Orientações PJ Proj FDA'!Se_oferecido_Garantias_pré_existentes</vt:lpstr>
      <vt:lpstr>Se_oferecido_Garantias_pré_existentes</vt:lpstr>
      <vt:lpstr>'Orientações PJ Proj FDA'!Se_proposta_de_financiamento_contemplar_aquisição_de_máquinas_equipamentos_móveis_veículos</vt:lpstr>
      <vt:lpstr>Se_proposta_de_financiamento_contemplar_aquisição_de_máquinas_equipamentos_móveis_veículos</vt:lpstr>
      <vt:lpstr>'Orientações PJ Proj FDA'!Se_proposta_de_financiamento_contemplar_edificação</vt:lpstr>
      <vt:lpstr>Se_proposta_de_financiamento_contemplar_edificação</vt:lpstr>
      <vt:lpstr>'Orientações PJ Proj FDA'!Seguro_Obrigatório_da_embarcação</vt:lpstr>
      <vt:lpstr>Seguro_obrigatório_da_embarcação</vt:lpstr>
      <vt:lpstr>Seguro_obrigatório_da_embarcação2</vt:lpstr>
      <vt:lpstr>Shopping_Center</vt:lpstr>
      <vt:lpstr>'Orientações PJ Proj FDA'!SIF_ou_SIE_ou_SIM</vt:lpstr>
      <vt:lpstr>SIF_ou_SIE_ou_SIM</vt:lpstr>
      <vt:lpstr>Termo_de_enquadramento_emitido_pela_SUDAM</vt:lpstr>
      <vt:lpstr>'Orientações PJ Proj FDA'!Termo_de_Vistoria_em_Seco_e_Termo_de_Vistoria_Flutuando</vt:lpstr>
      <vt:lpstr>Termo_de_Vistoria_em_Seco_e_Termo_de_Vistoria_Flutuando</vt:lpstr>
      <vt:lpstr>'Orientações PJ Proj FDA'!Testes_laboratoriais_sobre_o_mineral</vt:lpstr>
      <vt:lpstr>Testes_laboratoriais_sobre_o_mineral</vt:lpstr>
      <vt:lpstr>'Orientações PJ Proj FDA'!Título_de_propriedade___inscrito_no_Registro_Aeronáutico_Brasileiro</vt:lpstr>
      <vt:lpstr>Título_de_propriedade___inscrito_no_Registro_Aeronáutico_Brasileiro</vt:lpstr>
      <vt:lpstr>'Orientações PJ Proj FDA'!Título_de_propriedade_registrado_no_TM__se_AB_maior_que_100___ou_na_Capitania_dos_Portos</vt:lpstr>
      <vt:lpstr>Título_de_propriedade_registrado_no_TM__se_AB_maior_que_100___ou_na_Capitania_dos_Portos</vt:lpstr>
      <vt:lpstr>'Orientações PJ Proj FDA'!Título_translativo_de_propriedade</vt:lpstr>
      <vt:lpstr>Título_Translativo_de_Propriedade</vt:lpstr>
      <vt:lpstr>'Orientações PJ Proj FDA'!Título_translativo_de_propriedade_ou_Escritura_Pública</vt:lpstr>
      <vt:lpstr>Título_translativo_de_propriedade_ou_Escritura_Pública</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AUGUSTO FRANCOIS RODRIGUES DA SILVA</dc:creator>
  <cp:lastModifiedBy>GRUPING</cp:lastModifiedBy>
  <cp:lastPrinted>2016-11-09T00:41:28Z</cp:lastPrinted>
  <dcterms:created xsi:type="dcterms:W3CDTF">2014-11-01T19:58:24Z</dcterms:created>
  <dcterms:modified xsi:type="dcterms:W3CDTF">2017-05-09T16:27:54Z</dcterms:modified>
</cp:coreProperties>
</file>